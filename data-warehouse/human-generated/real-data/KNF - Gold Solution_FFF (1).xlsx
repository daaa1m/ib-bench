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rohith/Downloads/"/>
    </mc:Choice>
  </mc:AlternateContent>
  <xr:revisionPtr revIDLastSave="0" documentId="13_ncr:1_{6EB42707-3798-7242-83A5-1BA88370A2E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Grading" sheetId="1" r:id="rId1"/>
    <sheet name="Valuation - Gold Solution" sheetId="2" r:id="rId2"/>
    <sheet name="IS - Gold Solution" sheetId="3" r:id="rId3"/>
    <sheet name="BS - Gold Solution" sheetId="4" r:id="rId4"/>
    <sheet name="CFS - Gold Solution" sheetId="5" r:id="rId5"/>
    <sheet name="Debt - Gold Solution" sheetId="6" r:id="rId6"/>
  </sheets>
  <definedNames>
    <definedName name="CIRC" localSheetId="2">'IS - Gold Solution'!$O$2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3" l="1"/>
  <c r="D89" i="3"/>
  <c r="D90" i="3"/>
  <c r="E90" i="3"/>
  <c r="C90" i="3"/>
  <c r="C83" i="3"/>
  <c r="D83" i="3"/>
  <c r="E83" i="3"/>
  <c r="C97" i="3"/>
  <c r="D97" i="3"/>
  <c r="E97" i="3"/>
  <c r="E82" i="3"/>
  <c r="D82" i="3"/>
  <c r="E80" i="3"/>
  <c r="D80" i="3"/>
  <c r="G57" i="3"/>
  <c r="H57" i="3"/>
  <c r="I57" i="3"/>
  <c r="J57" i="3"/>
  <c r="K57" i="3"/>
  <c r="L57" i="3"/>
  <c r="F57" i="3"/>
  <c r="G45" i="4"/>
  <c r="F45" i="4"/>
  <c r="G44" i="4"/>
  <c r="H44" i="4"/>
  <c r="I44" i="4"/>
  <c r="J44" i="4"/>
  <c r="K44" i="4"/>
  <c r="L44" i="4"/>
  <c r="F44" i="4"/>
  <c r="G19" i="4"/>
  <c r="H19" i="4"/>
  <c r="I19" i="4"/>
  <c r="J19" i="4"/>
  <c r="K19" i="4"/>
  <c r="L19" i="4"/>
  <c r="F19" i="4"/>
  <c r="E2" i="4"/>
  <c r="F2" i="4"/>
  <c r="G2" i="4"/>
  <c r="H2" i="4"/>
  <c r="I2" i="4"/>
  <c r="J2" i="4"/>
  <c r="K2" i="4"/>
  <c r="L2" i="4"/>
  <c r="D2" i="4"/>
  <c r="D187" i="3"/>
  <c r="E187" i="3"/>
  <c r="D186" i="3"/>
  <c r="E186" i="3"/>
  <c r="D183" i="3"/>
  <c r="E183" i="3"/>
  <c r="D184" i="3"/>
  <c r="E184" i="3"/>
  <c r="D185" i="3"/>
  <c r="E185" i="3"/>
  <c r="E182" i="3"/>
  <c r="D182" i="3"/>
  <c r="D176" i="3"/>
  <c r="E176" i="3"/>
  <c r="C176" i="3"/>
  <c r="F88" i="3"/>
  <c r="G88" i="3" s="1"/>
  <c r="H88" i="3" s="1"/>
  <c r="I88" i="3" s="1"/>
  <c r="J88" i="3" s="1"/>
  <c r="K88" i="3" s="1"/>
  <c r="L88" i="3" s="1"/>
  <c r="F86" i="3"/>
  <c r="G86" i="3" s="1"/>
  <c r="H86" i="3" s="1"/>
  <c r="I86" i="3" s="1"/>
  <c r="J86" i="3" s="1"/>
  <c r="K86" i="3" s="1"/>
  <c r="L86" i="3" s="1"/>
  <c r="G81" i="3"/>
  <c r="H81" i="3"/>
  <c r="I81" i="3" s="1"/>
  <c r="J81" i="3" s="1"/>
  <c r="K81" i="3" s="1"/>
  <c r="L81" i="3" s="1"/>
  <c r="F81" i="3"/>
  <c r="G79" i="3"/>
  <c r="H79" i="3" s="1"/>
  <c r="I79" i="3" s="1"/>
  <c r="J79" i="3" s="1"/>
  <c r="K79" i="3" s="1"/>
  <c r="L79" i="3" s="1"/>
  <c r="F79" i="3"/>
  <c r="D76" i="3"/>
  <c r="E76" i="3"/>
  <c r="F76" i="3"/>
  <c r="G76" i="3"/>
  <c r="H76" i="3"/>
  <c r="I76" i="3"/>
  <c r="J76" i="3"/>
  <c r="K76" i="3"/>
  <c r="L76" i="3"/>
  <c r="C76" i="3"/>
  <c r="D70" i="3"/>
  <c r="E70" i="3"/>
  <c r="C70" i="3"/>
  <c r="D48" i="3"/>
  <c r="E48" i="3"/>
  <c r="C48" i="3"/>
  <c r="D45" i="3"/>
  <c r="E45" i="3"/>
  <c r="C45" i="3"/>
  <c r="D12" i="3"/>
  <c r="E12" i="3"/>
  <c r="C12" i="3"/>
  <c r="E12" i="5"/>
  <c r="D12" i="5"/>
  <c r="C12" i="5"/>
  <c r="D2" i="5"/>
  <c r="E2" i="5"/>
  <c r="F2" i="5"/>
  <c r="G2" i="5"/>
  <c r="H2" i="5"/>
  <c r="I2" i="5"/>
  <c r="J2" i="5"/>
  <c r="K2" i="5"/>
  <c r="L2" i="5"/>
  <c r="C2" i="5"/>
  <c r="D17" i="5"/>
  <c r="C28" i="5"/>
  <c r="E18" i="5"/>
  <c r="D18" i="5"/>
  <c r="C18" i="5"/>
  <c r="C14" i="5"/>
  <c r="D14" i="5"/>
  <c r="C43" i="5"/>
  <c r="C42" i="5"/>
  <c r="F13" i="5"/>
  <c r="G13" i="5"/>
  <c r="H13" i="5"/>
  <c r="I13" i="5"/>
  <c r="J13" i="5"/>
  <c r="K13" i="5"/>
  <c r="L13" i="5"/>
  <c r="E13" i="5"/>
  <c r="E18" i="6" l="1"/>
  <c r="F17" i="6"/>
  <c r="E17" i="6"/>
  <c r="D17" i="6"/>
  <c r="E14" i="6"/>
  <c r="D14" i="6"/>
  <c r="D18" i="6" s="1"/>
  <c r="D11" i="6"/>
  <c r="G10" i="6"/>
  <c r="H10" i="6" s="1"/>
  <c r="I10" i="6" s="1"/>
  <c r="J10" i="6" s="1"/>
  <c r="K10" i="6" s="1"/>
  <c r="L10" i="6" s="1"/>
  <c r="F9" i="6"/>
  <c r="F11" i="6" s="1"/>
  <c r="F29" i="4" s="1"/>
  <c r="E9" i="6"/>
  <c r="F12" i="6" s="1"/>
  <c r="F28" i="5" s="1"/>
  <c r="F34" i="5" s="1"/>
  <c r="D9" i="6"/>
  <c r="C9" i="6"/>
  <c r="G8" i="6"/>
  <c r="H8" i="6" s="1"/>
  <c r="I8" i="6" s="1"/>
  <c r="J8" i="6" s="1"/>
  <c r="K8" i="6" s="1"/>
  <c r="L8" i="6" s="1"/>
  <c r="G7" i="6"/>
  <c r="H7" i="6" s="1"/>
  <c r="I7" i="6" s="1"/>
  <c r="J7" i="6" s="1"/>
  <c r="K7" i="6" s="1"/>
  <c r="L7" i="6" s="1"/>
  <c r="G6" i="6"/>
  <c r="H6" i="6" s="1"/>
  <c r="I6" i="6" s="1"/>
  <c r="J6" i="6" s="1"/>
  <c r="K6" i="6" s="1"/>
  <c r="J5" i="6"/>
  <c r="K5" i="6" s="1"/>
  <c r="G5" i="6"/>
  <c r="H5" i="6" s="1"/>
  <c r="I5" i="6" s="1"/>
  <c r="G4" i="6"/>
  <c r="H4" i="6" s="1"/>
  <c r="H3" i="6"/>
  <c r="I3" i="6" s="1"/>
  <c r="J3" i="6" s="1"/>
  <c r="K3" i="6" s="1"/>
  <c r="L3" i="6" s="1"/>
  <c r="E3" i="6"/>
  <c r="F3" i="6" s="1"/>
  <c r="G3" i="6" s="1"/>
  <c r="C38" i="5"/>
  <c r="D36" i="5" s="1"/>
  <c r="E34" i="5"/>
  <c r="D27" i="5"/>
  <c r="D34" i="5" s="1"/>
  <c r="L25" i="5"/>
  <c r="K25" i="5"/>
  <c r="J25" i="5"/>
  <c r="I25" i="5"/>
  <c r="H25" i="5"/>
  <c r="G25" i="5"/>
  <c r="F25" i="5"/>
  <c r="E25" i="5"/>
  <c r="D25" i="5"/>
  <c r="C25" i="5"/>
  <c r="E17" i="5"/>
  <c r="C17" i="5"/>
  <c r="D16" i="5"/>
  <c r="C16" i="5"/>
  <c r="L72" i="4"/>
  <c r="K72" i="4"/>
  <c r="J72" i="4"/>
  <c r="I72" i="4"/>
  <c r="H72" i="4"/>
  <c r="G72" i="4"/>
  <c r="F72" i="4"/>
  <c r="F64" i="4"/>
  <c r="E57" i="4"/>
  <c r="C52" i="4"/>
  <c r="E51" i="4"/>
  <c r="E52" i="4" s="1"/>
  <c r="E58" i="4" s="1"/>
  <c r="D51" i="4"/>
  <c r="D52" i="4" s="1"/>
  <c r="C51" i="4"/>
  <c r="C57" i="4" s="1"/>
  <c r="E49" i="4"/>
  <c r="D49" i="4"/>
  <c r="C49" i="4"/>
  <c r="E47" i="4"/>
  <c r="E46" i="4"/>
  <c r="F43" i="4" s="1"/>
  <c r="D46" i="4"/>
  <c r="C46" i="4"/>
  <c r="D47" i="4" s="1"/>
  <c r="E34" i="4"/>
  <c r="E38" i="4" s="1"/>
  <c r="F33" i="4"/>
  <c r="G33" i="4" s="1"/>
  <c r="H33" i="4" s="1"/>
  <c r="I33" i="4" s="1"/>
  <c r="J33" i="4" s="1"/>
  <c r="K33" i="4" s="1"/>
  <c r="L33" i="4" s="1"/>
  <c r="F32" i="4"/>
  <c r="G32" i="4" s="1"/>
  <c r="H32" i="4" s="1"/>
  <c r="I32" i="4" s="1"/>
  <c r="J32" i="4" s="1"/>
  <c r="K32" i="4" s="1"/>
  <c r="L32" i="4" s="1"/>
  <c r="G31" i="4"/>
  <c r="H31" i="4" s="1"/>
  <c r="I31" i="4" s="1"/>
  <c r="J31" i="4" s="1"/>
  <c r="K31" i="4" s="1"/>
  <c r="L31" i="4" s="1"/>
  <c r="F31" i="4"/>
  <c r="G30" i="4"/>
  <c r="H30" i="4" s="1"/>
  <c r="I30" i="4" s="1"/>
  <c r="J30" i="4" s="1"/>
  <c r="K30" i="4" s="1"/>
  <c r="L30" i="4" s="1"/>
  <c r="F30" i="4"/>
  <c r="E27" i="4"/>
  <c r="D27" i="4"/>
  <c r="D34" i="4" s="1"/>
  <c r="D38" i="4" s="1"/>
  <c r="C27" i="4"/>
  <c r="C34" i="4" s="1"/>
  <c r="C38" i="4" s="1"/>
  <c r="F26" i="4"/>
  <c r="G26" i="4" s="1"/>
  <c r="H26" i="4" s="1"/>
  <c r="I26" i="4" s="1"/>
  <c r="J26" i="4" s="1"/>
  <c r="K26" i="4" s="1"/>
  <c r="L26" i="4" s="1"/>
  <c r="F25" i="4"/>
  <c r="G25" i="4" s="1"/>
  <c r="H25" i="4" s="1"/>
  <c r="I25" i="4" s="1"/>
  <c r="J25" i="4" s="1"/>
  <c r="K25" i="4" s="1"/>
  <c r="L25" i="4" s="1"/>
  <c r="F24" i="4"/>
  <c r="G24" i="4" s="1"/>
  <c r="H24" i="4" s="1"/>
  <c r="I24" i="4" s="1"/>
  <c r="J24" i="4" s="1"/>
  <c r="K24" i="4" s="1"/>
  <c r="L24" i="4" s="1"/>
  <c r="F23" i="4"/>
  <c r="G23" i="4" s="1"/>
  <c r="H23" i="4" s="1"/>
  <c r="I23" i="4" s="1"/>
  <c r="J23" i="4" s="1"/>
  <c r="K23" i="4" s="1"/>
  <c r="L23" i="4" s="1"/>
  <c r="F22" i="4"/>
  <c r="G22" i="4" s="1"/>
  <c r="H22" i="4" s="1"/>
  <c r="I22" i="4" s="1"/>
  <c r="J22" i="4" s="1"/>
  <c r="K22" i="4" s="1"/>
  <c r="L22" i="4" s="1"/>
  <c r="F21" i="4"/>
  <c r="G21" i="4" s="1"/>
  <c r="H21" i="4" s="1"/>
  <c r="I21" i="4" s="1"/>
  <c r="J21" i="4" s="1"/>
  <c r="K21" i="4" s="1"/>
  <c r="L21" i="4" s="1"/>
  <c r="F20" i="4"/>
  <c r="G20" i="4" s="1"/>
  <c r="H20" i="4" s="1"/>
  <c r="I20" i="4" s="1"/>
  <c r="J20" i="4" s="1"/>
  <c r="K20" i="4" s="1"/>
  <c r="L20" i="4" s="1"/>
  <c r="F15" i="4"/>
  <c r="G15" i="4" s="1"/>
  <c r="H15" i="4" s="1"/>
  <c r="I15" i="4" s="1"/>
  <c r="J15" i="4" s="1"/>
  <c r="K15" i="4" s="1"/>
  <c r="L15" i="4" s="1"/>
  <c r="F14" i="4"/>
  <c r="G14" i="4" s="1"/>
  <c r="H14" i="4" s="1"/>
  <c r="I14" i="4" s="1"/>
  <c r="J14" i="4" s="1"/>
  <c r="K14" i="4" s="1"/>
  <c r="L14" i="4" s="1"/>
  <c r="G13" i="4"/>
  <c r="H13" i="4" s="1"/>
  <c r="I13" i="4" s="1"/>
  <c r="J13" i="4" s="1"/>
  <c r="K13" i="4" s="1"/>
  <c r="L13" i="4" s="1"/>
  <c r="F13" i="4"/>
  <c r="F12" i="4"/>
  <c r="G12" i="4" s="1"/>
  <c r="H12" i="4" s="1"/>
  <c r="I12" i="4" s="1"/>
  <c r="J12" i="4" s="1"/>
  <c r="K12" i="4" s="1"/>
  <c r="L12" i="4" s="1"/>
  <c r="E9" i="4"/>
  <c r="E16" i="4" s="1"/>
  <c r="D9" i="4"/>
  <c r="D16" i="4" s="1"/>
  <c r="C9" i="4"/>
  <c r="C16" i="4" s="1"/>
  <c r="F8" i="4"/>
  <c r="G8" i="4" s="1"/>
  <c r="H8" i="4" s="1"/>
  <c r="I8" i="4" s="1"/>
  <c r="J8" i="4" s="1"/>
  <c r="K8" i="4" s="1"/>
  <c r="L8" i="4" s="1"/>
  <c r="F7" i="4"/>
  <c r="G7" i="4" s="1"/>
  <c r="H7" i="4" s="1"/>
  <c r="I7" i="4" s="1"/>
  <c r="J7" i="4" s="1"/>
  <c r="K7" i="4" s="1"/>
  <c r="L7" i="4" s="1"/>
  <c r="F6" i="4"/>
  <c r="G6" i="4" s="1"/>
  <c r="H6" i="4" s="1"/>
  <c r="I6" i="4" s="1"/>
  <c r="J6" i="4" s="1"/>
  <c r="K6" i="4" s="1"/>
  <c r="L6" i="4" s="1"/>
  <c r="F5" i="4"/>
  <c r="G5" i="4" s="1"/>
  <c r="H5" i="4" s="1"/>
  <c r="I5" i="4" s="1"/>
  <c r="J5" i="4" s="1"/>
  <c r="K5" i="4" s="1"/>
  <c r="L5" i="4" s="1"/>
  <c r="E169" i="3"/>
  <c r="D169" i="3"/>
  <c r="C169" i="3"/>
  <c r="E168" i="3"/>
  <c r="D168" i="3"/>
  <c r="C168" i="3"/>
  <c r="E167" i="3"/>
  <c r="D167" i="3"/>
  <c r="C167" i="3"/>
  <c r="E165" i="3"/>
  <c r="D165" i="3"/>
  <c r="C165" i="3"/>
  <c r="E164" i="3"/>
  <c r="D164" i="3"/>
  <c r="C164" i="3"/>
  <c r="E159" i="3"/>
  <c r="E155" i="3"/>
  <c r="D155" i="3"/>
  <c r="D159" i="3" s="1"/>
  <c r="C155" i="3"/>
  <c r="E149" i="3"/>
  <c r="D149" i="3"/>
  <c r="E147" i="3"/>
  <c r="D147" i="3"/>
  <c r="E146" i="3"/>
  <c r="D146" i="3"/>
  <c r="E145" i="3"/>
  <c r="D145" i="3"/>
  <c r="D144" i="3"/>
  <c r="E143" i="3"/>
  <c r="D143" i="3"/>
  <c r="E142" i="3"/>
  <c r="D142" i="3"/>
  <c r="D137" i="3"/>
  <c r="E133" i="3"/>
  <c r="E144" i="3" s="1"/>
  <c r="D133" i="3"/>
  <c r="C133" i="3"/>
  <c r="C137" i="3" s="1"/>
  <c r="C139" i="3" s="1"/>
  <c r="E127" i="3"/>
  <c r="D127" i="3"/>
  <c r="C127" i="3"/>
  <c r="E126" i="3"/>
  <c r="D126" i="3"/>
  <c r="C126" i="3"/>
  <c r="E125" i="3"/>
  <c r="D125" i="3"/>
  <c r="C125" i="3"/>
  <c r="E124" i="3"/>
  <c r="D124" i="3"/>
  <c r="C124" i="3"/>
  <c r="E123" i="3"/>
  <c r="D123" i="3"/>
  <c r="C123" i="3"/>
  <c r="E122" i="3"/>
  <c r="D122" i="3"/>
  <c r="C122" i="3"/>
  <c r="L119" i="3"/>
  <c r="K119" i="3"/>
  <c r="J119" i="3"/>
  <c r="I119" i="3"/>
  <c r="H119" i="3"/>
  <c r="G119" i="3"/>
  <c r="F119" i="3"/>
  <c r="E119" i="3"/>
  <c r="D119" i="3"/>
  <c r="C119" i="3"/>
  <c r="G116" i="3"/>
  <c r="H116" i="3" s="1"/>
  <c r="I116" i="3" s="1"/>
  <c r="J116" i="3" s="1"/>
  <c r="K116" i="3" s="1"/>
  <c r="L116" i="3" s="1"/>
  <c r="E116" i="3"/>
  <c r="D116" i="3"/>
  <c r="C116" i="3"/>
  <c r="E115" i="3"/>
  <c r="D115" i="3"/>
  <c r="C115" i="3"/>
  <c r="E114" i="3"/>
  <c r="D114" i="3"/>
  <c r="C114" i="3"/>
  <c r="E113" i="3"/>
  <c r="F103" i="3" s="1"/>
  <c r="D113" i="3"/>
  <c r="C113" i="3"/>
  <c r="E112" i="3"/>
  <c r="F102" i="3" s="1"/>
  <c r="D112" i="3"/>
  <c r="C112" i="3"/>
  <c r="E111" i="3"/>
  <c r="D111" i="3"/>
  <c r="C111" i="3"/>
  <c r="E106" i="3"/>
  <c r="E108" i="3" s="1"/>
  <c r="D106" i="3"/>
  <c r="D108" i="3" s="1"/>
  <c r="C106" i="3"/>
  <c r="C108" i="3" s="1"/>
  <c r="F101" i="3"/>
  <c r="E96" i="3"/>
  <c r="D96" i="3"/>
  <c r="F95" i="3"/>
  <c r="G95" i="3" s="1"/>
  <c r="H95" i="3" s="1"/>
  <c r="I95" i="3" s="1"/>
  <c r="J95" i="3" s="1"/>
  <c r="K95" i="3" s="1"/>
  <c r="L95" i="3" s="1"/>
  <c r="E94" i="3"/>
  <c r="D94" i="3"/>
  <c r="F93" i="3"/>
  <c r="G93" i="3" s="1"/>
  <c r="H93" i="3" s="1"/>
  <c r="I93" i="3" s="1"/>
  <c r="E87" i="3"/>
  <c r="D87" i="3"/>
  <c r="L67" i="3"/>
  <c r="K67" i="3"/>
  <c r="J67" i="3"/>
  <c r="I67" i="3"/>
  <c r="H67" i="3"/>
  <c r="G67" i="3"/>
  <c r="F67" i="3"/>
  <c r="L66" i="3"/>
  <c r="K66" i="3"/>
  <c r="J66" i="3"/>
  <c r="I66" i="3"/>
  <c r="H66" i="3"/>
  <c r="G66" i="3"/>
  <c r="F66" i="3"/>
  <c r="E63" i="3"/>
  <c r="D63" i="3"/>
  <c r="C63" i="3"/>
  <c r="G56" i="3"/>
  <c r="G64" i="4" s="1"/>
  <c r="E26" i="3"/>
  <c r="D26" i="3"/>
  <c r="C26" i="3"/>
  <c r="E21" i="3"/>
  <c r="D21" i="3"/>
  <c r="E19" i="3"/>
  <c r="D19" i="3"/>
  <c r="E18" i="3"/>
  <c r="D18" i="3"/>
  <c r="E17" i="3"/>
  <c r="D17" i="3"/>
  <c r="E16" i="3"/>
  <c r="D16" i="3"/>
  <c r="E15" i="3"/>
  <c r="D15" i="3"/>
  <c r="F11" i="3"/>
  <c r="E10" i="3"/>
  <c r="D10" i="3"/>
  <c r="C10" i="3"/>
  <c r="F8" i="3"/>
  <c r="F7" i="3"/>
  <c r="F104" i="3" s="1"/>
  <c r="D17" i="2"/>
  <c r="D13" i="2"/>
  <c r="D14" i="2" s="1"/>
  <c r="E2" i="2"/>
  <c r="F2" i="2" s="1"/>
  <c r="G2" i="2" s="1"/>
  <c r="H2" i="2" s="1"/>
  <c r="I2" i="2" s="1"/>
  <c r="G61" i="3"/>
  <c r="F61" i="3"/>
  <c r="E30" i="1"/>
  <c r="C13" i="5"/>
  <c r="D13" i="5" l="1"/>
  <c r="H56" i="3"/>
  <c r="F97" i="3"/>
  <c r="F6" i="3" s="1"/>
  <c r="E128" i="3"/>
  <c r="E11" i="6"/>
  <c r="E137" i="3"/>
  <c r="E170" i="3" s="1"/>
  <c r="E12" i="6"/>
  <c r="D166" i="3"/>
  <c r="D128" i="3"/>
  <c r="E161" i="3"/>
  <c r="E166" i="3"/>
  <c r="D57" i="4"/>
  <c r="D20" i="3"/>
  <c r="G97" i="3"/>
  <c r="G6" i="3" s="1"/>
  <c r="G17" i="3" s="1"/>
  <c r="I97" i="3"/>
  <c r="I6" i="3" s="1"/>
  <c r="J93" i="3"/>
  <c r="J97" i="3" s="1"/>
  <c r="J6" i="3" s="1"/>
  <c r="J17" i="3" s="1"/>
  <c r="E20" i="3"/>
  <c r="H90" i="3"/>
  <c r="H5" i="3" s="1"/>
  <c r="I90" i="3"/>
  <c r="I5" i="3" s="1"/>
  <c r="F55" i="3"/>
  <c r="J83" i="3"/>
  <c r="J4" i="3" s="1"/>
  <c r="L83" i="3"/>
  <c r="L4" i="3" s="1"/>
  <c r="K83" i="3"/>
  <c r="K4" i="3" s="1"/>
  <c r="C35" i="3"/>
  <c r="C117" i="3"/>
  <c r="C28" i="3"/>
  <c r="D22" i="3"/>
  <c r="D28" i="3"/>
  <c r="D35" i="3"/>
  <c r="F90" i="3"/>
  <c r="F5" i="3" s="1"/>
  <c r="F112" i="3" s="1"/>
  <c r="G102" i="3" s="1"/>
  <c r="H27" i="4"/>
  <c r="G90" i="3"/>
  <c r="G5" i="3" s="1"/>
  <c r="D4" i="5"/>
  <c r="E50" i="3"/>
  <c r="I83" i="3"/>
  <c r="I4" i="3" s="1"/>
  <c r="F5" i="5"/>
  <c r="F4" i="5" s="1"/>
  <c r="C73" i="3"/>
  <c r="F83" i="3"/>
  <c r="F4" i="3" s="1"/>
  <c r="F111" i="3" s="1"/>
  <c r="G101" i="3" s="1"/>
  <c r="J90" i="3"/>
  <c r="J5" i="3" s="1"/>
  <c r="C179" i="3"/>
  <c r="I27" i="4"/>
  <c r="E22" i="3"/>
  <c r="E35" i="3"/>
  <c r="E28" i="3"/>
  <c r="C50" i="3"/>
  <c r="G5" i="5"/>
  <c r="G4" i="5" s="1"/>
  <c r="C53" i="4"/>
  <c r="C55" i="4" s="1"/>
  <c r="D71" i="3"/>
  <c r="D73" i="3"/>
  <c r="G83" i="3"/>
  <c r="G4" i="3" s="1"/>
  <c r="K90" i="3"/>
  <c r="K5" i="3" s="1"/>
  <c r="D179" i="3"/>
  <c r="D50" i="3"/>
  <c r="D53" i="4"/>
  <c r="D54" i="4" s="1"/>
  <c r="E71" i="3"/>
  <c r="E73" i="3"/>
  <c r="H83" i="3"/>
  <c r="H4" i="3" s="1"/>
  <c r="L90" i="3"/>
  <c r="L5" i="3" s="1"/>
  <c r="F51" i="4"/>
  <c r="F27" i="4"/>
  <c r="F34" i="4" s="1"/>
  <c r="G27" i="4"/>
  <c r="C4" i="5"/>
  <c r="J27" i="4"/>
  <c r="E4" i="5"/>
  <c r="E179" i="3"/>
  <c r="K27" i="4"/>
  <c r="L27" i="4"/>
  <c r="C34" i="5"/>
  <c r="F17" i="3"/>
  <c r="E117" i="3"/>
  <c r="G8" i="3"/>
  <c r="F105" i="3"/>
  <c r="H97" i="3"/>
  <c r="H6" i="3" s="1"/>
  <c r="G9" i="6"/>
  <c r="G7" i="3"/>
  <c r="C58" i="4"/>
  <c r="D139" i="3"/>
  <c r="D150" i="3" s="1"/>
  <c r="D148" i="3"/>
  <c r="F46" i="4"/>
  <c r="F106" i="3"/>
  <c r="F113" i="3"/>
  <c r="G103" i="3" s="1"/>
  <c r="L6" i="6"/>
  <c r="K9" i="6"/>
  <c r="F107" i="3"/>
  <c r="G11" i="3"/>
  <c r="D117" i="3"/>
  <c r="C128" i="3"/>
  <c r="D39" i="4"/>
  <c r="K17" i="6"/>
  <c r="C159" i="3"/>
  <c r="C166" i="3"/>
  <c r="C39" i="4"/>
  <c r="I4" i="6"/>
  <c r="H17" i="6"/>
  <c r="H9" i="6"/>
  <c r="E139" i="3"/>
  <c r="D170" i="3"/>
  <c r="D161" i="3"/>
  <c r="D58" i="4"/>
  <c r="E39" i="4"/>
  <c r="G17" i="6"/>
  <c r="D171" i="3" l="1"/>
  <c r="C54" i="4"/>
  <c r="F125" i="3"/>
  <c r="F127" i="3"/>
  <c r="F108" i="3"/>
  <c r="K93" i="3"/>
  <c r="E148" i="3"/>
  <c r="H64" i="4"/>
  <c r="I56" i="3"/>
  <c r="D55" i="4"/>
  <c r="G113" i="3"/>
  <c r="H103" i="3"/>
  <c r="G111" i="3"/>
  <c r="H101" i="3" s="1"/>
  <c r="G112" i="3"/>
  <c r="H102" i="3" s="1"/>
  <c r="C170" i="3"/>
  <c r="C161" i="3"/>
  <c r="C171" i="3" s="1"/>
  <c r="E31" i="3"/>
  <c r="E37" i="3"/>
  <c r="E29" i="3"/>
  <c r="L16" i="3"/>
  <c r="D74" i="3"/>
  <c r="D7" i="1"/>
  <c r="D37" i="3"/>
  <c r="D31" i="3"/>
  <c r="D29" i="3"/>
  <c r="G104" i="3"/>
  <c r="G125" i="3"/>
  <c r="H7" i="3"/>
  <c r="D62" i="4"/>
  <c r="D3" i="5"/>
  <c r="D19" i="5" s="1"/>
  <c r="D52" i="3"/>
  <c r="D61" i="4"/>
  <c r="D60" i="3"/>
  <c r="D64" i="3" s="1"/>
  <c r="J16" i="3"/>
  <c r="K15" i="3"/>
  <c r="G12" i="6"/>
  <c r="G28" i="5" s="1"/>
  <c r="G34" i="5" s="1"/>
  <c r="G11" i="6"/>
  <c r="G29" i="4" s="1"/>
  <c r="H17" i="3"/>
  <c r="H15" i="3"/>
  <c r="F122" i="3"/>
  <c r="F15" i="3"/>
  <c r="F9" i="3"/>
  <c r="G9" i="3" s="1"/>
  <c r="G10" i="3" s="1"/>
  <c r="G12" i="3" s="1"/>
  <c r="L15" i="3"/>
  <c r="G107" i="3"/>
  <c r="G127" i="3"/>
  <c r="G25" i="3"/>
  <c r="H11" i="3"/>
  <c r="G124" i="3"/>
  <c r="C62" i="4"/>
  <c r="C3" i="5"/>
  <c r="C19" i="5" s="1"/>
  <c r="C52" i="3"/>
  <c r="C60" i="3"/>
  <c r="C64" i="3" s="1"/>
  <c r="F28" i="3"/>
  <c r="G43" i="4"/>
  <c r="G46" i="4" s="1"/>
  <c r="F11" i="4"/>
  <c r="F25" i="3"/>
  <c r="E150" i="3"/>
  <c r="E171" i="3"/>
  <c r="H12" i="6"/>
  <c r="H28" i="5" s="1"/>
  <c r="H34" i="5" s="1"/>
  <c r="H11" i="6"/>
  <c r="H29" i="4" s="1"/>
  <c r="K97" i="3"/>
  <c r="K6" i="3" s="1"/>
  <c r="L93" i="3"/>
  <c r="F124" i="3"/>
  <c r="E74" i="3"/>
  <c r="K16" i="3"/>
  <c r="I16" i="3"/>
  <c r="I17" i="3"/>
  <c r="K11" i="6"/>
  <c r="K29" i="4" s="1"/>
  <c r="F126" i="3"/>
  <c r="G122" i="3"/>
  <c r="G15" i="3"/>
  <c r="E62" i="4"/>
  <c r="E3" i="5"/>
  <c r="E19" i="5" s="1"/>
  <c r="E61" i="4"/>
  <c r="E52" i="3"/>
  <c r="E60" i="3"/>
  <c r="E64" i="3" s="1"/>
  <c r="F65" i="4"/>
  <c r="F66" i="4" s="1"/>
  <c r="G55" i="3"/>
  <c r="D4" i="2"/>
  <c r="D5" i="2" s="1"/>
  <c r="I17" i="6"/>
  <c r="I9" i="6"/>
  <c r="J4" i="6"/>
  <c r="L17" i="6"/>
  <c r="L9" i="6"/>
  <c r="I15" i="3"/>
  <c r="D8" i="1"/>
  <c r="C37" i="3"/>
  <c r="C31" i="3"/>
  <c r="G126" i="3"/>
  <c r="G105" i="3"/>
  <c r="H8" i="3"/>
  <c r="H123" i="3" s="1"/>
  <c r="G123" i="3"/>
  <c r="G16" i="3"/>
  <c r="F123" i="3"/>
  <c r="F16" i="3"/>
  <c r="J15" i="3"/>
  <c r="H16" i="3"/>
  <c r="G34" i="3" l="1"/>
  <c r="E37" i="5"/>
  <c r="E42" i="5"/>
  <c r="E43" i="5" s="1"/>
  <c r="D37" i="5"/>
  <c r="D38" i="5" s="1"/>
  <c r="E36" i="5" s="1"/>
  <c r="D42" i="5"/>
  <c r="D43" i="5" s="1"/>
  <c r="E38" i="3"/>
  <c r="D38" i="3"/>
  <c r="G106" i="3"/>
  <c r="G24" i="3" s="1"/>
  <c r="F10" i="3"/>
  <c r="D32" i="3"/>
  <c r="I64" i="4"/>
  <c r="J56" i="3"/>
  <c r="H112" i="3"/>
  <c r="I102" i="3" s="1"/>
  <c r="H111" i="3"/>
  <c r="I101" i="3" s="1"/>
  <c r="D53" i="3"/>
  <c r="E32" i="3"/>
  <c r="D60" i="4"/>
  <c r="D40" i="3"/>
  <c r="F29" i="3"/>
  <c r="H127" i="3"/>
  <c r="H107" i="3"/>
  <c r="H25" i="3" s="1"/>
  <c r="I11" i="3"/>
  <c r="H125" i="3"/>
  <c r="H104" i="3"/>
  <c r="H106" i="3" s="1"/>
  <c r="I7" i="3"/>
  <c r="L97" i="3"/>
  <c r="L6" i="3" s="1"/>
  <c r="D9" i="1"/>
  <c r="K17" i="3"/>
  <c r="H126" i="3"/>
  <c r="H105" i="3"/>
  <c r="I8" i="3"/>
  <c r="C60" i="4"/>
  <c r="C40" i="3"/>
  <c r="H9" i="3"/>
  <c r="H124" i="3"/>
  <c r="H43" i="4"/>
  <c r="G11" i="4"/>
  <c r="G65" i="4"/>
  <c r="G66" i="4" s="1"/>
  <c r="E4" i="2"/>
  <c r="H55" i="3"/>
  <c r="G128" i="3"/>
  <c r="J9" i="6"/>
  <c r="J17" i="6"/>
  <c r="E53" i="3"/>
  <c r="H113" i="3"/>
  <c r="I103" i="3"/>
  <c r="L12" i="6"/>
  <c r="L28" i="5" s="1"/>
  <c r="L34" i="5" s="1"/>
  <c r="L11" i="6"/>
  <c r="L29" i="4" s="1"/>
  <c r="H34" i="4"/>
  <c r="H51" i="4"/>
  <c r="H122" i="3"/>
  <c r="I12" i="6"/>
  <c r="I28" i="5" s="1"/>
  <c r="I34" i="5" s="1"/>
  <c r="I11" i="6"/>
  <c r="I29" i="4" s="1"/>
  <c r="K34" i="4"/>
  <c r="K51" i="4"/>
  <c r="F128" i="3"/>
  <c r="G34" i="4"/>
  <c r="G51" i="4"/>
  <c r="E40" i="3"/>
  <c r="E60" i="4"/>
  <c r="H46" i="4" l="1"/>
  <c r="I43" i="4" s="1"/>
  <c r="H45" i="4"/>
  <c r="H61" i="3" s="1"/>
  <c r="H5" i="5" s="1"/>
  <c r="H4" i="5" s="1"/>
  <c r="F24" i="3"/>
  <c r="F12" i="3"/>
  <c r="E38" i="5"/>
  <c r="F36" i="5" s="1"/>
  <c r="G108" i="3"/>
  <c r="G117" i="3" s="1"/>
  <c r="F20" i="3"/>
  <c r="J64" i="4"/>
  <c r="K56" i="3"/>
  <c r="E41" i="3"/>
  <c r="G20" i="3"/>
  <c r="D41" i="3"/>
  <c r="I111" i="3"/>
  <c r="J101" i="3" s="1"/>
  <c r="I125" i="3"/>
  <c r="I104" i="3"/>
  <c r="I106" i="3" s="1"/>
  <c r="J7" i="3"/>
  <c r="I124" i="3"/>
  <c r="I123" i="3"/>
  <c r="I122" i="3"/>
  <c r="I127" i="3"/>
  <c r="I107" i="3"/>
  <c r="I25" i="3"/>
  <c r="J11" i="3"/>
  <c r="L34" i="4"/>
  <c r="L51" i="4"/>
  <c r="J12" i="6"/>
  <c r="J28" i="5" s="1"/>
  <c r="J34" i="5" s="1"/>
  <c r="J11" i="6"/>
  <c r="J29" i="4" s="1"/>
  <c r="K12" i="6"/>
  <c r="K28" i="5" s="1"/>
  <c r="K34" i="5" s="1"/>
  <c r="I105" i="3"/>
  <c r="J8" i="3"/>
  <c r="I126" i="3"/>
  <c r="L17" i="3"/>
  <c r="H128" i="3"/>
  <c r="H108" i="3"/>
  <c r="I112" i="3"/>
  <c r="J102" i="3" s="1"/>
  <c r="I34" i="4"/>
  <c r="I51" i="4"/>
  <c r="H11" i="4"/>
  <c r="I113" i="3"/>
  <c r="J103" i="3" s="1"/>
  <c r="I9" i="3"/>
  <c r="H10" i="3"/>
  <c r="H12" i="3" s="1"/>
  <c r="H65" i="4"/>
  <c r="H66" i="4" s="1"/>
  <c r="F4" i="2"/>
  <c r="I55" i="3"/>
  <c r="I45" i="4" l="1"/>
  <c r="I61" i="3" s="1"/>
  <c r="I5" i="5" s="1"/>
  <c r="I4" i="5" s="1"/>
  <c r="H34" i="3"/>
  <c r="H22" i="3"/>
  <c r="F34" i="3"/>
  <c r="F37" i="3" s="1"/>
  <c r="F22" i="3"/>
  <c r="F117" i="3"/>
  <c r="G22" i="3"/>
  <c r="F31" i="3"/>
  <c r="F32" i="3" s="1"/>
  <c r="F26" i="3"/>
  <c r="G28" i="3"/>
  <c r="G37" i="3" s="1"/>
  <c r="J9" i="3"/>
  <c r="J10" i="3" s="1"/>
  <c r="J12" i="3" s="1"/>
  <c r="K64" i="4"/>
  <c r="L56" i="3"/>
  <c r="L64" i="4" s="1"/>
  <c r="J113" i="3"/>
  <c r="K103" i="3" s="1"/>
  <c r="J34" i="4"/>
  <c r="J51" i="4"/>
  <c r="H28" i="3"/>
  <c r="H117" i="3"/>
  <c r="I10" i="3"/>
  <c r="I12" i="3" s="1"/>
  <c r="J111" i="3"/>
  <c r="K101" i="3" s="1"/>
  <c r="H24" i="3"/>
  <c r="H20" i="3"/>
  <c r="J126" i="3"/>
  <c r="K8" i="3"/>
  <c r="J105" i="3"/>
  <c r="J127" i="3"/>
  <c r="J107" i="3"/>
  <c r="J25" i="3"/>
  <c r="K11" i="3"/>
  <c r="J125" i="3"/>
  <c r="J104" i="3"/>
  <c r="K7" i="3"/>
  <c r="J124" i="3"/>
  <c r="J123" i="3"/>
  <c r="J122" i="3"/>
  <c r="J112" i="3"/>
  <c r="K102" i="3" s="1"/>
  <c r="I128" i="3"/>
  <c r="I65" i="4"/>
  <c r="I66" i="4" s="1"/>
  <c r="G4" i="2"/>
  <c r="J55" i="3"/>
  <c r="I108" i="3"/>
  <c r="I46" i="4" l="1"/>
  <c r="I34" i="3"/>
  <c r="I22" i="3"/>
  <c r="F38" i="3"/>
  <c r="F40" i="3"/>
  <c r="F41" i="3" s="1"/>
  <c r="J22" i="3"/>
  <c r="J34" i="3"/>
  <c r="G38" i="3"/>
  <c r="G26" i="3"/>
  <c r="G31" i="3"/>
  <c r="G32" i="3" s="1"/>
  <c r="G29" i="3"/>
  <c r="J106" i="3"/>
  <c r="J24" i="3" s="1"/>
  <c r="K112" i="3"/>
  <c r="L102" i="3" s="1"/>
  <c r="L112" i="3" s="1"/>
  <c r="K113" i="3"/>
  <c r="L103" i="3" s="1"/>
  <c r="L113" i="3" s="1"/>
  <c r="K126" i="3"/>
  <c r="L8" i="3"/>
  <c r="K105" i="3"/>
  <c r="I24" i="3"/>
  <c r="I20" i="3"/>
  <c r="K125" i="3"/>
  <c r="K104" i="3"/>
  <c r="L7" i="3"/>
  <c r="K122" i="3"/>
  <c r="K123" i="3"/>
  <c r="K124" i="3"/>
  <c r="G40" i="3"/>
  <c r="H37" i="3"/>
  <c r="H31" i="3"/>
  <c r="H29" i="3"/>
  <c r="H26" i="3"/>
  <c r="I117" i="3"/>
  <c r="I28" i="3"/>
  <c r="K111" i="3"/>
  <c r="L101" i="3" s="1"/>
  <c r="K9" i="3"/>
  <c r="K127" i="3"/>
  <c r="K107" i="3"/>
  <c r="L11" i="3"/>
  <c r="J128" i="3"/>
  <c r="J65" i="4"/>
  <c r="J66" i="4" s="1"/>
  <c r="H4" i="2"/>
  <c r="K55" i="3"/>
  <c r="J20" i="3"/>
  <c r="I11" i="4" l="1"/>
  <c r="J43" i="4"/>
  <c r="H38" i="3"/>
  <c r="G41" i="3"/>
  <c r="H32" i="3"/>
  <c r="J108" i="3"/>
  <c r="J28" i="3" s="1"/>
  <c r="K106" i="3"/>
  <c r="K108" i="3" s="1"/>
  <c r="I31" i="3"/>
  <c r="I32" i="3" s="1"/>
  <c r="I29" i="3"/>
  <c r="I37" i="3"/>
  <c r="I26" i="3"/>
  <c r="L105" i="3"/>
  <c r="L126" i="3"/>
  <c r="L111" i="3"/>
  <c r="K65" i="4"/>
  <c r="K66" i="4" s="1"/>
  <c r="L55" i="3"/>
  <c r="I4" i="2"/>
  <c r="K128" i="3"/>
  <c r="L125" i="3"/>
  <c r="L104" i="3"/>
  <c r="L106" i="3" s="1"/>
  <c r="L122" i="3"/>
  <c r="L124" i="3"/>
  <c r="L123" i="3"/>
  <c r="L9" i="3"/>
  <c r="L10" i="3" s="1"/>
  <c r="L12" i="3" s="1"/>
  <c r="H40" i="3"/>
  <c r="H41" i="3" s="1"/>
  <c r="L127" i="3"/>
  <c r="L107" i="3"/>
  <c r="L25" i="3" s="1"/>
  <c r="K25" i="3"/>
  <c r="K10" i="3"/>
  <c r="K12" i="3" s="1"/>
  <c r="J45" i="4" l="1"/>
  <c r="J61" i="3" s="1"/>
  <c r="J5" i="5" s="1"/>
  <c r="J4" i="5" s="1"/>
  <c r="I38" i="3"/>
  <c r="J117" i="3"/>
  <c r="K34" i="3"/>
  <c r="K22" i="3"/>
  <c r="L22" i="3"/>
  <c r="L34" i="3"/>
  <c r="L20" i="3"/>
  <c r="L24" i="3"/>
  <c r="L128" i="3"/>
  <c r="I40" i="3"/>
  <c r="I41" i="3" s="1"/>
  <c r="L65" i="4"/>
  <c r="L66" i="4" s="1"/>
  <c r="J29" i="3"/>
  <c r="J31" i="3"/>
  <c r="J32" i="3" s="1"/>
  <c r="J37" i="3"/>
  <c r="J26" i="3"/>
  <c r="K24" i="3"/>
  <c r="K20" i="3"/>
  <c r="K117" i="3"/>
  <c r="K28" i="3"/>
  <c r="L108" i="3"/>
  <c r="J46" i="4" l="1"/>
  <c r="J38" i="3"/>
  <c r="L117" i="3"/>
  <c r="D10" i="1" s="1"/>
  <c r="L28" i="3"/>
  <c r="J40" i="3"/>
  <c r="J41" i="3" s="1"/>
  <c r="K37" i="3"/>
  <c r="K29" i="3"/>
  <c r="K31" i="3"/>
  <c r="K32" i="3" s="1"/>
  <c r="K26" i="3"/>
  <c r="K43" i="4" l="1"/>
  <c r="J11" i="4"/>
  <c r="K38" i="3"/>
  <c r="K40" i="3"/>
  <c r="K41" i="3" s="1"/>
  <c r="L37" i="3"/>
  <c r="L31" i="3"/>
  <c r="L32" i="3" s="1"/>
  <c r="L29" i="3"/>
  <c r="L26" i="3"/>
  <c r="K45" i="4" l="1"/>
  <c r="K61" i="3" s="1"/>
  <c r="K5" i="5" s="1"/>
  <c r="K4" i="5" s="1"/>
  <c r="L38" i="3"/>
  <c r="L40" i="3"/>
  <c r="L41" i="3" s="1"/>
  <c r="K46" i="4" l="1"/>
  <c r="L43" i="4" l="1"/>
  <c r="K11" i="4"/>
  <c r="L45" i="4" l="1"/>
  <c r="L61" i="3" s="1"/>
  <c r="L5" i="5" s="1"/>
  <c r="L4" i="5" s="1"/>
  <c r="L46" i="4" l="1"/>
  <c r="L11" i="4" s="1"/>
  <c r="F4" i="4"/>
  <c r="G4" i="4"/>
  <c r="H4" i="4"/>
  <c r="I4" i="4"/>
  <c r="J4" i="4"/>
  <c r="K4" i="4"/>
  <c r="L4" i="4"/>
  <c r="F9" i="4"/>
  <c r="G9" i="4"/>
  <c r="H9" i="4"/>
  <c r="I9" i="4"/>
  <c r="J9" i="4"/>
  <c r="K9" i="4"/>
  <c r="L9" i="4"/>
  <c r="F16" i="4"/>
  <c r="G16" i="4"/>
  <c r="H16" i="4"/>
  <c r="I16" i="4"/>
  <c r="J16" i="4"/>
  <c r="K16" i="4"/>
  <c r="L16" i="4"/>
  <c r="F36" i="4"/>
  <c r="G36" i="4"/>
  <c r="H36" i="4"/>
  <c r="I36" i="4"/>
  <c r="J36" i="4"/>
  <c r="K36" i="4"/>
  <c r="L36" i="4"/>
  <c r="F38" i="4"/>
  <c r="G38" i="4"/>
  <c r="H38" i="4"/>
  <c r="I38" i="4"/>
  <c r="J38" i="4"/>
  <c r="K38" i="4"/>
  <c r="L38" i="4"/>
  <c r="F39" i="4"/>
  <c r="G39" i="4"/>
  <c r="H39" i="4"/>
  <c r="I39" i="4"/>
  <c r="J39" i="4"/>
  <c r="K39" i="4"/>
  <c r="L39" i="4"/>
  <c r="F49" i="4"/>
  <c r="G49" i="4"/>
  <c r="H49" i="4"/>
  <c r="I49" i="4"/>
  <c r="J49" i="4"/>
  <c r="K49" i="4"/>
  <c r="L49" i="4"/>
  <c r="F52" i="4"/>
  <c r="G52" i="4"/>
  <c r="H52" i="4"/>
  <c r="I52" i="4"/>
  <c r="J52" i="4"/>
  <c r="K52" i="4"/>
  <c r="L52" i="4"/>
  <c r="E53" i="4"/>
  <c r="F53" i="4"/>
  <c r="G53" i="4"/>
  <c r="H53" i="4"/>
  <c r="I53" i="4"/>
  <c r="J53" i="4"/>
  <c r="E54" i="4"/>
  <c r="F54" i="4"/>
  <c r="G54" i="4"/>
  <c r="H54" i="4"/>
  <c r="I54" i="4"/>
  <c r="J54" i="4"/>
  <c r="E55" i="4"/>
  <c r="F55" i="4"/>
  <c r="G55" i="4"/>
  <c r="H55" i="4"/>
  <c r="I55" i="4"/>
  <c r="J55" i="4"/>
  <c r="F57" i="4"/>
  <c r="G57" i="4"/>
  <c r="H57" i="4"/>
  <c r="I57" i="4"/>
  <c r="J57" i="4"/>
  <c r="K57" i="4"/>
  <c r="L57" i="4"/>
  <c r="F58" i="4"/>
  <c r="G58" i="4"/>
  <c r="H58" i="4"/>
  <c r="I58" i="4"/>
  <c r="J58" i="4"/>
  <c r="K58" i="4"/>
  <c r="L58" i="4"/>
  <c r="F60" i="4"/>
  <c r="G60" i="4"/>
  <c r="H60" i="4"/>
  <c r="I60" i="4"/>
  <c r="J60" i="4"/>
  <c r="K60" i="4"/>
  <c r="L60" i="4"/>
  <c r="F61" i="4"/>
  <c r="G61" i="4"/>
  <c r="H61" i="4"/>
  <c r="I61" i="4"/>
  <c r="J61" i="4"/>
  <c r="K61" i="4"/>
  <c r="L61" i="4"/>
  <c r="F62" i="4"/>
  <c r="G62" i="4"/>
  <c r="H62" i="4"/>
  <c r="I62" i="4"/>
  <c r="J62" i="4"/>
  <c r="K62" i="4"/>
  <c r="L62" i="4"/>
  <c r="F67" i="4"/>
  <c r="G67" i="4"/>
  <c r="H67" i="4"/>
  <c r="I67" i="4"/>
  <c r="J67" i="4"/>
  <c r="K67" i="4"/>
  <c r="L67" i="4"/>
  <c r="F68" i="4"/>
  <c r="G68" i="4"/>
  <c r="H68" i="4"/>
  <c r="I68" i="4"/>
  <c r="J68" i="4"/>
  <c r="K68" i="4"/>
  <c r="L68" i="4"/>
  <c r="F69" i="4"/>
  <c r="G69" i="4"/>
  <c r="H69" i="4"/>
  <c r="I69" i="4"/>
  <c r="J69" i="4"/>
  <c r="K69" i="4"/>
  <c r="F71" i="4"/>
  <c r="G71" i="4"/>
  <c r="H71" i="4"/>
  <c r="I71" i="4"/>
  <c r="J71" i="4"/>
  <c r="K71" i="4"/>
  <c r="L71" i="4"/>
  <c r="F73" i="4"/>
  <c r="G73" i="4"/>
  <c r="H73" i="4"/>
  <c r="I73" i="4"/>
  <c r="J73" i="4"/>
  <c r="K73" i="4"/>
  <c r="L73" i="4"/>
  <c r="F74" i="4"/>
  <c r="G74" i="4"/>
  <c r="H74" i="4"/>
  <c r="I74" i="4"/>
  <c r="J74" i="4"/>
  <c r="K74" i="4"/>
  <c r="L74" i="4"/>
  <c r="F75" i="4"/>
  <c r="G75" i="4"/>
  <c r="H75" i="4"/>
  <c r="I75" i="4"/>
  <c r="J75" i="4"/>
  <c r="K75" i="4"/>
  <c r="F3" i="5"/>
  <c r="G3" i="5"/>
  <c r="H3" i="5"/>
  <c r="I3" i="5"/>
  <c r="J3" i="5"/>
  <c r="K3" i="5"/>
  <c r="L3" i="5"/>
  <c r="F19" i="5"/>
  <c r="G19" i="5"/>
  <c r="H19" i="5"/>
  <c r="I19" i="5"/>
  <c r="J19" i="5"/>
  <c r="K19" i="5"/>
  <c r="L19" i="5"/>
  <c r="G36" i="5"/>
  <c r="H36" i="5"/>
  <c r="I36" i="5"/>
  <c r="J36" i="5"/>
  <c r="K36" i="5"/>
  <c r="L36" i="5"/>
  <c r="F37" i="5"/>
  <c r="G37" i="5"/>
  <c r="H37" i="5"/>
  <c r="I37" i="5"/>
  <c r="J37" i="5"/>
  <c r="K37" i="5"/>
  <c r="L37" i="5"/>
  <c r="F38" i="5"/>
  <c r="G38" i="5"/>
  <c r="H38" i="5"/>
  <c r="I38" i="5"/>
  <c r="J38" i="5"/>
  <c r="K38" i="5"/>
  <c r="L38" i="5"/>
  <c r="F42" i="5"/>
  <c r="G42" i="5"/>
  <c r="H42" i="5"/>
  <c r="I42" i="5"/>
  <c r="J42" i="5"/>
  <c r="K42" i="5"/>
  <c r="L42" i="5"/>
  <c r="F43" i="5"/>
  <c r="G43" i="5"/>
  <c r="H43" i="5"/>
  <c r="I43" i="5"/>
  <c r="J43" i="5"/>
  <c r="K43" i="5"/>
  <c r="L43" i="5"/>
  <c r="F14" i="6"/>
  <c r="G14" i="6"/>
  <c r="H14" i="6"/>
  <c r="I14" i="6"/>
  <c r="J14" i="6"/>
  <c r="K14" i="6"/>
  <c r="L14" i="6"/>
  <c r="F18" i="6"/>
  <c r="G18" i="6"/>
  <c r="H18" i="6"/>
  <c r="I18" i="6"/>
  <c r="J18" i="6"/>
  <c r="K18" i="6"/>
  <c r="L18" i="6"/>
  <c r="D5" i="1"/>
  <c r="D6" i="1"/>
  <c r="D11" i="1"/>
  <c r="D12" i="1"/>
  <c r="D13" i="1"/>
  <c r="D14" i="1"/>
  <c r="D15" i="1"/>
  <c r="D16" i="1"/>
  <c r="D18" i="1"/>
  <c r="D24" i="1"/>
  <c r="D26" i="1"/>
  <c r="F43" i="3"/>
  <c r="G43" i="3"/>
  <c r="H43" i="3"/>
  <c r="I43" i="3"/>
  <c r="J43" i="3"/>
  <c r="K43" i="3"/>
  <c r="L43" i="3"/>
  <c r="F45" i="3"/>
  <c r="G45" i="3"/>
  <c r="H45" i="3"/>
  <c r="I45" i="3"/>
  <c r="J45" i="3"/>
  <c r="K45" i="3"/>
  <c r="L45" i="3"/>
  <c r="F47" i="3"/>
  <c r="G47" i="3"/>
  <c r="H47" i="3"/>
  <c r="I47" i="3"/>
  <c r="J47" i="3"/>
  <c r="K47" i="3"/>
  <c r="L47" i="3"/>
  <c r="F50" i="3"/>
  <c r="G50" i="3"/>
  <c r="H50" i="3"/>
  <c r="I50" i="3"/>
  <c r="J50" i="3"/>
  <c r="K50" i="3"/>
  <c r="L50" i="3"/>
  <c r="F52" i="3"/>
  <c r="G52" i="3"/>
  <c r="H52" i="3"/>
  <c r="I52" i="3"/>
  <c r="J52" i="3"/>
  <c r="K52" i="3"/>
  <c r="L52" i="3"/>
  <c r="F53" i="3"/>
  <c r="G53" i="3"/>
  <c r="H53" i="3"/>
  <c r="I53" i="3"/>
  <c r="J53" i="3"/>
  <c r="K53" i="3"/>
  <c r="L53" i="3"/>
  <c r="F60" i="3"/>
  <c r="G60" i="3"/>
  <c r="H60" i="3"/>
  <c r="I60" i="3"/>
  <c r="J60" i="3"/>
  <c r="K60" i="3"/>
  <c r="L60" i="3"/>
  <c r="F62" i="3"/>
  <c r="G62" i="3"/>
  <c r="H62" i="3"/>
  <c r="I62" i="3"/>
  <c r="J62" i="3"/>
  <c r="K62" i="3"/>
  <c r="L62" i="3"/>
  <c r="F63" i="3"/>
  <c r="G63" i="3"/>
  <c r="H63" i="3"/>
  <c r="I63" i="3"/>
  <c r="J63" i="3"/>
  <c r="K63" i="3"/>
  <c r="L63" i="3"/>
  <c r="F64" i="3"/>
  <c r="G64" i="3"/>
  <c r="H64" i="3"/>
  <c r="I64" i="3"/>
  <c r="J64" i="3"/>
  <c r="K64" i="3"/>
  <c r="L64" i="3"/>
  <c r="F70" i="3"/>
  <c r="G70" i="3"/>
  <c r="H70" i="3"/>
  <c r="I70" i="3"/>
  <c r="J70" i="3"/>
  <c r="K70" i="3"/>
  <c r="L70" i="3"/>
  <c r="F71" i="3"/>
  <c r="G71" i="3"/>
  <c r="H71" i="3"/>
  <c r="I71" i="3"/>
  <c r="J71" i="3"/>
  <c r="K71" i="3"/>
  <c r="L71" i="3"/>
  <c r="F73" i="3"/>
  <c r="G73" i="3"/>
  <c r="H73" i="3"/>
  <c r="I73" i="3"/>
  <c r="J73" i="3"/>
  <c r="K73" i="3"/>
  <c r="L73" i="3"/>
  <c r="F74" i="3"/>
  <c r="G74" i="3"/>
  <c r="H74" i="3"/>
  <c r="I74" i="3"/>
  <c r="J74" i="3"/>
  <c r="K74" i="3"/>
  <c r="L74" i="3"/>
  <c r="E3" i="2"/>
  <c r="F3" i="2"/>
  <c r="G3" i="2"/>
  <c r="H3" i="2"/>
  <c r="I3" i="2"/>
  <c r="E5" i="2"/>
  <c r="F5" i="2"/>
  <c r="G5" i="2"/>
  <c r="H5" i="2"/>
  <c r="I5" i="2"/>
  <c r="D6" i="2"/>
  <c r="E6" i="2"/>
  <c r="F6" i="2"/>
  <c r="G6" i="2"/>
  <c r="H6" i="2"/>
  <c r="I6" i="2"/>
  <c r="D7" i="2"/>
  <c r="E7" i="2"/>
  <c r="F7" i="2"/>
  <c r="G7" i="2"/>
  <c r="H7" i="2"/>
  <c r="I7" i="2"/>
  <c r="D8" i="2"/>
  <c r="E8" i="2"/>
  <c r="F8" i="2"/>
  <c r="G8" i="2"/>
  <c r="H8" i="2"/>
  <c r="I8" i="2"/>
  <c r="D10" i="2"/>
  <c r="E10" i="2"/>
  <c r="F10" i="2"/>
  <c r="G10" i="2"/>
  <c r="H10" i="2"/>
  <c r="I10" i="2"/>
  <c r="E13" i="2"/>
  <c r="F13" i="2"/>
  <c r="G13" i="2"/>
  <c r="H13" i="2"/>
  <c r="I13" i="2"/>
  <c r="E14" i="2"/>
  <c r="F14" i="2"/>
  <c r="G14" i="2"/>
  <c r="H14" i="2"/>
  <c r="I14" i="2"/>
  <c r="D16" i="2"/>
  <c r="D18" i="2"/>
  <c r="D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tc={3C9A5456-C390-8746-BC2F-3C860095C3C5}</author>
    <author>tc={8ED2B822-1E9F-B74A-9DC9-6016B321699D}</author>
    <author>tc={96D85C40-D6FF-8B44-8B60-551BD21588E5}</author>
    <author>tc={C34DCC48-BF9B-E64E-9694-2CA5A6C2C82A}</author>
    <author>tc={60577D00-C290-B94C-BE5D-4C40127972E6}</author>
    <author>tc={A884A99D-B22E-7647-AABA-A814785736CD}</author>
    <author>tc={2B1541C4-70F6-5148-9705-8CCACCD71245}</author>
    <author>tc={7FF6E532-E8BE-524F-9F7C-A049B66B1D35}</author>
    <author>tc={9BE13FC1-F588-844E-A373-410D7D955D5B}</author>
    <author>tc={BC4C61EE-49F4-1A4F-92D2-4630B60EC814}</author>
    <author>tc={90CB5E32-C4A5-FC42-9628-F0AB14119EF6}</author>
    <author>tc={B836DAC0-76CB-D64B-9275-8FEFD8AEAB74}</author>
    <author>tc={FB7D19C0-B15E-1545-B331-5C132AAC89F3}</author>
    <author>tc={1B055D9C-B354-0444-9D57-3B6964017D53}</author>
    <author>tc={D5490A36-B5AD-3B47-8A99-1C10CDBD5B75}</author>
    <author>tc={28A2264F-AE3F-8C44-9241-5386AF6AB18B}</author>
    <author>tc={27C6812B-3358-8A42-A7BB-715F3DE3A6F7}</author>
    <author>tc={92CF0FF8-AFCE-8241-B6C7-D70EEE339130}</author>
    <author>tc={B57DD668-58EA-CF48-AC75-A74E9C55DBAB}</author>
    <author>tc={C26A65B0-2272-C34D-9459-016CB9B7B575}</author>
    <author>tc={5AF19ACA-122D-0B44-9281-7107D98CB5F3}</author>
    <author>tc={9C606890-36E4-CF48-94D2-07ECD13AE56A}</author>
    <author>tc={8B721708-00FE-8841-9DDE-859290D2E2B5}</author>
    <author>tc={DD3811F0-80D1-C241-94D8-08FED8926E09}</author>
    <author>tc={C63A9C87-35FD-A244-A2BB-27D06BBA03AD}</author>
    <author>tc={1DDCA86B-CCD1-F04C-9428-B4879D230EC6}</author>
    <author>tc={D658A0D1-E5FE-C74C-993E-A73A10C028D6}</author>
    <author>tc={695A9866-70BA-7E40-A147-84EA86BF3562}</author>
    <author>tc={8C5BECDA-4E43-454A-BEF8-0ABDAB594F13}</author>
    <author>tc={CE9C91DC-4C3F-9643-9D58-192D4764E8F6}</author>
    <author>tc={8F74BA19-FDC0-384A-B4C8-DC7F15F1EA50}</author>
    <author>tc={D1A41F97-EC2C-0A4D-A8D4-19BC36AD5804}</author>
    <author>tc={FD7DCDBF-4C2C-3940-813B-3111B624D600}</author>
    <author>tc={7BE401D6-2D05-0A4B-AAE1-40ED60FEB48C}</author>
    <author>tc={65987C33-4F63-6740-9A42-F6C855ECE72E}</author>
    <author>tc={1C69C8D6-BA9C-3B41-8436-1798A5C5FB59}</author>
    <author>tc={60514444-95AE-8F44-A94E-529FED7109F0}</author>
    <author>tc={B3B2AC56-CE6B-9D44-ABFE-7EFD0C170053}</author>
    <author>tc={BA2B01B7-5EFC-EE44-83D2-316EB3E46AC1}</author>
    <author>tc={45D89FD4-7C2C-114F-A2B1-613974F9B6F6}</author>
    <author>tc={3788C0DA-AC2A-A342-A6D2-A9C1E70318B0}</author>
    <author>tc={1358B70C-91D5-734C-B450-3E00CDE9E854}</author>
    <author>tc={34EC2421-7A61-9D44-B825-E32ED3EAE2B4}</author>
    <author>tc={9CE67C12-C95B-8B4D-837B-8187C6C24307}</author>
    <author>tc={9C013D30-161D-3A4C-A304-8D8208213086}</author>
    <author>tc={3C0D0C9F-9AA1-6043-A923-13575ED6C880}</author>
    <author>tc={606083D8-514E-B447-B6FB-F48AE12D21B4}</author>
    <author>tc={BC557D5D-660E-824F-BF10-699C0425AF83}</author>
    <author>tc={46E86BF5-5205-6D4A-8C56-06EEB301A3C9}</author>
    <author>tc={3134EAE2-A513-A34D-8419-0DF3B9E8F634}</author>
    <author>tc={63A30838-311D-2341-8196-21C4A9CBC828}</author>
    <author>tc={B6F82D69-A265-2C4E-9005-A7AE34C8329E}</author>
    <author>tc={2BFE295F-37E3-2347-99BA-3673165BF6E7}</author>
    <author>tc={B30C68F5-9E59-0E4B-A114-0058B1E7F7E2}</author>
    <author>tc={D9CC5BEF-357E-6A46-816A-366C426A2839}</author>
    <author>tc={26AE0BC3-0C8D-454C-9BC4-68BD08CCA403}</author>
    <author>tc={BCBB905E-096E-2041-B634-2D81B1614874}</author>
    <author>tc={C3806B36-0672-1546-873F-617CB2ECDE97}</author>
    <author>tc={BB8CAFA9-3C94-F944-B5DA-317CBDC402E2}</author>
    <author>tc={8009858A-84A2-0742-8C8C-AAC91DD3B866}</author>
    <author>tc={78D0A4EE-FC2F-B347-BB7D-B7F81662D327}</author>
    <author>tc={E7235D34-A6C9-074C-8F06-F360E3688D72}</author>
    <author>tc={00583DE5-EF8C-CB4D-9DFD-C7ADD32F73F3}</author>
    <author>tc={6C437D85-4C78-E14C-A63F-F481944F8218}</author>
    <author>tc={DC1A7D35-08EC-C244-9224-548D9025410F}</author>
    <author>tc={3AF54792-00CE-EB4A-B0DF-2998ED401443}</author>
    <author>tc={EB8E57C3-DD7B-6A4C-AA3A-F8E22E997AA8}</author>
    <author>tc={41358C39-45C1-B241-A329-3EBE60C4AC0A}</author>
    <author>tc={643C1C82-1541-AF4F-AAF6-287D5B457361}</author>
    <author>tc={0A08AB5E-B0BB-7E41-82CF-C236E5772AA9}</author>
    <author>tc={74902AFF-9123-4A4F-9FCE-3FACBC08E2CF}</author>
    <author>tc={C3483BB1-C827-DF48-9A7E-81D9BA6E245E}</author>
    <author>tc={FF9153E3-F4B0-9C45-A3AB-0527192DCB91}</author>
    <author>tc={62F56D99-B322-5B4F-9872-C92F91180863}</author>
    <author>tc={51A2BE7D-4C93-E441-BE3B-B25FE110061C}</author>
    <author>tc={0A679E0F-904F-F64E-9147-FE60E85893CF}</author>
    <author>tc={24F6A873-74D8-C14C-9FF5-1A4FB0A1761A}</author>
    <author>tc={88A5D259-F903-7747-8454-A77C28A8162C}</author>
    <author>tc={B0B37AE3-7A0D-C14D-AC36-62EB03CE51C6}</author>
    <author>tc={44D3A1CA-B43E-A549-AC62-4A2D1D08ED3F}</author>
    <author>tc={6D3294EF-E9A5-F340-8CCA-69C507BC15CA}</author>
    <author>tc={A17D4508-7F08-054E-A85B-B3A8600C2628}</author>
    <author>tc={91928198-F662-0D49-9CA3-D65C41182FEC}</author>
    <author>tc={924F0FDF-5D22-9040-93E8-CF5F18167CA1}</author>
    <author>tc={DCE006A2-2733-8049-BED8-51C38719BD84}</author>
    <author>tc={FBAFC376-7DFE-5042-BCDB-273A053C11C2}</author>
    <author>tc={93EEEE0D-125E-5B4E-AD79-A0E4F609150D}</author>
    <author>tc={03A2B30E-C93B-1842-961B-BA123F558AB9}</author>
    <author>tc={6B66ADDE-3F46-BA41-BCD2-0794DCBA2A3A}</author>
    <author>tc={7745D64D-C737-814E-83E4-F9904F6CBE48}</author>
    <author>tc={271A6212-4994-ED4B-B910-6CE0723A9234}</author>
    <author>tc={EC66A109-AEC6-444C-8EEE-A4923E07288B}</author>
    <author>tc={8869832D-E04F-B946-974E-D95A6996FE3E}</author>
    <author>tc={110BE939-401E-FD40-AAEB-A8AF5910B86E}</author>
    <author>tc={CDD153BF-EEE7-404E-BC7D-9B1692BF9CC9}</author>
    <author>tc={3F8CEE32-3DF8-9A42-A94A-DD2FEE2D0E7D}</author>
    <author>tc={FCA9B127-139F-584B-A548-9FE398F12664}</author>
    <author>tc={D3647DC1-39BD-1D46-B56D-A54170C9FF93}</author>
    <author>tc={D319A78A-7019-924D-8DB0-38647427D2A7}</author>
    <author>tc={0E084E76-B418-6C4E-978B-DF7B200E3357}</author>
    <author>tc={48F38ED6-5DB0-3E44-971B-992BF3879A88}</author>
    <author>tc={D707C9E0-BF90-3F46-8A61-B0C31ADFBAB3}</author>
    <author>tc={BD1C95C0-4629-B749-A07E-01DD4810A124}</author>
    <author>tc={6B59C178-F4D8-E248-9816-665061E92B35}</author>
    <author>tc={EA24C89F-0B57-B445-849B-9A37ADF0A08C}</author>
    <author>tc={DFB581D1-2579-5246-8363-9FC41DE49CBD}</author>
    <author>tc={1A68E5C4-F38A-7848-885F-DAC7BD759D57}</author>
    <author>tc={57941DD8-7E6D-AC4F-838A-0B098084DBCF}</author>
    <author>tc={FF68A578-78F8-1640-827F-EDDDE8524CB0}</author>
    <author>tc={BBB39A5E-E11A-C94C-A397-8BA3CF764D1E}</author>
  </authors>
  <commentList>
    <comment ref="D4" authorId="0" shapeId="0" xr:uid="{3C9A5456-C390-8746-BC2F-3C860095C3C5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E4" authorId="1" shapeId="0" xr:uid="{8ED2B822-1E9F-B74A-9DC9-6016B321699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5" authorId="2" shapeId="0" xr:uid="{96D85C40-D6FF-8B44-8B60-551BD2158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E5" authorId="3" shapeId="0" xr:uid="{C34DCC48-BF9B-E64E-9694-2CA5A6C2C82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6" authorId="4" shapeId="0" xr:uid="{60577D00-C290-B94C-BE5D-4C40127972E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E6" authorId="5" shapeId="0" xr:uid="{A884A99D-B22E-7647-AABA-A814785736C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7" authorId="6" shapeId="0" xr:uid="{2B1541C4-70F6-5148-9705-8CCACCD71245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E7" authorId="7" shapeId="0" xr:uid="{7FF6E532-E8BE-524F-9F7C-A049B66B1D35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8" authorId="8" shapeId="0" xr:uid="{9BE13FC1-F588-844E-A373-410D7D955D5B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E8" authorId="9" shapeId="0" xr:uid="{BC4C61EE-49F4-1A4F-92D2-4630B60EC81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9" authorId="10" shapeId="0" xr:uid="{90CB5E32-C4A5-FC42-9628-F0AB14119EF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E9" authorId="11" shapeId="0" xr:uid="{B836DAC0-76CB-D64B-9275-8FEFD8AEAB7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11" authorId="12" shapeId="0" xr:uid="{FB7D19C0-B15E-1545-B331-5C132AAC89F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E11" authorId="13" shapeId="0" xr:uid="{1B055D9C-B354-0444-9D57-3B6964017D5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24" authorId="14" shapeId="0" xr:uid="{D5490A36-B5AD-3B47-8A99-1C10CDBD5B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Pg 69 2024 10K
</t>
      </text>
    </comment>
    <comment ref="E24" authorId="15" shapeId="0" xr:uid="{28A2264F-AE3F-8C44-9241-5386AF6AB18B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69 2024 10K</t>
      </text>
    </comment>
    <comment ref="D25" authorId="16" shapeId="0" xr:uid="{27C6812B-3358-8A42-A7BB-715F3DE3A6F7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69 2024 10K</t>
      </text>
    </comment>
    <comment ref="E25" authorId="17" shapeId="0" xr:uid="{92CF0FF8-AFCE-8241-B6C7-D70EEE33913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69 2024 10K</t>
      </text>
    </comment>
    <comment ref="D34" authorId="18" shapeId="0" xr:uid="{B57DD668-58EA-CF48-AC75-A74E9C55DBAB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69 2024 10K</t>
      </text>
    </comment>
    <comment ref="E34" authorId="19" shapeId="0" xr:uid="{C26A65B0-2272-C34D-9459-016CB9B7B575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69 2024 10K</t>
      </text>
    </comment>
    <comment ref="D43" authorId="20" shapeId="0" xr:uid="{5AF19ACA-122D-0B44-9281-7107D98CB5F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69 2024 10K</t>
      </text>
    </comment>
    <comment ref="E43" authorId="21" shapeId="0" xr:uid="{9C606890-36E4-CF48-94D2-07ECD13AE56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69 2024 10K</t>
      </text>
    </comment>
    <comment ref="D44" authorId="22" shapeId="0" xr:uid="{8B721708-00FE-8841-9DDE-859290D2E2B5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69 2024 10K</t>
      </text>
    </comment>
    <comment ref="E44" authorId="23" shapeId="0" xr:uid="{DD3811F0-80D1-C241-94D8-08FED8926E09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69 2024 10K</t>
      </text>
    </comment>
    <comment ref="D47" authorId="24" shapeId="0" xr:uid="{C63A9C87-35FD-A244-A2BB-27D06BBA03A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69 2024 10K</t>
      </text>
    </comment>
    <comment ref="E47" authorId="25" shapeId="0" xr:uid="{1DDCA86B-CCD1-F04C-9428-B4879D230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69 2024 10K</t>
      </text>
    </comment>
    <comment ref="D55" authorId="26" shapeId="0" xr:uid="{D658A0D1-E5FE-C74C-993E-A73A10C028D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69 2024 10K</t>
      </text>
    </comment>
    <comment ref="E55" authorId="27" shapeId="0" xr:uid="{695A9866-70BA-7E40-A147-84EA86BF3562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69 2024 10K</t>
      </text>
    </comment>
    <comment ref="C61" authorId="28" shapeId="0" xr:uid="{8C5BECDA-4E43-454A-BEF8-0ABDAB594F1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D61" authorId="29" shapeId="0" xr:uid="{CE9C91DC-4C3F-9643-9D58-192D4764E8F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E61" authorId="30" shapeId="0" xr:uid="{8F74BA19-FDC0-384A-B4C8-DC7F15F1EA5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C62" authorId="31" shapeId="0" xr:uid="{D1A41F97-EC2C-0A4D-A8D4-19BC36AD580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D62" authorId="32" shapeId="0" xr:uid="{FD7DCDBF-4C2C-3940-813B-3111B624D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E62" authorId="33" shapeId="0" xr:uid="{7BE401D6-2D05-0A4B-AAE1-40ED60FEB48C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C66" authorId="34" shapeId="0" xr:uid="{65987C33-4F63-6740-9A42-F6C855ECE72E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D66" authorId="35" shapeId="0" xr:uid="{1C69C8D6-BA9C-3B41-8436-1798A5C5FB59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E66" authorId="36" shapeId="0" xr:uid="{60514444-95AE-8F44-A94E-529FED7109F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C67" authorId="37" shapeId="0" xr:uid="{B3B2AC56-CE6B-9D44-ABFE-7EFD0C17005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D67" authorId="38" shapeId="0" xr:uid="{BA2B01B7-5EFC-EE44-83D2-316EB3E46AC1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E67" authorId="39" shapeId="0" xr:uid="{45D89FD4-7C2C-114F-A2B1-613974F9B6F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C68" authorId="40" shapeId="0" xr:uid="{3788C0DA-AC2A-A342-A6D2-A9C1E70318B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D68" authorId="41" shapeId="0" xr:uid="{1358B70C-91D5-734C-B450-3E00CDE9E85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E68" authorId="42" shapeId="0" xr:uid="{34EC2421-7A61-9D44-B825-E32ED3EAE2B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C69" authorId="43" shapeId="0" xr:uid="{9CE67C12-C95B-8B4D-837B-8187C6C24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D69" authorId="44" shapeId="0" xr:uid="{9C013D30-161D-3A4C-A304-8D8208213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E69" authorId="45" shapeId="0" xr:uid="{3C0D0C9F-9AA1-6043-A923-13575ED6C88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61 2024 10K</t>
      </text>
    </comment>
    <comment ref="C79" authorId="46" shapeId="0" xr:uid="{606083D8-514E-B447-B6FB-F48AE12D21B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79" authorId="47" shapeId="0" xr:uid="{BC557D5D-660E-824F-BF10-699C0425AF8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E79" authorId="48" shapeId="0" xr:uid="{46E86BF5-5205-6D4A-8C56-06EEB301A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C81" authorId="49" shapeId="0" xr:uid="{3134EAE2-A513-A34D-8419-0DF3B9E8F63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81" authorId="50" shapeId="0" xr:uid="{63A30838-311D-2341-8196-21C4A9CBC828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E81" authorId="51" shapeId="0" xr:uid="{B6F82D69-A265-2C4E-9005-A7AE34C8329E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C86" authorId="52" shapeId="0" xr:uid="{2BFE295F-37E3-2347-99BA-3673165BF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86" authorId="53" shapeId="0" xr:uid="{B30C68F5-9E59-0E4B-A114-0058B1E7F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C88" authorId="54" shapeId="0" xr:uid="{D9CC5BEF-357E-6A46-816A-366C426A2839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88" authorId="55" shapeId="0" xr:uid="{26AE0BC3-0C8D-454C-9BC4-68BD08CCA40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C93" authorId="56" shapeId="0" xr:uid="{BCBB905E-096E-2041-B634-2D81B1614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93" authorId="57" shapeId="0" xr:uid="{C3806B36-0672-1546-873F-617CB2ECDE97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E93" authorId="58" shapeId="0" xr:uid="{BB8CAFA9-3C94-F944-B5DA-317CBDC402E2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C95" authorId="59" shapeId="0" xr:uid="{8009858A-84A2-0742-8C8C-AAC91DD3B86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95" authorId="60" shapeId="0" xr:uid="{78D0A4EE-FC2F-B347-BB7D-B7F81662D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E95" authorId="61" shapeId="0" xr:uid="{E7235D34-A6C9-074C-8F06-F360E3688D72}">
      <text>
        <t>[Threaded comment]
Your version of Excel allows you to read this threaded comment; however, any edits to it will get removed if the file is opened in a newer version of Excel. Learn more: https://go.microsoft.com/fwlink/?linkid=870924
Comment:
    Pg 43 2024 10K</t>
      </text>
    </comment>
    <comment ref="D101" authorId="62" shapeId="0" xr:uid="{00583DE5-EF8C-CB4D-9DFD-C7ADD32F73F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 2024 10K</t>
      </text>
    </comment>
    <comment ref="E101" authorId="63" shapeId="0" xr:uid="{6C437D85-4C78-E14C-A63F-F481944F8218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 2024 10K</t>
      </text>
    </comment>
    <comment ref="D102" authorId="64" shapeId="0" xr:uid="{DC1A7D35-08EC-C244-9224-548D9025410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 2024 10K</t>
      </text>
    </comment>
    <comment ref="E102" authorId="65" shapeId="0" xr:uid="{3AF54792-00CE-EB4A-B0DF-2998ED40144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 2024 10K</t>
      </text>
    </comment>
    <comment ref="D103" authorId="66" shapeId="0" xr:uid="{EB8E57C3-DD7B-6A4C-AA3A-F8E22E997AA8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 2024 10K</t>
      </text>
    </comment>
    <comment ref="E103" authorId="67" shapeId="0" xr:uid="{41358C39-45C1-B241-A329-3EBE60C4AC0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 2024 10K</t>
      </text>
    </comment>
    <comment ref="D104" authorId="68" shapeId="0" xr:uid="{643C1C82-1541-AF4F-AAF6-287D5B457361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 2024 10K</t>
      </text>
    </comment>
    <comment ref="E104" authorId="69" shapeId="0" xr:uid="{0A08AB5E-B0BB-7E41-82CF-C236E5772AA9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 2024 10K</t>
      </text>
    </comment>
    <comment ref="D105" authorId="70" shapeId="0" xr:uid="{74902AFF-9123-4A4F-9FCE-3FACBC08E2C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 2024 10K</t>
      </text>
    </comment>
    <comment ref="E105" authorId="71" shapeId="0" xr:uid="{C3483BB1-C827-DF48-9A7E-81D9BA6E2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 2024 10K</t>
      </text>
    </comment>
    <comment ref="D107" authorId="72" shapeId="0" xr:uid="{FF9153E3-F4B0-9C45-A3AB-0527192DC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 2024 10K</t>
      </text>
    </comment>
    <comment ref="E107" authorId="73" shapeId="0" xr:uid="{62F56D99-B322-5B4F-9872-C92F91180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6 2024 10K</t>
      </text>
    </comment>
    <comment ref="C131" authorId="74" shapeId="0" xr:uid="{51A2BE7D-4C93-E441-BE3B-B25FE110061C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102 2024 10K</t>
      </text>
    </comment>
    <comment ref="D131" authorId="75" shapeId="0" xr:uid="{0A679E0F-904F-F64E-9147-FE60E85893C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101 2024 10K</t>
      </text>
    </comment>
    <comment ref="E131" authorId="76" shapeId="0" xr:uid="{24F6A873-74D8-C14C-9FF5-1A4FB0A17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100 2024 10K</t>
      </text>
    </comment>
    <comment ref="C132" authorId="77" shapeId="0" xr:uid="{88A5D259-F903-7747-8454-A77C28A81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102 2024 10K</t>
      </text>
    </comment>
    <comment ref="D132" authorId="78" shapeId="0" xr:uid="{B0B37AE3-7A0D-C14D-AC36-62EB03CE5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101 2024 10K</t>
      </text>
    </comment>
    <comment ref="E132" authorId="79" shapeId="0" xr:uid="{44D3A1CA-B43E-A549-AC62-4A2D1D08ED3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100 2024 10K</t>
      </text>
    </comment>
    <comment ref="C134" authorId="80" shapeId="0" xr:uid="{6D3294EF-E9A5-F340-8CCA-69C507BC15C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102 2024 10K</t>
      </text>
    </comment>
    <comment ref="D134" authorId="81" shapeId="0" xr:uid="{A17D4508-7F08-054E-A85B-B3A8600C2628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101 2024 10K</t>
      </text>
    </comment>
    <comment ref="E134" authorId="82" shapeId="0" xr:uid="{91928198-F662-0D49-9CA3-D65C41182FEC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100 2024 10K</t>
      </text>
    </comment>
    <comment ref="C135" authorId="83" shapeId="0" xr:uid="{924F0FDF-5D22-9040-93E8-CF5F18167CA1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102 2024 10K</t>
      </text>
    </comment>
    <comment ref="D135" authorId="84" shapeId="0" xr:uid="{DCE006A2-2733-8049-BED8-51C38719B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101 2024 10K</t>
      </text>
    </comment>
    <comment ref="E135" authorId="85" shapeId="0" xr:uid="{FBAFC376-7DFE-5042-BCDB-273A053C11C2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100 2024 10K</t>
      </text>
    </comment>
    <comment ref="C136" authorId="86" shapeId="0" xr:uid="{93EEEE0D-125E-5B4E-AD79-A0E4F609150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102 2024 10K</t>
      </text>
    </comment>
    <comment ref="D136" authorId="87" shapeId="0" xr:uid="{03A2B30E-C93B-1842-961B-BA123F558AB9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101 2024 10K</t>
      </text>
    </comment>
    <comment ref="E136" authorId="88" shapeId="0" xr:uid="{6B66ADDE-3F46-BA41-BCD2-0794DCBA2A3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100 2024 10K</t>
      </text>
    </comment>
    <comment ref="C138" authorId="89" shapeId="0" xr:uid="{7745D64D-C737-814E-83E4-F9904F6CBE48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102 2024 10K</t>
      </text>
    </comment>
    <comment ref="D138" authorId="90" shapeId="0" xr:uid="{271A6212-4994-ED4B-B910-6CE0723A9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101 2024 10K</t>
      </text>
    </comment>
    <comment ref="E138" authorId="91" shapeId="0" xr:uid="{EC66A109-AEC6-444C-8EEE-A4923E072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100 2024 10K</t>
      </text>
    </comment>
    <comment ref="C153" authorId="92" shapeId="0" xr:uid="{8869832D-E04F-B946-974E-D95A6996F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102 2024 10K</t>
      </text>
    </comment>
    <comment ref="D153" authorId="93" shapeId="0" xr:uid="{110BE939-401E-FD40-AAEB-A8AF5910B86E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101 2024 10K</t>
      </text>
    </comment>
    <comment ref="E153" authorId="94" shapeId="0" xr:uid="{CDD153BF-EEE7-404E-BC7D-9B1692BF9CC9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100 2024 10K</t>
      </text>
    </comment>
    <comment ref="C154" authorId="95" shapeId="0" xr:uid="{3F8CEE32-3DF8-9A42-A94A-DD2FEE2D0E7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102 2024 10K</t>
      </text>
    </comment>
    <comment ref="D154" authorId="96" shapeId="0" xr:uid="{FCA9B127-139F-584B-A548-9FE398F1266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101 2024 10K</t>
      </text>
    </comment>
    <comment ref="E154" authorId="97" shapeId="0" xr:uid="{D3647DC1-39BD-1D46-B56D-A54170C9FF9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100 2024 10K</t>
      </text>
    </comment>
    <comment ref="C156" authorId="98" shapeId="0" xr:uid="{D319A78A-7019-924D-8DB0-38647427D2A7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102 2024 10K</t>
      </text>
    </comment>
    <comment ref="D156" authorId="99" shapeId="0" xr:uid="{0E084E76-B418-6C4E-978B-DF7B200E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101 2024 10K</t>
      </text>
    </comment>
    <comment ref="E156" authorId="100" shapeId="0" xr:uid="{48F38ED6-5DB0-3E44-971B-992BF3879A88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100 2024 10K</t>
      </text>
    </comment>
    <comment ref="C157" authorId="101" shapeId="0" xr:uid="{D707C9E0-BF90-3F46-8A61-B0C31ADFB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102 2024 10K</t>
      </text>
    </comment>
    <comment ref="D157" authorId="102" shapeId="0" xr:uid="{BD1C95C0-4629-B749-A07E-01DD4810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101 2024 10K</t>
      </text>
    </comment>
    <comment ref="E157" authorId="103" shapeId="0" xr:uid="{6B59C178-F4D8-E248-9816-665061E92B35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100 2024 10K</t>
      </text>
    </comment>
    <comment ref="C158" authorId="104" shapeId="0" xr:uid="{EA24C89F-0B57-B445-849B-9A37ADF0A08C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102 2024 10K</t>
      </text>
    </comment>
    <comment ref="D158" authorId="105" shapeId="0" xr:uid="{DFB581D1-2579-5246-8363-9FC41DE49CB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101 2024 10K</t>
      </text>
    </comment>
    <comment ref="E158" authorId="106" shapeId="0" xr:uid="{1A68E5C4-F38A-7848-885F-DAC7BD759D57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100 2024 10K</t>
      </text>
    </comment>
    <comment ref="C160" authorId="107" shapeId="0" xr:uid="{57941DD8-7E6D-AC4F-838A-0B098084D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102 2024 10K</t>
      </text>
    </comment>
    <comment ref="D160" authorId="108" shapeId="0" xr:uid="{FF68A578-78F8-1640-827F-EDDDE8524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101 2024 10K</t>
      </text>
    </comment>
    <comment ref="E160" authorId="109" shapeId="0" xr:uid="{BBB39A5E-E11A-C94C-A397-8BA3CF764D1E}">
      <text>
        <t>[Threaded comment]
Your version of Excel allows you to read this threaded comment; however, any edits to it will get removed if the file is opened in a newer version of Excel. Learn more: https://go.microsoft.com/fwlink/?linkid=870924
Comment:
    Pg 100 2024 10K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tc={C53D4E4D-91D4-F24B-9C75-702B81B5F1DF}</author>
    <author>tc={D8A42B19-2CBB-9945-B7E4-E61D552532C6}</author>
    <author>tc={63314346-8FCB-C840-B3F0-07CBF460FA5C}</author>
    <author>tc={799FDB32-BCEB-2345-BF9E-FDFCFDCE3E11}</author>
    <author>tc={7D798316-054A-FE43-90FA-824A05CC10F1}</author>
    <author>tc={6580FC8C-EC83-AF4C-A7ED-0F0E59F655BF}</author>
    <author>tc={6265DF48-E771-984E-B2DE-391D56511F07}</author>
    <author>tc={EBAFC9D6-E452-CD46-BD21-15AF19773DDD}</author>
    <author>tc={5F9374FA-3019-1241-995C-4154C313B1E6}</author>
    <author>tc={1C0C596B-070A-AC46-B7CF-2064F21BEA3B}</author>
    <author>tc={2C70566C-EEDE-6244-AD82-BFB862456893}</author>
    <author>tc={A09A1810-7578-CC4D-819B-396F5BDCEB48}</author>
    <author>tc={3D255635-55E5-B941-AFBF-F863F9255C5D}</author>
    <author>tc={3D3AF7C8-55A4-2D42-A4E4-4ED6BEF1547F}</author>
    <author>tc={57595F77-96C1-B94B-AE94-1F781C016689}</author>
    <author>tc={8739FDC7-E020-2349-835A-76D20AED38F8}</author>
    <author>tc={47E482A4-2AB0-4F4A-8B18-1007FBAE3D22}</author>
    <author>tc={315AF89B-4748-4341-9A41-E17E0864E747}</author>
    <author>tc={6B74CBF7-2A11-4D4C-BC44-57393D5C4BDC}</author>
    <author>tc={8D8896E9-C217-CB4B-9F11-33B0A344E7DD}</author>
    <author>tc={1823BE1C-795F-EB48-83F5-E362417FA1DD}</author>
    <author>tc={4C6B2C7A-34D3-9943-88E1-7F37B406450F}</author>
    <author>tc={608CCF5E-5130-DA4C-A945-9DD294AE0684}</author>
    <author>tc={2B50DF78-7519-594C-A3C3-A6A0FF46A2F3}</author>
    <author>tc={B9F12B58-9727-7342-B553-C82F02B50445}</author>
    <author>tc={C9181D33-1F50-0143-AA94-1CCC56BD6184}</author>
    <author>tc={5BC8B66F-25E1-C941-801C-6D1E5107BA1F}</author>
    <author>tc={037C21D4-A894-CA47-A481-45593B2EB891}</author>
    <author>tc={A5F2397C-0E25-6142-B62E-6B0EBD4CACA1}</author>
    <author>tc={CF0334C0-99B4-D242-9179-3BE434D5A746}</author>
    <author>tc={7294DCF7-0CFE-954D-9D35-5D8AA562049A}</author>
    <author>tc={BDAC4849-E87B-7F40-802C-8CDA1FAE947A}</author>
    <author>tc={21EBBE2C-449C-1E4F-9402-654D45701581}</author>
    <author>tc={4D37291C-F635-1D45-91DE-8022281F16E3}</author>
    <author>tc={9FAC61EB-93D9-8342-8674-387CD2DF24B0}</author>
    <author>tc={B7CC98B8-2780-8F48-8170-EC769C96B348}</author>
    <author>tc={FFFBD720-DAD8-FB4D-93C3-F42522656611}</author>
    <author>tc={49E76DF4-59E5-9D4A-BD12-A0860309BB4B}</author>
    <author>tc={42033B82-7359-9143-84A1-77A8A376D690}</author>
    <author>tc={973A1D23-ACE8-C245-A302-4F1BE8747F98}</author>
    <author>tc={4124573E-75B1-1143-B77D-1F2A5068EE85}</author>
    <author>tc={AF3B1BBB-8638-2341-96E6-C647B196F5DA}</author>
    <author>tc={3195F4E1-AC46-1943-9FAB-01150807542A}</author>
    <author>tc={B0DE5980-CA0D-3348-9337-CFFF2ED13395}</author>
    <author>tc={D92C5956-A203-FF4A-ABDE-8ADFAFCABD5C}</author>
    <author>tc={E2AE4C0D-00C4-1E4E-857C-B75D83AB0340}</author>
    <author>tc={9AD78EA2-D43F-8D46-A083-A126AFEDF9AC}</author>
  </authors>
  <commentList>
    <comment ref="D4" authorId="0" shapeId="0" xr:uid="{C53D4E4D-91D4-F24B-9C75-702B81B5F1D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4" authorId="1" shapeId="0" xr:uid="{D8A42B19-2CBB-9945-B7E4-E61D552532C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5" authorId="2" shapeId="0" xr:uid="{63314346-8FCB-C840-B3F0-07CBF460FA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Pg 71 2024 10K
</t>
      </text>
    </comment>
    <comment ref="E5" authorId="3" shapeId="0" xr:uid="{799FDB32-BCEB-2345-BF9E-FDFCFDCE3E11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6" authorId="4" shapeId="0" xr:uid="{7D798316-054A-FE43-90FA-824A05CC10F1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6" authorId="5" shapeId="0" xr:uid="{6580FC8C-EC83-AF4C-A7ED-0F0E59F655B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7" authorId="6" shapeId="0" xr:uid="{6265DF48-E771-984E-B2DE-391D56511F07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7" authorId="7" shapeId="0" xr:uid="{EBAFC9D6-E452-CD46-BD21-15AF19773DD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8" authorId="8" shapeId="0" xr:uid="{5F9374FA-3019-1241-995C-4154C313B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8" authorId="9" shapeId="0" xr:uid="{1C0C596B-070A-AC46-B7CF-2064F21BEA3B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11" authorId="10" shapeId="0" xr:uid="{2C70566C-EEDE-6244-AD82-BFB86245689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11" authorId="11" shapeId="0" xr:uid="{A09A1810-7578-CC4D-819B-396F5BDCEB48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12" authorId="12" shapeId="0" xr:uid="{3D255635-55E5-B941-AFBF-F863F9255C5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12" authorId="13" shapeId="0" xr:uid="{3D3AF7C8-55A4-2D42-A4E4-4ED6BEF1547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13" authorId="14" shapeId="0" xr:uid="{57595F77-96C1-B94B-AE94-1F781C016689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13" authorId="15" shapeId="0" xr:uid="{8739FDC7-E020-2349-835A-76D20AED38F8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14" authorId="16" shapeId="0" xr:uid="{47E482A4-2AB0-4F4A-8B18-1007FBAE3D22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14" authorId="17" shapeId="0" xr:uid="{315AF89B-4748-4341-9A41-E17E0864E747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15" authorId="18" shapeId="0" xr:uid="{6B74CBF7-2A11-4D4C-BC44-57393D5C4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15" authorId="19" shapeId="0" xr:uid="{8D8896E9-C217-CB4B-9F11-33B0A344E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19" authorId="20" shapeId="0" xr:uid="{1823BE1C-795F-EB48-83F5-E362417FA1D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19" authorId="21" shapeId="0" xr:uid="{4C6B2C7A-34D3-9943-88E1-7F37B406450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20" authorId="22" shapeId="0" xr:uid="{608CCF5E-5130-DA4C-A945-9DD294AE068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20" authorId="23" shapeId="0" xr:uid="{2B50DF78-7519-594C-A3C3-A6A0FF46A2F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21" authorId="24" shapeId="0" xr:uid="{B9F12B58-9727-7342-B553-C82F02B50445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21" authorId="25" shapeId="0" xr:uid="{C9181D33-1F50-0143-AA94-1CCC56BD618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22" authorId="26" shapeId="0" xr:uid="{5BC8B66F-25E1-C941-801C-6D1E5107BA1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22" authorId="27" shapeId="0" xr:uid="{037C21D4-A894-CA47-A481-45593B2EB891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23" authorId="28" shapeId="0" xr:uid="{A5F2397C-0E25-6142-B62E-6B0EBD4CACA1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23" authorId="29" shapeId="0" xr:uid="{CF0334C0-99B4-D242-9179-3BE434D5A74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24" authorId="30" shapeId="0" xr:uid="{7294DCF7-0CFE-954D-9D35-5D8AA562049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24" authorId="31" shapeId="0" xr:uid="{BDAC4849-E87B-7F40-802C-8CDA1FAE947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25" authorId="32" shapeId="0" xr:uid="{21EBBE2C-449C-1E4F-9402-654D45701581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25" authorId="33" shapeId="0" xr:uid="{4D37291C-F635-1D45-91DE-8022281F16E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26" authorId="34" shapeId="0" xr:uid="{9FAC61EB-93D9-8342-8674-387CD2DF2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26" authorId="35" shapeId="0" xr:uid="{B7CC98B8-2780-8F48-8170-EC769C96B348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29" authorId="36" shapeId="0" xr:uid="{FFFBD720-DAD8-FB4D-93C3-F42522656611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29" authorId="37" shapeId="0" xr:uid="{49E76DF4-59E5-9D4A-BD12-A0860309BB4B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30" authorId="38" shapeId="0" xr:uid="{42033B82-7359-9143-84A1-77A8A376D69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30" authorId="39" shapeId="0" xr:uid="{973A1D23-ACE8-C245-A302-4F1BE8747F98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31" authorId="40" shapeId="0" xr:uid="{4124573E-75B1-1143-B77D-1F2A5068EE85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31" authorId="41" shapeId="0" xr:uid="{AF3B1BBB-8638-2341-96E6-C647B196F5D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32" authorId="42" shapeId="0" xr:uid="{3195F4E1-AC46-1943-9FAB-011508075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32" authorId="43" shapeId="0" xr:uid="{B0DE5980-CA0D-3348-9337-CFFF2ED13395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E33" authorId="44" shapeId="0" xr:uid="{D92C5956-A203-FF4A-ABDE-8ADFAFCAB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  <comment ref="D36" authorId="45" shapeId="0" xr:uid="{E2AE4C0D-00C4-1E4E-857C-B75D83AB03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Pg 71 2024 10K
</t>
      </text>
    </comment>
    <comment ref="E36" authorId="46" shapeId="0" xr:uid="{9AD78EA2-D43F-8D46-A083-A126AFEDF9AC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71 2024 10K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tc={8587C626-8516-8145-A05D-78A39D8C3C9D}</author>
    <author>tc={B2C56F56-1F2B-8A4D-B12E-9AA3DD4EDFEF}</author>
    <author>tc={4242A495-F3AB-A143-8D31-6C0987EDD6EB}</author>
    <author>tc={8ECEE43A-3230-DE4A-8838-81A32DCB3412}</author>
    <author>tc={B55C514C-9BD0-8F4E-8905-0742F09DBDA0}</author>
    <author>tc={3CC06C5A-5018-654F-AF0B-776E066C568A}</author>
    <author>tc={DC852837-50AB-CC4E-8FB7-0AEBE6C59062}</author>
    <author>tc={A9C9CD47-FFF5-7B47-998C-0DBB50D80412}</author>
    <author>tc={7264B865-E2F1-A14A-8663-3265FDD09A02}</author>
    <author>tc={D1FD7D90-F005-304B-9EC5-8B31A5D598E0}</author>
    <author>tc={567D6354-68AE-B849-8AA1-C6988965F8E6}</author>
    <author>tc={D4D4FEC8-6B01-4F48-A8B8-195816F7BA64}</author>
    <author>tc={F0BC9704-7D28-0E44-A002-875BC61B495D}</author>
    <author>tc={7ABB5FA7-A6F7-DB47-8BEF-4158875E57A6}</author>
    <author>tc={F66CA491-35A7-8648-A115-D2EC3C4963AD}</author>
    <author>tc={C9D43547-7DCF-CD48-9E4A-640173DF20BC}</author>
    <author>tc={08B6169D-51FC-DF40-9FDB-D4542F1843B0}</author>
    <author>tc={2248A169-0EF8-C54D-A524-C4D33BDC1BEF}</author>
    <author>tc={167970B5-A4BA-1D4B-8863-6A92097B01CD}</author>
    <author>tc={44871FE5-DC1D-9048-8986-8AD4C323DD0F}</author>
    <author>tc={635214A3-F368-BF40-AFB8-4C2A0CC1560F}</author>
    <author>tc={2778B560-8B5C-8640-BEAA-F1AFC4C610ED}</author>
    <author>tc={2783FC1A-A66E-3145-A377-D892843DA112}</author>
    <author>tc={304287D6-7435-3847-8E4D-90DB22E9F271}</author>
    <author>tc={ED45C353-E222-854F-90AF-FC39CEC2A26B}</author>
    <author>tc={EA5F25D6-5A01-2844-9CE3-2BE058DE0441}</author>
    <author>tc={326B4A3D-7BEE-EA44-A4E8-B9962089F567}</author>
    <author>tc={4B6A010B-C4C0-3845-9E04-F436D0B03D94}</author>
    <author>tc={930D0D49-0BB4-8944-8756-A01E053C772A}</author>
    <author>tc={ACE903BA-7D35-C946-991A-A3895859C4B9}</author>
    <author>tc={47BC6BB0-4A1E-804A-B6BC-FAA2C344AC0E}</author>
    <author>tc={E150B20A-5C06-9D4C-9480-8E7D79CD8B88}</author>
    <author>tc={760CD448-C458-BC4D-8246-A8615D40CE4E}</author>
    <author>tc={0C8A08B9-A17F-D845-9347-3CB3B188E7E3}</author>
    <author>tc={5489CBE6-4F9A-184E-BA63-888A5CF7DACE}</author>
    <author>tc={F5919BF5-3951-CB46-A446-A7781CCAD570}</author>
    <author>tc={CACD8227-D457-0F4A-8982-070286FD8923}</author>
    <author>tc={A5637FCF-0743-6D44-8DE2-A6F510C24D0E}</author>
    <author>tc={10CA101C-27A7-9741-AD8E-B9EE5FA37AD7}</author>
    <author>tc={E228D2DC-DF9B-904A-AB19-D3F1BF855861}</author>
    <author>tc={C17FAEE5-54DC-F04F-A3CF-87ED2DC5566B}</author>
    <author>tc={990790BF-A264-AD42-BB2A-AD88F9EA034A}</author>
    <author>tc={BBE969DE-C55B-854D-8C66-78BF8C5175FE}</author>
    <author>tc={866ED24C-632D-194E-9457-168985A964CB}</author>
    <author>tc={5482A920-EBA1-0B44-9007-8D2E20B16FDD}</author>
    <author>tc={EA42A239-8B3A-0448-8813-3CA05CB0A9D4}</author>
    <author>tc={C731A6C1-6150-DC4A-9D0D-9051B662D100}</author>
    <author>tc={000F01C2-91B2-0040-B139-79D37CB6090F}</author>
  </authors>
  <commentList>
    <comment ref="D5" authorId="0" shapeId="0" xr:uid="{8587C626-8516-8145-A05D-78A39D8C3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5" authorId="1" shapeId="0" xr:uid="{B2C56F56-1F2B-8A4D-B12E-9AA3DD4EDFE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6" authorId="2" shapeId="0" xr:uid="{4242A495-F3AB-A143-8D31-6C0987EDD6EB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6" authorId="3" shapeId="0" xr:uid="{8ECEE43A-3230-DE4A-8838-81A32DCB3412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7" authorId="4" shapeId="0" xr:uid="{B55C514C-9BD0-8F4E-8905-0742F09DBDA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7" authorId="5" shapeId="0" xr:uid="{3CC06C5A-5018-654F-AF0B-776E066C568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8" authorId="6" shapeId="0" xr:uid="{DC852837-50AB-CC4E-8FB7-0AEBE6C59062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8" authorId="7" shapeId="0" xr:uid="{A9C9CD47-FFF5-7B47-998C-0DBB50D80412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9" authorId="8" shapeId="0" xr:uid="{7264B865-E2F1-A14A-8663-3265FDD09A02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9" authorId="9" shapeId="0" xr:uid="{D1FD7D90-F005-304B-9EC5-8B31A5D598E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10" authorId="10" shapeId="0" xr:uid="{567D6354-68AE-B849-8AA1-C6988965F8E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10" authorId="11" shapeId="0" xr:uid="{D4D4FEC8-6B01-4F48-A8B8-195816F7BA6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11" authorId="12" shapeId="0" xr:uid="{F0BC9704-7D28-0E44-A002-875BC61B4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11" authorId="13" shapeId="0" xr:uid="{7ABB5FA7-A6F7-DB47-8BEF-4158875E57A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12" authorId="14" shapeId="0" xr:uid="{F66CA491-35A7-8648-A115-D2EC3C4963A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12" authorId="15" shapeId="0" xr:uid="{C9D43547-7DCF-CD48-9E4A-640173DF20BC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14" authorId="16" shapeId="0" xr:uid="{08B6169D-51FC-DF40-9FDB-D4542F1843B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14" authorId="17" shapeId="0" xr:uid="{2248A169-0EF8-C54D-A524-C4D33BDC1BE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15" authorId="18" shapeId="0" xr:uid="{167970B5-A4BA-1D4B-8863-6A92097B01C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15" authorId="19" shapeId="0" xr:uid="{44871FE5-DC1D-9048-8986-8AD4C323DD0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16" authorId="20" shapeId="0" xr:uid="{635214A3-F368-BF40-AFB8-4C2A0CC15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16" authorId="21" shapeId="0" xr:uid="{2778B560-8B5C-8640-BEAA-F1AFC4C610E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17" authorId="22" shapeId="0" xr:uid="{2783FC1A-A66E-3145-A377-D892843DA112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17" authorId="23" shapeId="0" xr:uid="{304287D6-7435-3847-8E4D-90DB22E9F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18" authorId="24" shapeId="0" xr:uid="{ED45C353-E222-854F-90AF-FC39CEC2A26B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18" authorId="25" shapeId="0" xr:uid="{EA5F25D6-5A01-2844-9CE3-2BE058DE0441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21" authorId="26" shapeId="0" xr:uid="{326B4A3D-7BEE-EA44-A4E8-B9962089F567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21" authorId="27" shapeId="0" xr:uid="{4B6A010B-C4C0-3845-9E04-F436D0B03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22" authorId="28" shapeId="0" xr:uid="{930D0D49-0BB4-8944-8756-A01E053C7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22" authorId="29" shapeId="0" xr:uid="{ACE903BA-7D35-C946-991A-A3895859C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23" authorId="30" shapeId="0" xr:uid="{47BC6BB0-4A1E-804A-B6BC-FAA2C344AC0E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23" authorId="31" shapeId="0" xr:uid="{E150B20A-5C06-9D4C-9480-8E7D79CD8B88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24" authorId="32" shapeId="0" xr:uid="{760CD448-C458-BC4D-8246-A8615D40CE4E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24" authorId="33" shapeId="0" xr:uid="{0C8A08B9-A17F-D845-9347-3CB3B188E7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Pg 73 2024 10K
</t>
      </text>
    </comment>
    <comment ref="D27" authorId="34" shapeId="0" xr:uid="{5489CBE6-4F9A-184E-BA63-888A5CF7DACE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27" authorId="35" shapeId="0" xr:uid="{F5919BF5-3951-CB46-A446-A7781CCAD57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28" authorId="36" shapeId="0" xr:uid="{CACD8227-D457-0F4A-8982-070286FD8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28" authorId="37" shapeId="0" xr:uid="{A5637FCF-0743-6D44-8DE2-A6F510C24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29" authorId="38" shapeId="0" xr:uid="{10CA101C-27A7-9741-AD8E-B9EE5FA37AD7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29" authorId="39" shapeId="0" xr:uid="{E228D2DC-DF9B-904A-AB19-D3F1BF855861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30" authorId="40" shapeId="0" xr:uid="{C17FAEE5-54DC-F04F-A3CF-87ED2DC5566B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30" authorId="41" shapeId="0" xr:uid="{990790BF-A264-AD42-BB2A-AD88F9EA034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31" authorId="42" shapeId="0" xr:uid="{BBE969DE-C55B-854D-8C66-78BF8C5175FE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31" authorId="43" shapeId="0" xr:uid="{866ED24C-632D-194E-9457-168985A964CB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32" authorId="44" shapeId="0" xr:uid="{5482A920-EBA1-0B44-9007-8D2E20B16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32" authorId="45" shapeId="0" xr:uid="{EA42A239-8B3A-0448-8813-3CA05CB0A9D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D33" authorId="46" shapeId="0" xr:uid="{C731A6C1-6150-DC4A-9D0D-9051B662D10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  <comment ref="E33" authorId="47" shapeId="0" xr:uid="{000F01C2-91B2-0040-B139-79D37CB6090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73 2024 10K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tc={7700D0E1-7975-B644-AD01-0ED2F221D23A}</author>
    <author>tc={6E1A90D4-A2E8-4440-A0C8-14F209EDA004}</author>
    <author>tc={8A72B813-5035-8740-8743-FDB750E5868F}</author>
    <author>tc={A965895B-F2C9-5743-872D-91B07B2145C4}</author>
    <author>tc={597ECB6C-5006-FE4E-BD28-250C41FB2A9B}</author>
    <author>tc={B923684B-CF55-9B4D-9852-FCFA2B467C00}</author>
    <author>tc={70600D52-A121-5946-824C-35F04C938A46}</author>
    <author>tc={EBAA86A3-A3F0-CE49-9A92-65E7DF554674}</author>
    <author>tc={B9C139E8-316E-E943-9352-740A52D24372}</author>
    <author>tc={283702BB-48C6-3847-9B24-1FF9CC7C0CC8}</author>
    <author>tc={DD925773-01B4-C642-AC30-C0A973BFCFA3}</author>
    <author>tc={5AC7D9D6-FF4D-944F-8319-69B21821518D}</author>
    <author>tc={B9411082-600F-5D42-9CCE-51D7C2A1E94F}</author>
    <author>tc={23B6DE87-40D4-4D42-BAB4-BDE1EF77779F}</author>
    <author>tc={82C2DABD-DFEC-2E4C-82B6-63BC63659274}</author>
  </authors>
  <commentList>
    <comment ref="C4" authorId="0" shapeId="0" xr:uid="{7700D0E1-7975-B644-AD01-0ED2F221D23A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D4" authorId="1" shapeId="0" xr:uid="{6E1A90D4-A2E8-4440-A0C8-14F209EDA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E4" authorId="2" shapeId="0" xr:uid="{8A72B813-5035-8740-8743-FDB750E5868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C5" authorId="3" shapeId="0" xr:uid="{A965895B-F2C9-5743-872D-91B07B2145C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D5" authorId="4" shapeId="0" xr:uid="{597ECB6C-5006-FE4E-BD28-250C41FB2A9B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E5" authorId="5" shapeId="0" xr:uid="{B923684B-CF55-9B4D-9852-FCFA2B467C00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C6" authorId="6" shapeId="0" xr:uid="{70600D52-A121-5946-824C-35F04C938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D6" authorId="7" shapeId="0" xr:uid="{EBAA86A3-A3F0-CE49-9A92-65E7DF554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E6" authorId="8" shapeId="0" xr:uid="{B9C139E8-316E-E943-9352-740A52D24372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D7" authorId="9" shapeId="0" xr:uid="{283702BB-48C6-3847-9B24-1FF9CC7C0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E7" authorId="10" shapeId="0" xr:uid="{DD925773-01B4-C642-AC30-C0A973BFCFA3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D8" authorId="11" shapeId="0" xr:uid="{5AC7D9D6-FF4D-944F-8319-69B21821518D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E8" authorId="12" shapeId="0" xr:uid="{B9411082-600F-5D42-9CCE-51D7C2A1E94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D10" authorId="13" shapeId="0" xr:uid="{23B6DE87-40D4-4D42-BAB4-BDE1EF77779F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  <comment ref="E10" authorId="14" shapeId="0" xr:uid="{82C2DABD-DFEC-2E4C-82B6-63BC63659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Pg 93 2024 10K</t>
      </text>
    </comment>
  </commentList>
</comments>
</file>

<file path=xl/sharedStrings.xml><?xml version="1.0" encoding="utf-8"?>
<sst xmlns="http://schemas.openxmlformats.org/spreadsheetml/2006/main" count="329" uniqueCount="231">
  <si>
    <t>Subtask Breakdown</t>
  </si>
  <si>
    <t>Section Name</t>
  </si>
  <si>
    <t>Total</t>
  </si>
  <si>
    <t>Income Statement Summary</t>
  </si>
  <si>
    <t xml:space="preserve">&lt;&lt; Note from OAI: Make sure that all the "Total" cells in this section contain the exact range that should be checked </t>
  </si>
  <si>
    <t>EBITDA Calculation</t>
  </si>
  <si>
    <t>Aggregates Revenue</t>
  </si>
  <si>
    <t>Ready-Mix Concrete Revenue Build</t>
  </si>
  <si>
    <t>Asphalt Revenue Build</t>
  </si>
  <si>
    <t>Gross Margin Build</t>
  </si>
  <si>
    <t>Balance Sheet</t>
  </si>
  <si>
    <t>Cash Flow Statement</t>
  </si>
  <si>
    <t>Debt Schedule</t>
  </si>
  <si>
    <t>Business Metrics/ KPIs</t>
  </si>
  <si>
    <t>Valuation</t>
  </si>
  <si>
    <t>Key items are not hardcoded</t>
  </si>
  <si>
    <t>Formatting</t>
  </si>
  <si>
    <t>Check</t>
  </si>
  <si>
    <t>Check that model's solution matches formatting of this range exactly in the gold solution</t>
  </si>
  <si>
    <t>Citations</t>
  </si>
  <si>
    <t>Cell</t>
  </si>
  <si>
    <t>Share Px</t>
  </si>
  <si>
    <t>Shares Out</t>
  </si>
  <si>
    <t>EqV</t>
  </si>
  <si>
    <t>(+) Net Debt</t>
  </si>
  <si>
    <t>TEV</t>
  </si>
  <si>
    <t>NTM EBITDA</t>
  </si>
  <si>
    <t>EV/EBITDA Mult.</t>
  </si>
  <si>
    <t>Sh Px</t>
  </si>
  <si>
    <t xml:space="preserve">% Upside </t>
  </si>
  <si>
    <t>YE 2030 Sh Px</t>
  </si>
  <si>
    <t>PV Factor</t>
  </si>
  <si>
    <t>YE 2025 Sh Px</t>
  </si>
  <si>
    <t>Knife River (KNF) Income Statement</t>
  </si>
  <si>
    <t>Circ</t>
  </si>
  <si>
    <t>($ million)</t>
  </si>
  <si>
    <t>2025E</t>
  </si>
  <si>
    <t>2026E</t>
  </si>
  <si>
    <t>2027E</t>
  </si>
  <si>
    <t>2028E</t>
  </si>
  <si>
    <t>2029E</t>
  </si>
  <si>
    <t>2030E</t>
  </si>
  <si>
    <t>2031E</t>
  </si>
  <si>
    <t>Revenue</t>
  </si>
  <si>
    <t>Aggregates</t>
  </si>
  <si>
    <t>Ready-Mix Concrete</t>
  </si>
  <si>
    <t>Asphalt</t>
  </si>
  <si>
    <t>Liquid Asphalt</t>
  </si>
  <si>
    <t>Other</t>
  </si>
  <si>
    <t>Internal Sales</t>
  </si>
  <si>
    <t>Construction Materials Revenue</t>
  </si>
  <si>
    <t>Contracting Services</t>
  </si>
  <si>
    <t>Total Revenue</t>
  </si>
  <si>
    <t>Revenue Growth (Y/Y)</t>
  </si>
  <si>
    <t>Construction Materials Revenue Growth</t>
  </si>
  <si>
    <t>Total Revenue Growth</t>
  </si>
  <si>
    <t xml:space="preserve">Cost Of Revenues - Construction Materials </t>
  </si>
  <si>
    <t xml:space="preserve">Cost Of Revenues - Contracting Services </t>
  </si>
  <si>
    <t>Total Cost of Revenue</t>
  </si>
  <si>
    <t>Gross Profit</t>
  </si>
  <si>
    <t>Y/Y % change</t>
  </si>
  <si>
    <t>Gross Margin (%)</t>
  </si>
  <si>
    <t>Selling, General &amp; Administrative Expenses</t>
  </si>
  <si>
    <t>SG&amp;A (% of Sales)</t>
  </si>
  <si>
    <t>Operating Income</t>
  </si>
  <si>
    <t>Operating Margin</t>
  </si>
  <si>
    <t>Net Interest Expense</t>
  </si>
  <si>
    <t>Other Income</t>
  </si>
  <si>
    <t>Pre-Tax Income</t>
  </si>
  <si>
    <t>Income Tax Expense</t>
  </si>
  <si>
    <t>Effective Tax Rate</t>
  </si>
  <si>
    <t>Net Income (Loss)</t>
  </si>
  <si>
    <t>Reported Diluted EPS</t>
  </si>
  <si>
    <t>Fully Diluted Shares Outstanding (mm)</t>
  </si>
  <si>
    <t>Net Shares Repurchased (mm)</t>
  </si>
  <si>
    <t>Adjusted EBITDA Calculation</t>
  </si>
  <si>
    <t>Net Income</t>
  </si>
  <si>
    <t xml:space="preserve">Depreciation, Depletion and Amortization </t>
  </si>
  <si>
    <t>Interest Expense, Net</t>
  </si>
  <si>
    <t>Income Taxes</t>
  </si>
  <si>
    <t>EBITDA</t>
  </si>
  <si>
    <t>Unrealized Gains/Losses on Benefit Plan</t>
  </si>
  <si>
    <t>Stock-Based Compensation</t>
  </si>
  <si>
    <t>One-Time Separation Costs</t>
  </si>
  <si>
    <t>Adjusted EBITDA</t>
  </si>
  <si>
    <t>Adjusted EBITDA Margin</t>
  </si>
  <si>
    <t>Segment Analysis</t>
  </si>
  <si>
    <t>Total Agg Volumes (Tons, M)</t>
  </si>
  <si>
    <t>Volumes (Y/Y)</t>
  </si>
  <si>
    <t>Average Selling Price per Ton</t>
  </si>
  <si>
    <t>Price Change (Y/Y)</t>
  </si>
  <si>
    <t>Ready-Mix Concrete Volume (Cubic Yards, M)</t>
  </si>
  <si>
    <t>Average Selling Price per Cubic Yard</t>
  </si>
  <si>
    <t>Ready-Mix Concrete Revenue</t>
  </si>
  <si>
    <t>Asphalt Volume (Tons, M)</t>
  </si>
  <si>
    <t>Asphalt Revenue</t>
  </si>
  <si>
    <t>Gross Profit by Segment</t>
  </si>
  <si>
    <t>Construction Materials</t>
  </si>
  <si>
    <t xml:space="preserve">Total Gross Profit </t>
  </si>
  <si>
    <t/>
  </si>
  <si>
    <t>Gross Profit Margin By Segment</t>
  </si>
  <si>
    <t>Total Gross Margin</t>
  </si>
  <si>
    <t>Geography</t>
  </si>
  <si>
    <t>Revenue Mix</t>
  </si>
  <si>
    <t>Other Revenue</t>
  </si>
  <si>
    <t>Revenues by Geography (Y/Y)</t>
  </si>
  <si>
    <t>Pacific</t>
  </si>
  <si>
    <t>Northwest</t>
  </si>
  <si>
    <t>West</t>
  </si>
  <si>
    <t>Mountain</t>
  </si>
  <si>
    <t xml:space="preserve">Central </t>
  </si>
  <si>
    <t>Energy Services</t>
  </si>
  <si>
    <t>Total Segment Revenues</t>
  </si>
  <si>
    <t>Corporate and Elimination</t>
  </si>
  <si>
    <t>Net Revenues</t>
  </si>
  <si>
    <t>Revenues (Y/Y)</t>
  </si>
  <si>
    <t>Corporate And Elims</t>
  </si>
  <si>
    <t>Total Segment EBITDA</t>
  </si>
  <si>
    <t>Corporate and Eliminations</t>
  </si>
  <si>
    <t>Consolidated EBITDA</t>
  </si>
  <si>
    <t>EBITDA Margins</t>
  </si>
  <si>
    <t>Total Segment EBITDA Margin</t>
  </si>
  <si>
    <t>Net EBITDA Margin</t>
  </si>
  <si>
    <t>Backlog</t>
  </si>
  <si>
    <t>Backlog (Y/Y)</t>
  </si>
  <si>
    <t>Total (Y/Y)</t>
  </si>
  <si>
    <t>Knife River (KNF) Balance Sheet</t>
  </si>
  <si>
    <t>Assets</t>
  </si>
  <si>
    <t>Cash &amp; cash equivalents</t>
  </si>
  <si>
    <t>Accounts receivable (net)</t>
  </si>
  <si>
    <t>Costs and earnings in excess of billings</t>
  </si>
  <si>
    <t>Inventories (net)</t>
  </si>
  <si>
    <t>Other current assets</t>
  </si>
  <si>
    <t>Total Current Assets</t>
  </si>
  <si>
    <t>Property, plant and equipment (net)</t>
  </si>
  <si>
    <t>Goodwill</t>
  </si>
  <si>
    <t>Intangible assets (net)</t>
  </si>
  <si>
    <t>Operating lease right-of-use assets (net)</t>
  </si>
  <si>
    <t>Other noncurrent assets</t>
  </si>
  <si>
    <t>Total Assets</t>
  </si>
  <si>
    <t>Liabilities and Equity</t>
  </si>
  <si>
    <t>Long-term debt - current portion</t>
  </si>
  <si>
    <t>Accounts payable</t>
  </si>
  <si>
    <t>Billings in excess of costs and estimated earnings on uncompleted contracts</t>
  </si>
  <si>
    <t>Accrued compensation</t>
  </si>
  <si>
    <t>Current operating lease liabilities</t>
  </si>
  <si>
    <t>Other taxes payable</t>
  </si>
  <si>
    <t>Accrued interest</t>
  </si>
  <si>
    <t>Other accrued liabilities</t>
  </si>
  <si>
    <t>Total Current Liabilities</t>
  </si>
  <si>
    <t>Long-term debt</t>
  </si>
  <si>
    <t>Related-party notes payable</t>
  </si>
  <si>
    <t>Deferred income taxes, net</t>
  </si>
  <si>
    <t>Noncurrent operating lease liabilities</t>
  </si>
  <si>
    <t>Other noncurrent liabilities</t>
  </si>
  <si>
    <t xml:space="preserve">Total Liabilities   </t>
  </si>
  <si>
    <t>Total Equity</t>
  </si>
  <si>
    <t>Total Liabilities and Equity</t>
  </si>
  <si>
    <t>Beginning PP&amp;E</t>
  </si>
  <si>
    <t>(+) CAPEX</t>
  </si>
  <si>
    <t>(-) D&amp;A</t>
  </si>
  <si>
    <t>Ending PP&amp;E</t>
  </si>
  <si>
    <t>D&amp;A % of Beg. PP&amp;E</t>
  </si>
  <si>
    <t>Book Value / Common Share</t>
  </si>
  <si>
    <t>Total Debt</t>
  </si>
  <si>
    <t>Net Debt</t>
  </si>
  <si>
    <t>Total Debt / EBITDA</t>
  </si>
  <si>
    <t>Net Debt / EBITDA</t>
  </si>
  <si>
    <t>Total Debt / Total Capital</t>
  </si>
  <si>
    <t>Net Debt / Total Capital</t>
  </si>
  <si>
    <t>Pretax Returns on Assets</t>
  </si>
  <si>
    <t>Return on Total Capital</t>
  </si>
  <si>
    <t>Return on Equity</t>
  </si>
  <si>
    <t>Share Price</t>
  </si>
  <si>
    <t>Shares Outstanding</t>
  </si>
  <si>
    <t>Implied EV/NTM EBITDA</t>
  </si>
  <si>
    <t>Adj. EBITDA</t>
  </si>
  <si>
    <t>(-) CAPEX</t>
  </si>
  <si>
    <t>(-) Tax</t>
  </si>
  <si>
    <t>Recurring FCFF Proxy</t>
  </si>
  <si>
    <t>Implied NTM FCFF yield</t>
  </si>
  <si>
    <t>Knife River (KNF) Cash Flow Statement</t>
  </si>
  <si>
    <t>Consolidated net earnings</t>
  </si>
  <si>
    <t>Adjustments to Reconcile Net Loss to Net Cash</t>
  </si>
  <si>
    <t>DD&amp;A</t>
  </si>
  <si>
    <t>Deferred income taxes</t>
  </si>
  <si>
    <t>Provision for credit losses</t>
  </si>
  <si>
    <t>Amortization of debt issuance costs</t>
  </si>
  <si>
    <t>Stock-based compensation</t>
  </si>
  <si>
    <t>Pension and postretirement benefits</t>
  </si>
  <si>
    <t>Unrealized (gains) losses on investments</t>
  </si>
  <si>
    <t>Gains on sales</t>
  </si>
  <si>
    <t>Working capital changes (net of M&amp;A)</t>
  </si>
  <si>
    <t>Accounts payable (net)</t>
  </si>
  <si>
    <t>Other assets and liabilities (net)</t>
  </si>
  <si>
    <t>Other items (net)</t>
  </si>
  <si>
    <t>Cash from Operations</t>
  </si>
  <si>
    <t>Additions to PP&amp;E (CAPEX)</t>
  </si>
  <si>
    <t>Acquisitions, net of cash acquired</t>
  </si>
  <si>
    <t>Proceeds from divestitures and sales of assets</t>
  </si>
  <si>
    <t>Other investing activities (net)</t>
  </si>
  <si>
    <t>Cash from Investing</t>
  </si>
  <si>
    <t>Issuance of debt</t>
  </si>
  <si>
    <t>Repayment of debt</t>
  </si>
  <si>
    <t>Debt issuance costs</t>
  </si>
  <si>
    <t>Proceeds from issuance of common stock</t>
  </si>
  <si>
    <t>Dividend</t>
  </si>
  <si>
    <t>Buybacks</t>
  </si>
  <si>
    <t>Cash from Financing</t>
  </si>
  <si>
    <t>Cash at the Beginning of the Period</t>
  </si>
  <si>
    <t>Net decrease/increase in cash</t>
  </si>
  <si>
    <t>Cash at the End of the Period</t>
  </si>
  <si>
    <t>Free Cash Flow</t>
  </si>
  <si>
    <t>Free Cash Flow / Share</t>
  </si>
  <si>
    <t>Year Ending December 31 </t>
  </si>
  <si>
    <t>Interest</t>
  </si>
  <si>
    <t>(in millions)</t>
  </si>
  <si>
    <t>Rate</t>
  </si>
  <si>
    <t>Term Loan Due Mar 2030</t>
  </si>
  <si>
    <t>Senior Notes due May 1, 2031</t>
  </si>
  <si>
    <t>Term Loan Due Mar 2032</t>
  </si>
  <si>
    <t>Other Notes due January 1, 2061</t>
  </si>
  <si>
    <t>-</t>
  </si>
  <si>
    <t>Less Unamort. Debt Issuance Costs</t>
  </si>
  <si>
    <t>Total Long Term Debt</t>
  </si>
  <si>
    <t>Less Current Maturities</t>
  </si>
  <si>
    <t>Change in Debt</t>
  </si>
  <si>
    <t>Average Cash</t>
  </si>
  <si>
    <t>Modelled Interest Expense</t>
  </si>
  <si>
    <t>Modelled Interest Income</t>
  </si>
  <si>
    <t>Citation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</si>
</sst>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* #,##0.0_);_(* \(#,##0.0\);_(* &quot;-&quot;??_);_(@_)"/>
    <numFmt numFmtId="165" formatCode="0.0\x"/>
    <numFmt numFmtId="166" formatCode="#,##0.0_);\(#,##0.0\)"/>
    <numFmt numFmtId="167" formatCode="0.0%_);\(0.0%\);0.0%_);@_)"/>
    <numFmt numFmtId="168" formatCode="0.0%\ ;\(0.0%\)"/>
    <numFmt numFmtId="169" formatCode="0.0%"/>
    <numFmt numFmtId="170" formatCode="0&quot;bp&quot;\ ;\ \(0&quot;bp&quot;\)"/>
    <numFmt numFmtId="171" formatCode="0.0"/>
    <numFmt numFmtId="172" formatCode="0.0_);\(0.0\)"/>
    <numFmt numFmtId="173" formatCode="0.0&quot;x&quot;\ ;\ \(0.0&quot;x&quot;\)"/>
    <numFmt numFmtId="174" formatCode="#,##0.000_);\(#,##0.000\)"/>
  </numFmts>
  <fonts count="3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i/>
      <sz val="10"/>
      <color rgb="FFFF0000"/>
      <name val="Arial"/>
      <family val="2"/>
    </font>
    <font>
      <i/>
      <sz val="10"/>
      <color theme="1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i/>
      <sz val="9"/>
      <color rgb="FF008000"/>
      <name val="Arial"/>
      <family val="2"/>
    </font>
    <font>
      <b/>
      <sz val="9"/>
      <color rgb="FF000000"/>
      <name val="Arial"/>
      <family val="2"/>
    </font>
    <font>
      <b/>
      <i/>
      <sz val="9"/>
      <color theme="1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i/>
      <sz val="9"/>
      <color rgb="FF0000FF"/>
      <name val="Arial"/>
      <family val="2"/>
    </font>
    <font>
      <b/>
      <i/>
      <sz val="9"/>
      <color rgb="FF000000"/>
      <name val="Arial"/>
      <family val="2"/>
    </font>
    <font>
      <b/>
      <u/>
      <sz val="9"/>
      <color theme="1"/>
      <name val="Arial"/>
      <family val="2"/>
    </font>
    <font>
      <b/>
      <sz val="9"/>
      <color rgb="FF0000FF"/>
      <name val="Arial"/>
      <family val="2"/>
    </font>
    <font>
      <i/>
      <sz val="9"/>
      <color rgb="FF00B05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i/>
      <sz val="9"/>
      <color rgb="FF000000"/>
      <name val="Arial"/>
      <family val="2"/>
    </font>
    <font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2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2" xfId="0" applyFont="1" applyBorder="1"/>
    <xf numFmtId="0" fontId="3" fillId="2" borderId="4" xfId="0" applyFont="1" applyFill="1" applyBorder="1"/>
    <xf numFmtId="0" fontId="1" fillId="0" borderId="5" xfId="0" applyFont="1" applyBorder="1"/>
    <xf numFmtId="0" fontId="2" fillId="0" borderId="1" xfId="0" applyFont="1" applyBorder="1"/>
    <xf numFmtId="0" fontId="4" fillId="3" borderId="4" xfId="0" applyFont="1" applyFill="1" applyBorder="1"/>
    <xf numFmtId="3" fontId="5" fillId="0" borderId="4" xfId="0" applyNumberFormat="1" applyFont="1" applyBorder="1"/>
    <xf numFmtId="0" fontId="6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6" xfId="0" applyFont="1" applyBorder="1"/>
    <xf numFmtId="0" fontId="5" fillId="0" borderId="7" xfId="0" applyFont="1" applyBorder="1"/>
    <xf numFmtId="0" fontId="8" fillId="0" borderId="3" xfId="0" applyFont="1" applyBorder="1" applyAlignment="1">
      <alignment horizontal="right"/>
    </xf>
    <xf numFmtId="3" fontId="8" fillId="0" borderId="4" xfId="0" applyNumberFormat="1" applyFont="1" applyBorder="1"/>
    <xf numFmtId="0" fontId="1" fillId="0" borderId="8" xfId="0" applyFont="1" applyBorder="1"/>
    <xf numFmtId="0" fontId="5" fillId="0" borderId="2" xfId="0" applyFont="1" applyBorder="1"/>
    <xf numFmtId="0" fontId="5" fillId="0" borderId="4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9" fillId="0" borderId="6" xfId="0" applyFont="1" applyBorder="1"/>
    <xf numFmtId="0" fontId="10" fillId="0" borderId="1" xfId="0" applyFont="1" applyBorder="1"/>
    <xf numFmtId="0" fontId="4" fillId="3" borderId="4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3" fontId="5" fillId="0" borderId="4" xfId="0" applyNumberFormat="1" applyFont="1" applyBorder="1" applyAlignment="1">
      <alignment wrapText="1"/>
    </xf>
    <xf numFmtId="0" fontId="11" fillId="0" borderId="0" xfId="0" applyFont="1"/>
    <xf numFmtId="0" fontId="12" fillId="4" borderId="9" xfId="0" applyFont="1" applyFill="1" applyBorder="1"/>
    <xf numFmtId="0" fontId="12" fillId="4" borderId="9" xfId="0" applyFont="1" applyFill="1" applyBorder="1" applyAlignment="1">
      <alignment horizontal="center"/>
    </xf>
    <xf numFmtId="44" fontId="13" fillId="5" borderId="4" xfId="0" applyNumberFormat="1" applyFont="1" applyFill="1" applyBorder="1"/>
    <xf numFmtId="44" fontId="11" fillId="6" borderId="9" xfId="0" applyNumberFormat="1" applyFont="1" applyFill="1" applyBorder="1"/>
    <xf numFmtId="0" fontId="11" fillId="0" borderId="10" xfId="0" applyFont="1" applyBorder="1"/>
    <xf numFmtId="164" fontId="14" fillId="0" borderId="10" xfId="0" applyNumberFormat="1" applyFont="1" applyBorder="1"/>
    <xf numFmtId="0" fontId="15" fillId="0" borderId="0" xfId="0" applyFont="1"/>
    <xf numFmtId="164" fontId="15" fillId="0" borderId="0" xfId="0" applyNumberFormat="1" applyFont="1"/>
    <xf numFmtId="0" fontId="16" fillId="0" borderId="0" xfId="0" applyFont="1"/>
    <xf numFmtId="164" fontId="17" fillId="0" borderId="0" xfId="0" applyNumberFormat="1" applyFont="1"/>
    <xf numFmtId="0" fontId="15" fillId="0" borderId="11" xfId="0" applyFont="1" applyBorder="1"/>
    <xf numFmtId="165" fontId="18" fillId="0" borderId="12" xfId="0" applyNumberFormat="1" applyFont="1" applyBorder="1" applyAlignment="1">
      <alignment horizontal="center"/>
    </xf>
    <xf numFmtId="165" fontId="15" fillId="5" borderId="13" xfId="0" applyNumberFormat="1" applyFont="1" applyFill="1" applyBorder="1" applyAlignment="1">
      <alignment horizontal="center"/>
    </xf>
    <xf numFmtId="165" fontId="15" fillId="5" borderId="14" xfId="0" applyNumberFormat="1" applyFont="1" applyFill="1" applyBorder="1" applyAlignment="1">
      <alignment horizontal="center"/>
    </xf>
    <xf numFmtId="44" fontId="11" fillId="0" borderId="0" xfId="0" applyNumberFormat="1" applyFont="1"/>
    <xf numFmtId="9" fontId="16" fillId="0" borderId="0" xfId="0" applyNumberFormat="1" applyFont="1"/>
    <xf numFmtId="9" fontId="11" fillId="0" borderId="10" xfId="0" applyNumberFormat="1" applyFont="1" applyBorder="1"/>
    <xf numFmtId="44" fontId="15" fillId="0" borderId="0" xfId="0" applyNumberFormat="1" applyFont="1"/>
    <xf numFmtId="0" fontId="19" fillId="7" borderId="15" xfId="0" applyFont="1" applyFill="1" applyBorder="1"/>
    <xf numFmtId="9" fontId="19" fillId="7" borderId="16" xfId="0" applyNumberFormat="1" applyFont="1" applyFill="1" applyBorder="1"/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5" fillId="7" borderId="17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164" fontId="13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right"/>
    </xf>
    <xf numFmtId="164" fontId="20" fillId="0" borderId="0" xfId="0" applyNumberFormat="1" applyFont="1" applyAlignment="1">
      <alignment horizontal="right"/>
    </xf>
    <xf numFmtId="0" fontId="11" fillId="0" borderId="10" xfId="0" applyFont="1" applyBorder="1" applyAlignment="1">
      <alignment horizontal="left"/>
    </xf>
    <xf numFmtId="164" fontId="13" fillId="0" borderId="10" xfId="0" applyNumberFormat="1" applyFont="1" applyBorder="1" applyAlignment="1">
      <alignment horizontal="right"/>
    </xf>
    <xf numFmtId="164" fontId="20" fillId="0" borderId="10" xfId="0" applyNumberFormat="1" applyFont="1" applyBorder="1" applyAlignment="1">
      <alignment horizontal="right"/>
    </xf>
    <xf numFmtId="164" fontId="18" fillId="0" borderId="0" xfId="0" applyNumberFormat="1" applyFont="1" applyAlignment="1">
      <alignment horizontal="right"/>
    </xf>
    <xf numFmtId="5" fontId="11" fillId="0" borderId="0" xfId="0" applyNumberFormat="1" applyFont="1" applyAlignment="1">
      <alignment horizontal="right"/>
    </xf>
    <xf numFmtId="167" fontId="11" fillId="0" borderId="0" xfId="0" applyNumberFormat="1" applyFont="1" applyAlignment="1">
      <alignment horizontal="right"/>
    </xf>
    <xf numFmtId="0" fontId="16" fillId="0" borderId="0" xfId="0" applyFont="1" applyAlignment="1">
      <alignment horizontal="left"/>
    </xf>
    <xf numFmtId="168" fontId="11" fillId="0" borderId="0" xfId="0" applyNumberFormat="1" applyFont="1" applyAlignment="1">
      <alignment horizontal="right"/>
    </xf>
    <xf numFmtId="168" fontId="21" fillId="0" borderId="0" xfId="0" applyNumberFormat="1" applyFont="1" applyAlignment="1">
      <alignment horizontal="right"/>
    </xf>
    <xf numFmtId="168" fontId="22" fillId="5" borderId="4" xfId="0" applyNumberFormat="1" applyFont="1" applyFill="1" applyBorder="1" applyAlignment="1">
      <alignment horizontal="right"/>
    </xf>
    <xf numFmtId="0" fontId="16" fillId="0" borderId="10" xfId="0" applyFont="1" applyBorder="1" applyAlignment="1">
      <alignment horizontal="left"/>
    </xf>
    <xf numFmtId="168" fontId="11" fillId="0" borderId="10" xfId="0" applyNumberFormat="1" applyFont="1" applyBorder="1" applyAlignment="1">
      <alignment horizontal="right"/>
    </xf>
    <xf numFmtId="168" fontId="21" fillId="0" borderId="10" xfId="0" applyNumberFormat="1" applyFont="1" applyBorder="1" applyAlignment="1">
      <alignment horizontal="right"/>
    </xf>
    <xf numFmtId="0" fontId="19" fillId="0" borderId="0" xfId="0" applyFont="1" applyAlignment="1">
      <alignment horizontal="left"/>
    </xf>
    <xf numFmtId="168" fontId="23" fillId="0" borderId="0" xfId="0" applyNumberFormat="1" applyFont="1" applyAlignment="1">
      <alignment horizontal="right"/>
    </xf>
    <xf numFmtId="168" fontId="15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right"/>
    </xf>
    <xf numFmtId="9" fontId="16" fillId="0" borderId="0" xfId="0" applyNumberFormat="1" applyFont="1" applyAlignment="1">
      <alignment horizontal="left"/>
    </xf>
    <xf numFmtId="168" fontId="11" fillId="0" borderId="0" xfId="0" applyNumberFormat="1" applyFont="1"/>
    <xf numFmtId="168" fontId="21" fillId="0" borderId="0" xfId="0" applyNumberFormat="1" applyFont="1"/>
    <xf numFmtId="166" fontId="15" fillId="0" borderId="0" xfId="0" applyNumberFormat="1" applyFont="1" applyAlignment="1">
      <alignment horizontal="right"/>
    </xf>
    <xf numFmtId="169" fontId="19" fillId="0" borderId="0" xfId="0" applyNumberFormat="1" applyFont="1"/>
    <xf numFmtId="168" fontId="18" fillId="0" borderId="0" xfId="0" applyNumberFormat="1" applyFont="1"/>
    <xf numFmtId="169" fontId="16" fillId="0" borderId="0" xfId="0" applyNumberFormat="1" applyFont="1"/>
    <xf numFmtId="170" fontId="11" fillId="0" borderId="0" xfId="0" applyNumberFormat="1" applyFont="1"/>
    <xf numFmtId="170" fontId="21" fillId="0" borderId="0" xfId="0" applyNumberFormat="1" applyFont="1"/>
    <xf numFmtId="166" fontId="13" fillId="0" borderId="0" xfId="0" applyNumberFormat="1" applyFont="1" applyAlignment="1">
      <alignment horizontal="right"/>
    </xf>
    <xf numFmtId="166" fontId="20" fillId="0" borderId="0" xfId="0" applyNumberFormat="1" applyFont="1" applyAlignment="1">
      <alignment horizontal="right"/>
    </xf>
    <xf numFmtId="169" fontId="22" fillId="0" borderId="0" xfId="0" applyNumberFormat="1" applyFont="1" applyAlignment="1">
      <alignment horizontal="right"/>
    </xf>
    <xf numFmtId="166" fontId="18" fillId="0" borderId="0" xfId="0" applyNumberFormat="1" applyFont="1" applyAlignment="1">
      <alignment horizontal="right"/>
    </xf>
    <xf numFmtId="9" fontId="11" fillId="0" borderId="0" xfId="0" applyNumberFormat="1" applyFont="1" applyAlignment="1">
      <alignment horizontal="left"/>
    </xf>
    <xf numFmtId="168" fontId="20" fillId="0" borderId="0" xfId="0" applyNumberFormat="1" applyFont="1"/>
    <xf numFmtId="169" fontId="16" fillId="0" borderId="0" xfId="0" applyNumberFormat="1" applyFont="1" applyAlignment="1">
      <alignment horizontal="left"/>
    </xf>
    <xf numFmtId="169" fontId="16" fillId="0" borderId="0" xfId="0" applyNumberFormat="1" applyFont="1" applyAlignment="1">
      <alignment horizontal="right"/>
    </xf>
    <xf numFmtId="166" fontId="13" fillId="0" borderId="10" xfId="0" applyNumberFormat="1" applyFont="1" applyBorder="1" applyAlignment="1">
      <alignment horizontal="right"/>
    </xf>
    <xf numFmtId="166" fontId="13" fillId="5" borderId="4" xfId="0" applyNumberFormat="1" applyFont="1" applyFill="1" applyBorder="1" applyAlignment="1">
      <alignment horizontal="right"/>
    </xf>
    <xf numFmtId="39" fontId="15" fillId="0" borderId="0" xfId="0" applyNumberFormat="1" applyFont="1" applyAlignment="1">
      <alignment horizontal="right"/>
    </xf>
    <xf numFmtId="39" fontId="15" fillId="0" borderId="0" xfId="0" applyNumberFormat="1" applyFont="1"/>
    <xf numFmtId="7" fontId="18" fillId="0" borderId="18" xfId="0" applyNumberFormat="1" applyFont="1" applyBorder="1" applyAlignment="1">
      <alignment horizontal="left"/>
    </xf>
    <xf numFmtId="7" fontId="18" fillId="0" borderId="18" xfId="0" applyNumberFormat="1" applyFont="1" applyBorder="1" applyAlignment="1">
      <alignment horizontal="right"/>
    </xf>
    <xf numFmtId="39" fontId="11" fillId="0" borderId="0" xfId="0" applyNumberFormat="1" applyFont="1"/>
    <xf numFmtId="168" fontId="16" fillId="0" borderId="0" xfId="0" applyNumberFormat="1" applyFont="1"/>
    <xf numFmtId="39" fontId="15" fillId="0" borderId="0" xfId="0" applyNumberFormat="1" applyFont="1" applyAlignment="1">
      <alignment horizontal="left"/>
    </xf>
    <xf numFmtId="7" fontId="15" fillId="0" borderId="0" xfId="0" applyNumberFormat="1" applyFont="1" applyAlignment="1">
      <alignment horizontal="right"/>
    </xf>
    <xf numFmtId="44" fontId="13" fillId="5" borderId="4" xfId="0" applyNumberFormat="1" applyFont="1" applyFill="1" applyBorder="1" applyAlignment="1">
      <alignment horizontal="right"/>
    </xf>
    <xf numFmtId="44" fontId="11" fillId="5" borderId="4" xfId="0" applyNumberFormat="1" applyFont="1" applyFill="1" applyBorder="1" applyAlignment="1">
      <alignment horizontal="right"/>
    </xf>
    <xf numFmtId="171" fontId="11" fillId="0" borderId="0" xfId="0" applyNumberFormat="1" applyFont="1" applyAlignment="1">
      <alignment horizontal="right"/>
    </xf>
    <xf numFmtId="169" fontId="11" fillId="0" borderId="0" xfId="0" applyNumberFormat="1" applyFont="1" applyAlignment="1">
      <alignment horizontal="right"/>
    </xf>
    <xf numFmtId="0" fontId="15" fillId="8" borderId="9" xfId="0" applyFont="1" applyFill="1" applyBorder="1"/>
    <xf numFmtId="171" fontId="11" fillId="8" borderId="9" xfId="0" applyNumberFormat="1" applyFont="1" applyFill="1" applyBorder="1" applyAlignment="1">
      <alignment horizontal="right"/>
    </xf>
    <xf numFmtId="0" fontId="11" fillId="8" borderId="9" xfId="0" applyFont="1" applyFill="1" applyBorder="1"/>
    <xf numFmtId="166" fontId="20" fillId="8" borderId="9" xfId="0" applyNumberFormat="1" applyFont="1" applyFill="1" applyBorder="1" applyAlignment="1">
      <alignment horizontal="right"/>
    </xf>
    <xf numFmtId="0" fontId="11" fillId="8" borderId="9" xfId="0" applyFont="1" applyFill="1" applyBorder="1" applyAlignment="1">
      <alignment horizontal="left"/>
    </xf>
    <xf numFmtId="166" fontId="13" fillId="8" borderId="9" xfId="0" applyNumberFormat="1" applyFont="1" applyFill="1" applyBorder="1" applyAlignment="1">
      <alignment horizontal="right"/>
    </xf>
    <xf numFmtId="166" fontId="14" fillId="8" borderId="9" xfId="0" applyNumberFormat="1" applyFont="1" applyFill="1" applyBorder="1" applyAlignment="1">
      <alignment horizontal="right"/>
    </xf>
    <xf numFmtId="0" fontId="11" fillId="8" borderId="19" xfId="0" applyFont="1" applyFill="1" applyBorder="1" applyAlignment="1">
      <alignment horizontal="left"/>
    </xf>
    <xf numFmtId="166" fontId="20" fillId="8" borderId="19" xfId="0" applyNumberFormat="1" applyFont="1" applyFill="1" applyBorder="1" applyAlignment="1">
      <alignment horizontal="right"/>
    </xf>
    <xf numFmtId="0" fontId="15" fillId="8" borderId="9" xfId="0" applyFont="1" applyFill="1" applyBorder="1" applyAlignment="1">
      <alignment horizontal="left"/>
    </xf>
    <xf numFmtId="166" fontId="18" fillId="8" borderId="9" xfId="0" applyNumberFormat="1" applyFont="1" applyFill="1" applyBorder="1" applyAlignment="1">
      <alignment horizontal="right"/>
    </xf>
    <xf numFmtId="166" fontId="15" fillId="8" borderId="9" xfId="0" applyNumberFormat="1" applyFont="1" applyFill="1" applyBorder="1" applyAlignment="1">
      <alignment horizontal="right"/>
    </xf>
    <xf numFmtId="9" fontId="15" fillId="8" borderId="9" xfId="0" applyNumberFormat="1" applyFont="1" applyFill="1" applyBorder="1" applyAlignment="1">
      <alignment horizontal="right"/>
    </xf>
    <xf numFmtId="9" fontId="16" fillId="8" borderId="9" xfId="0" applyNumberFormat="1" applyFont="1" applyFill="1" applyBorder="1" applyAlignment="1">
      <alignment horizontal="left"/>
    </xf>
    <xf numFmtId="168" fontId="16" fillId="8" borderId="9" xfId="0" applyNumberFormat="1" applyFont="1" applyFill="1" applyBorder="1"/>
    <xf numFmtId="168" fontId="21" fillId="8" borderId="9" xfId="0" applyNumberFormat="1" applyFont="1" applyFill="1" applyBorder="1"/>
    <xf numFmtId="168" fontId="18" fillId="8" borderId="9" xfId="0" applyNumberFormat="1" applyFont="1" applyFill="1" applyBorder="1" applyAlignment="1">
      <alignment horizontal="right"/>
    </xf>
    <xf numFmtId="170" fontId="16" fillId="8" borderId="9" xfId="0" applyNumberFormat="1" applyFont="1" applyFill="1" applyBorder="1"/>
    <xf numFmtId="170" fontId="21" fillId="8" borderId="9" xfId="0" applyNumberFormat="1" applyFont="1" applyFill="1" applyBorder="1"/>
    <xf numFmtId="0" fontId="15" fillId="9" borderId="9" xfId="0" applyFont="1" applyFill="1" applyBorder="1" applyAlignment="1">
      <alignment horizontal="left"/>
    </xf>
    <xf numFmtId="0" fontId="15" fillId="9" borderId="9" xfId="0" applyFont="1" applyFill="1" applyBorder="1" applyAlignment="1">
      <alignment horizontal="right"/>
    </xf>
    <xf numFmtId="0" fontId="24" fillId="0" borderId="0" xfId="0" applyFont="1" applyAlignment="1">
      <alignment horizontal="left"/>
    </xf>
    <xf numFmtId="168" fontId="11" fillId="0" borderId="0" xfId="0" applyNumberFormat="1" applyFont="1" applyAlignment="1">
      <alignment horizontal="left"/>
    </xf>
    <xf numFmtId="168" fontId="20" fillId="0" borderId="0" xfId="0" applyNumberFormat="1" applyFont="1" applyAlignment="1">
      <alignment horizontal="right"/>
    </xf>
    <xf numFmtId="168" fontId="13" fillId="5" borderId="4" xfId="0" applyNumberFormat="1" applyFont="1" applyFill="1" applyBorder="1" applyAlignment="1">
      <alignment horizontal="right"/>
    </xf>
    <xf numFmtId="8" fontId="13" fillId="0" borderId="0" xfId="0" applyNumberFormat="1" applyFont="1" applyAlignment="1">
      <alignment horizontal="right"/>
    </xf>
    <xf numFmtId="7" fontId="13" fillId="0" borderId="0" xfId="0" applyNumberFormat="1" applyFont="1" applyAlignment="1">
      <alignment horizontal="right"/>
    </xf>
    <xf numFmtId="7" fontId="20" fillId="0" borderId="0" xfId="0" applyNumberFormat="1" applyFont="1" applyAlignment="1">
      <alignment horizontal="right"/>
    </xf>
    <xf numFmtId="168" fontId="11" fillId="0" borderId="10" xfId="0" applyNumberFormat="1" applyFont="1" applyBorder="1" applyAlignment="1">
      <alignment horizontal="left"/>
    </xf>
    <xf numFmtId="168" fontId="20" fillId="0" borderId="10" xfId="0" applyNumberFormat="1" applyFont="1" applyBorder="1" applyAlignment="1">
      <alignment horizontal="right"/>
    </xf>
    <xf numFmtId="7" fontId="11" fillId="0" borderId="0" xfId="0" applyNumberFormat="1" applyFont="1"/>
    <xf numFmtId="169" fontId="16" fillId="0" borderId="10" xfId="0" applyNumberFormat="1" applyFont="1" applyBorder="1" applyAlignment="1">
      <alignment horizontal="right"/>
    </xf>
    <xf numFmtId="9" fontId="16" fillId="0" borderId="10" xfId="0" applyNumberFormat="1" applyFont="1" applyBorder="1" applyAlignment="1">
      <alignment horizontal="left"/>
    </xf>
    <xf numFmtId="7" fontId="11" fillId="0" borderId="0" xfId="0" applyNumberFormat="1" applyFont="1" applyAlignment="1">
      <alignment horizontal="right"/>
    </xf>
    <xf numFmtId="166" fontId="20" fillId="0" borderId="10" xfId="0" applyNumberFormat="1" applyFont="1" applyBorder="1" applyAlignment="1">
      <alignment horizontal="right"/>
    </xf>
    <xf numFmtId="7" fontId="15" fillId="0" borderId="0" xfId="0" applyNumberFormat="1" applyFont="1" applyAlignment="1">
      <alignment horizontal="left"/>
    </xf>
    <xf numFmtId="168" fontId="11" fillId="0" borderId="10" xfId="0" applyNumberFormat="1" applyFont="1" applyBorder="1"/>
    <xf numFmtId="168" fontId="15" fillId="0" borderId="0" xfId="0" applyNumberFormat="1" applyFont="1"/>
    <xf numFmtId="0" fontId="15" fillId="9" borderId="9" xfId="0" applyFont="1" applyFill="1" applyBorder="1"/>
    <xf numFmtId="166" fontId="11" fillId="0" borderId="10" xfId="0" applyNumberFormat="1" applyFont="1" applyBorder="1" applyAlignment="1">
      <alignment horizontal="right"/>
    </xf>
    <xf numFmtId="166" fontId="15" fillId="0" borderId="10" xfId="0" applyNumberFormat="1" applyFont="1" applyBorder="1" applyAlignment="1">
      <alignment horizontal="right"/>
    </xf>
    <xf numFmtId="168" fontId="16" fillId="0" borderId="0" xfId="0" applyNumberFormat="1" applyFont="1" applyAlignment="1">
      <alignment horizontal="right"/>
    </xf>
    <xf numFmtId="168" fontId="19" fillId="0" borderId="0" xfId="0" applyNumberFormat="1" applyFont="1" applyAlignment="1">
      <alignment horizontal="right"/>
    </xf>
    <xf numFmtId="168" fontId="16" fillId="0" borderId="10" xfId="0" applyNumberFormat="1" applyFont="1" applyBorder="1" applyAlignment="1">
      <alignment horizontal="right"/>
    </xf>
    <xf numFmtId="168" fontId="19" fillId="0" borderId="10" xfId="0" applyNumberFormat="1" applyFont="1" applyBorder="1" applyAlignment="1">
      <alignment horizontal="right"/>
    </xf>
    <xf numFmtId="7" fontId="15" fillId="0" borderId="0" xfId="0" applyNumberFormat="1" applyFont="1"/>
    <xf numFmtId="172" fontId="13" fillId="0" borderId="0" xfId="0" applyNumberFormat="1" applyFont="1" applyAlignment="1">
      <alignment horizontal="right"/>
    </xf>
    <xf numFmtId="172" fontId="11" fillId="0" borderId="0" xfId="0" applyNumberFormat="1" applyFont="1"/>
    <xf numFmtId="172" fontId="20" fillId="0" borderId="0" xfId="0" applyNumberFormat="1" applyFont="1" applyAlignment="1">
      <alignment horizontal="right"/>
    </xf>
    <xf numFmtId="172" fontId="11" fillId="0" borderId="0" xfId="0" applyNumberFormat="1" applyFont="1" applyAlignment="1">
      <alignment horizontal="right"/>
    </xf>
    <xf numFmtId="172" fontId="15" fillId="0" borderId="0" xfId="0" applyNumberFormat="1" applyFont="1" applyAlignment="1">
      <alignment horizontal="right"/>
    </xf>
    <xf numFmtId="172" fontId="13" fillId="0" borderId="10" xfId="0" applyNumberFormat="1" applyFont="1" applyBorder="1" applyAlignment="1">
      <alignment horizontal="right"/>
    </xf>
    <xf numFmtId="172" fontId="11" fillId="0" borderId="10" xfId="0" applyNumberFormat="1" applyFont="1" applyBorder="1" applyAlignment="1">
      <alignment horizontal="right"/>
    </xf>
    <xf numFmtId="172" fontId="15" fillId="0" borderId="10" xfId="0" applyNumberFormat="1" applyFont="1" applyBorder="1" applyAlignment="1">
      <alignment horizontal="right"/>
    </xf>
    <xf numFmtId="172" fontId="15" fillId="0" borderId="0" xfId="0" applyNumberFormat="1" applyFont="1"/>
    <xf numFmtId="172" fontId="18" fillId="0" borderId="0" xfId="0" applyNumberFormat="1" applyFont="1" applyAlignment="1">
      <alignment horizontal="right"/>
    </xf>
    <xf numFmtId="172" fontId="16" fillId="0" borderId="0" xfId="0" applyNumberFormat="1" applyFont="1" applyAlignment="1">
      <alignment horizontal="right"/>
    </xf>
    <xf numFmtId="172" fontId="16" fillId="0" borderId="10" xfId="0" applyNumberFormat="1" applyFont="1" applyBorder="1" applyAlignment="1">
      <alignment horizontal="right"/>
    </xf>
    <xf numFmtId="7" fontId="19" fillId="0" borderId="0" xfId="0" applyNumberFormat="1" applyFont="1" applyAlignment="1">
      <alignment horizontal="left"/>
    </xf>
    <xf numFmtId="166" fontId="14" fillId="0" borderId="0" xfId="0" applyNumberFormat="1" applyFont="1" applyAlignment="1">
      <alignment horizontal="right"/>
    </xf>
    <xf numFmtId="0" fontId="15" fillId="0" borderId="18" xfId="0" applyFont="1" applyBorder="1" applyAlignment="1">
      <alignment horizontal="left"/>
    </xf>
    <xf numFmtId="166" fontId="18" fillId="0" borderId="10" xfId="0" applyNumberFormat="1" applyFont="1" applyBorder="1" applyAlignment="1">
      <alignment horizontal="right"/>
    </xf>
    <xf numFmtId="166" fontId="14" fillId="0" borderId="10" xfId="0" applyNumberFormat="1" applyFont="1" applyBorder="1" applyAlignment="1">
      <alignment horizontal="right"/>
    </xf>
    <xf numFmtId="166" fontId="25" fillId="0" borderId="0" xfId="0" applyNumberFormat="1" applyFont="1" applyAlignment="1">
      <alignment horizontal="right"/>
    </xf>
    <xf numFmtId="0" fontId="15" fillId="0" borderId="10" xfId="0" applyFont="1" applyBorder="1" applyAlignment="1">
      <alignment horizontal="left"/>
    </xf>
    <xf numFmtId="167" fontId="15" fillId="0" borderId="0" xfId="0" applyNumberFormat="1" applyFont="1" applyAlignment="1">
      <alignment horizontal="right"/>
    </xf>
    <xf numFmtId="166" fontId="18" fillId="0" borderId="18" xfId="0" applyNumberFormat="1" applyFont="1" applyBorder="1" applyAlignment="1">
      <alignment horizontal="right"/>
    </xf>
    <xf numFmtId="166" fontId="15" fillId="0" borderId="18" xfId="0" applyNumberFormat="1" applyFont="1" applyBorder="1" applyAlignment="1">
      <alignment horizontal="right"/>
    </xf>
    <xf numFmtId="0" fontId="22" fillId="0" borderId="0" xfId="0" applyFont="1" applyAlignment="1">
      <alignment horizontal="right"/>
    </xf>
    <xf numFmtId="0" fontId="26" fillId="0" borderId="0" xfId="0" applyFont="1"/>
    <xf numFmtId="166" fontId="26" fillId="0" borderId="0" xfId="0" applyNumberFormat="1" applyFont="1" applyAlignment="1">
      <alignment horizontal="right"/>
    </xf>
    <xf numFmtId="0" fontId="22" fillId="0" borderId="0" xfId="0" applyFont="1"/>
    <xf numFmtId="0" fontId="11" fillId="10" borderId="9" xfId="0" applyFont="1" applyFill="1" applyBorder="1"/>
    <xf numFmtId="166" fontId="20" fillId="0" borderId="0" xfId="0" applyNumberFormat="1" applyFont="1"/>
    <xf numFmtId="166" fontId="14" fillId="0" borderId="0" xfId="0" applyNumberFormat="1" applyFont="1"/>
    <xf numFmtId="166" fontId="20" fillId="0" borderId="10" xfId="0" applyNumberFormat="1" applyFont="1" applyBorder="1"/>
    <xf numFmtId="166" fontId="15" fillId="0" borderId="0" xfId="0" applyNumberFormat="1" applyFont="1"/>
    <xf numFmtId="166" fontId="18" fillId="0" borderId="0" xfId="0" applyNumberFormat="1" applyFont="1"/>
    <xf numFmtId="169" fontId="17" fillId="0" borderId="0" xfId="0" applyNumberFormat="1" applyFont="1"/>
    <xf numFmtId="169" fontId="22" fillId="5" borderId="4" xfId="0" applyNumberFormat="1" applyFont="1" applyFill="1" applyBorder="1"/>
    <xf numFmtId="166" fontId="11" fillId="0" borderId="0" xfId="0" applyNumberFormat="1" applyFont="1"/>
    <xf numFmtId="173" fontId="11" fillId="0" borderId="0" xfId="0" applyNumberFormat="1" applyFont="1"/>
    <xf numFmtId="44" fontId="14" fillId="5" borderId="4" xfId="0" applyNumberFormat="1" applyFont="1" applyFill="1" applyBorder="1"/>
    <xf numFmtId="164" fontId="20" fillId="0" borderId="10" xfId="0" applyNumberFormat="1" applyFont="1" applyBorder="1"/>
    <xf numFmtId="164" fontId="18" fillId="0" borderId="0" xfId="0" applyNumberFormat="1" applyFont="1"/>
    <xf numFmtId="165" fontId="21" fillId="0" borderId="0" xfId="0" applyNumberFormat="1" applyFont="1"/>
    <xf numFmtId="164" fontId="14" fillId="0" borderId="0" xfId="0" applyNumberFormat="1" applyFont="1"/>
    <xf numFmtId="174" fontId="11" fillId="0" borderId="0" xfId="0" applyNumberFormat="1" applyFont="1"/>
    <xf numFmtId="166" fontId="13" fillId="0" borderId="18" xfId="0" applyNumberFormat="1" applyFont="1" applyBorder="1" applyAlignment="1">
      <alignment horizontal="right"/>
    </xf>
    <xf numFmtId="166" fontId="11" fillId="0" borderId="18" xfId="0" applyNumberFormat="1" applyFont="1" applyBorder="1" applyAlignment="1">
      <alignment horizontal="right"/>
    </xf>
    <xf numFmtId="166" fontId="11" fillId="8" borderId="9" xfId="0" applyNumberFormat="1" applyFont="1" applyFill="1" applyBorder="1" applyAlignment="1">
      <alignment horizontal="right"/>
    </xf>
    <xf numFmtId="0" fontId="1" fillId="0" borderId="0" xfId="0" applyFont="1"/>
    <xf numFmtId="0" fontId="27" fillId="4" borderId="9" xfId="0" applyFont="1" applyFill="1" applyBorder="1"/>
    <xf numFmtId="0" fontId="28" fillId="4" borderId="9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right"/>
    </xf>
    <xf numFmtId="0" fontId="28" fillId="4" borderId="9" xfId="0" applyFont="1" applyFill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" fillId="0" borderId="10" xfId="0" applyFont="1" applyBorder="1"/>
    <xf numFmtId="0" fontId="10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right"/>
    </xf>
    <xf numFmtId="10" fontId="29" fillId="0" borderId="0" xfId="0" applyNumberFormat="1" applyFont="1" applyAlignment="1">
      <alignment horizontal="center"/>
    </xf>
    <xf numFmtId="164" fontId="29" fillId="0" borderId="0" xfId="0" applyNumberFormat="1" applyFont="1" applyAlignment="1">
      <alignment horizontal="right"/>
    </xf>
    <xf numFmtId="164" fontId="29" fillId="5" borderId="4" xfId="0" applyNumberFormat="1" applyFont="1" applyFill="1" applyBorder="1"/>
    <xf numFmtId="164" fontId="30" fillId="5" borderId="4" xfId="0" applyNumberFormat="1" applyFont="1" applyFill="1" applyBorder="1"/>
    <xf numFmtId="10" fontId="1" fillId="0" borderId="0" xfId="0" applyNumberFormat="1" applyFont="1" applyAlignment="1">
      <alignment horizontal="center"/>
    </xf>
    <xf numFmtId="10" fontId="1" fillId="0" borderId="10" xfId="0" applyNumberFormat="1" applyFont="1" applyBorder="1" applyAlignment="1">
      <alignment horizontal="center"/>
    </xf>
    <xf numFmtId="164" fontId="29" fillId="0" borderId="10" xfId="0" applyNumberFormat="1" applyFont="1" applyBorder="1" applyAlignment="1">
      <alignment horizontal="right"/>
    </xf>
    <xf numFmtId="0" fontId="10" fillId="0" borderId="0" xfId="0" applyFont="1"/>
    <xf numFmtId="10" fontId="31" fillId="0" borderId="0" xfId="0" applyNumberFormat="1" applyFont="1" applyAlignment="1">
      <alignment horizontal="center"/>
    </xf>
    <xf numFmtId="164" fontId="31" fillId="0" borderId="0" xfId="0" applyNumberFormat="1" applyFont="1" applyAlignment="1">
      <alignment horizontal="right"/>
    </xf>
    <xf numFmtId="10" fontId="10" fillId="0" borderId="0" xfId="0" applyNumberFormat="1" applyFont="1" applyAlignment="1">
      <alignment horizontal="center"/>
    </xf>
    <xf numFmtId="0" fontId="7" fillId="0" borderId="0" xfId="0" applyFont="1"/>
    <xf numFmtId="5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0" fontId="29" fillId="5" borderId="4" xfId="0" applyNumberFormat="1" applyFont="1" applyFill="1" applyBorder="1" applyAlignment="1">
      <alignment horizontal="center"/>
    </xf>
    <xf numFmtId="164" fontId="3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70" fontId="33" fillId="0" borderId="0" xfId="0" applyNumberFormat="1" applyFont="1"/>
    <xf numFmtId="166" fontId="13" fillId="0" borderId="9" xfId="0" applyNumberFormat="1" applyFont="1" applyBorder="1" applyAlignment="1">
      <alignment horizontal="right"/>
    </xf>
    <xf numFmtId="166" fontId="13" fillId="0" borderId="20" xfId="0" applyNumberFormat="1" applyFont="1" applyBorder="1" applyAlignment="1">
      <alignment horizontal="right"/>
    </xf>
    <xf numFmtId="168" fontId="16" fillId="0" borderId="20" xfId="0" applyNumberFormat="1" applyFont="1" applyBorder="1" applyAlignment="1">
      <alignment horizontal="right"/>
    </xf>
    <xf numFmtId="168" fontId="20" fillId="0" borderId="20" xfId="0" applyNumberFormat="1" applyFont="1" applyBorder="1" applyAlignment="1">
      <alignment horizontal="right"/>
    </xf>
    <xf numFmtId="168" fontId="20" fillId="0" borderId="2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hith venkat" id="{04726308-7E4C-8B41-904A-350AB2898DBA}" userId="3a45b54f5411bcbf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5-10-03T20:22:04.43" personId="{04726308-7E4C-8B41-904A-350AB2898DBA}" id="{3C9A5456-C390-8746-BC2F-3C860095C3C5}">
    <text>Pg 43 2024 10K</text>
  </threadedComment>
  <threadedComment ref="E4" dT="2025-10-03T20:21:59.09" personId="{04726308-7E4C-8B41-904A-350AB2898DBA}" id="{8ED2B822-1E9F-B74A-9DC9-6016B321699D}">
    <text>Pg 43 2024 10K</text>
  </threadedComment>
  <threadedComment ref="D5" dT="2025-10-03T20:22:08.28" personId="{04726308-7E4C-8B41-904A-350AB2898DBA}" id="{96D85C40-D6FF-8B44-8B60-551BD21588E5}">
    <text>Pg 43 2024 10K</text>
  </threadedComment>
  <threadedComment ref="E5" dT="2025-10-03T20:22:31.12" personId="{04726308-7E4C-8B41-904A-350AB2898DBA}" id="{C34DCC48-BF9B-E64E-9694-2CA5A6C2C82A}">
    <text>Pg 43 2024 10K</text>
  </threadedComment>
  <threadedComment ref="D6" dT="2025-10-03T20:22:12.36" personId="{04726308-7E4C-8B41-904A-350AB2898DBA}" id="{60577D00-C290-B94C-BE5D-4C40127972E6}">
    <text>Pg 43 2024 10K</text>
  </threadedComment>
  <threadedComment ref="E6" dT="2025-10-03T20:22:35.19" personId="{04726308-7E4C-8B41-904A-350AB2898DBA}" id="{A884A99D-B22E-7647-AABA-A814785736CD}">
    <text>Pg 43 2024 10K</text>
  </threadedComment>
  <threadedComment ref="D7" dT="2025-10-03T20:22:15.78" personId="{04726308-7E4C-8B41-904A-350AB2898DBA}" id="{2B1541C4-70F6-5148-9705-8CCACCD71245}">
    <text>Pg 43 2024 10K</text>
  </threadedComment>
  <threadedComment ref="E7" dT="2025-10-03T20:22:38.79" personId="{04726308-7E4C-8B41-904A-350AB2898DBA}" id="{7FF6E532-E8BE-524F-9F7C-A049B66B1D35}">
    <text>Pg 43 2024 10K</text>
  </threadedComment>
  <threadedComment ref="D8" dT="2025-10-03T20:22:19.50" personId="{04726308-7E4C-8B41-904A-350AB2898DBA}" id="{9BE13FC1-F588-844E-A373-410D7D955D5B}">
    <text>Pg 43 2024 10K</text>
  </threadedComment>
  <threadedComment ref="E8" dT="2025-10-03T20:22:42.14" personId="{04726308-7E4C-8B41-904A-350AB2898DBA}" id="{BC4C61EE-49F4-1A4F-92D2-4630B60EC814}">
    <text>Pg 43 2024 10K</text>
  </threadedComment>
  <threadedComment ref="D9" dT="2025-10-03T20:22:23.32" personId="{04726308-7E4C-8B41-904A-350AB2898DBA}" id="{90CB5E32-C4A5-FC42-9628-F0AB14119EF6}">
    <text>Pg 43 2024 10K</text>
  </threadedComment>
  <threadedComment ref="E9" dT="2025-10-03T20:22:45.62" personId="{04726308-7E4C-8B41-904A-350AB2898DBA}" id="{B836DAC0-76CB-D64B-9275-8FEFD8AEAB74}">
    <text>Pg 43 2024 10K</text>
  </threadedComment>
  <threadedComment ref="D11" dT="2025-10-03T20:22:27.23" personId="{04726308-7E4C-8B41-904A-350AB2898DBA}" id="{FB7D19C0-B15E-1545-B331-5C132AAC89F3}">
    <text>Pg 43 2024 10K</text>
  </threadedComment>
  <threadedComment ref="E11" dT="2025-10-03T20:22:48.87" personId="{04726308-7E4C-8B41-904A-350AB2898DBA}" id="{1B055D9C-B354-0444-9D57-3B6964017D53}">
    <text>Pg 43 2024 10K</text>
  </threadedComment>
  <threadedComment ref="D24" dT="2025-10-03T20:15:08.94" personId="{04726308-7E4C-8B41-904A-350AB2898DBA}" id="{D5490A36-B5AD-3B47-8A99-1C10CDBD5B75}">
    <text xml:space="preserve">Pg 69 2024 10K
</text>
  </threadedComment>
  <threadedComment ref="E24" dT="2025-10-03T20:15:03.73" personId="{04726308-7E4C-8B41-904A-350AB2898DBA}" id="{28A2264F-AE3F-8C44-9241-5386AF6AB18B}">
    <text>Pg 69 2024 10K</text>
  </threadedComment>
  <threadedComment ref="D25" dT="2025-10-03T20:15:17.82" personId="{04726308-7E4C-8B41-904A-350AB2898DBA}" id="{27C6812B-3358-8A42-A7BB-715F3DE3A6F7}">
    <text>Pg 69 2024 10K</text>
  </threadedComment>
  <threadedComment ref="E25" dT="2025-10-03T20:15:23.08" personId="{04726308-7E4C-8B41-904A-350AB2898DBA}" id="{92CF0FF8-AFCE-8241-B6C7-D70EEE339130}">
    <text>Pg 69 2024 10K</text>
  </threadedComment>
  <threadedComment ref="D34" dT="2025-10-03T20:15:27.37" personId="{04726308-7E4C-8B41-904A-350AB2898DBA}" id="{B57DD668-58EA-CF48-AC75-A74E9C55DBAB}">
    <text>Pg 69 2024 10K</text>
  </threadedComment>
  <threadedComment ref="E34" dT="2025-10-03T20:15:35.32" personId="{04726308-7E4C-8B41-904A-350AB2898DBA}" id="{C26A65B0-2272-C34D-9459-016CB9B7B575}">
    <text>Pg 69 2024 10K</text>
  </threadedComment>
  <threadedComment ref="D43" dT="2025-10-03T20:15:31.88" personId="{04726308-7E4C-8B41-904A-350AB2898DBA}" id="{5AF19ACA-122D-0B44-9281-7107D98CB5F3}">
    <text>Pg 69 2024 10K</text>
  </threadedComment>
  <threadedComment ref="E43" dT="2025-10-03T20:15:40.56" personId="{04726308-7E4C-8B41-904A-350AB2898DBA}" id="{9C606890-36E4-CF48-94D2-07ECD13AE56A}">
    <text>Pg 69 2024 10K</text>
  </threadedComment>
  <threadedComment ref="D44" dT="2025-10-03T20:15:43.80" personId="{04726308-7E4C-8B41-904A-350AB2898DBA}" id="{8B721708-00FE-8841-9DDE-859290D2E2B5}">
    <text>Pg 69 2024 10K</text>
  </threadedComment>
  <threadedComment ref="E44" dT="2025-10-03T20:15:49.33" personId="{04726308-7E4C-8B41-904A-350AB2898DBA}" id="{DD3811F0-80D1-C241-94D8-08FED8926E09}">
    <text>Pg 69 2024 10K</text>
  </threadedComment>
  <threadedComment ref="D47" dT="2025-10-03T20:15:52.83" personId="{04726308-7E4C-8B41-904A-350AB2898DBA}" id="{C63A9C87-35FD-A244-A2BB-27D06BBA03AD}">
    <text>Pg 69 2024 10K</text>
  </threadedComment>
  <threadedComment ref="E47" dT="2025-10-03T20:16:01.26" personId="{04726308-7E4C-8B41-904A-350AB2898DBA}" id="{1DDCA86B-CCD1-F04C-9428-B4879D230EC6}">
    <text>Pg 69 2024 10K</text>
  </threadedComment>
  <threadedComment ref="D55" dT="2025-10-03T20:15:56.76" personId="{04726308-7E4C-8B41-904A-350AB2898DBA}" id="{D658A0D1-E5FE-C74C-993E-A73A10C028D6}">
    <text>Pg 69 2024 10K</text>
  </threadedComment>
  <threadedComment ref="E55" dT="2025-10-03T20:16:05.36" personId="{04726308-7E4C-8B41-904A-350AB2898DBA}" id="{695A9866-70BA-7E40-A147-84EA86BF3562}">
    <text>Pg 69 2024 10K</text>
  </threadedComment>
  <threadedComment ref="C61" dT="2025-10-03T20:28:56.02" personId="{04726308-7E4C-8B41-904A-350AB2898DBA}" id="{8C5BECDA-4E43-454A-BEF8-0ABDAB594F13}">
    <text>Pg 61 2024 10K</text>
  </threadedComment>
  <threadedComment ref="D61" dT="2025-10-03T20:28:47.22" personId="{04726308-7E4C-8B41-904A-350AB2898DBA}" id="{CE9C91DC-4C3F-9643-9D58-192D4764E8F6}">
    <text>Pg 61 2024 10K</text>
  </threadedComment>
  <threadedComment ref="E61" dT="2025-10-03T20:28:16.08" personId="{04726308-7E4C-8B41-904A-350AB2898DBA}" id="{8F74BA19-FDC0-384A-B4C8-DC7F15F1EA50}">
    <text>Pg 61 2024 10K</text>
  </threadedComment>
  <threadedComment ref="C62" dT="2025-10-03T20:28:59.55" personId="{04726308-7E4C-8B41-904A-350AB2898DBA}" id="{D1A41F97-EC2C-0A4D-A8D4-19BC36AD5804}">
    <text>Pg 61 2024 10K</text>
  </threadedComment>
  <threadedComment ref="D62" dT="2025-10-03T20:28:52.35" personId="{04726308-7E4C-8B41-904A-350AB2898DBA}" id="{FD7DCDBF-4C2C-3940-813B-3111B624D600}">
    <text>Pg 61 2024 10K</text>
  </threadedComment>
  <threadedComment ref="E62" dT="2025-10-03T20:28:26.87" personId="{04726308-7E4C-8B41-904A-350AB2898DBA}" id="{7BE401D6-2D05-0A4B-AAE1-40ED60FEB48C}">
    <text>Pg 61 2024 10K</text>
  </threadedComment>
  <threadedComment ref="C66" dT="2025-10-03T20:29:26.14" personId="{04726308-7E4C-8B41-904A-350AB2898DBA}" id="{65987C33-4F63-6740-9A42-F6C855ECE72E}">
    <text>Pg 61 2024 10K</text>
  </threadedComment>
  <threadedComment ref="D66" dT="2025-10-03T20:29:08.02" personId="{04726308-7E4C-8B41-904A-350AB2898DBA}" id="{1C69C8D6-BA9C-3B41-8436-1798A5C5FB59}">
    <text>Pg 61 2024 10K</text>
  </threadedComment>
  <threadedComment ref="E66" dT="2025-10-03T20:28:31.21" personId="{04726308-7E4C-8B41-904A-350AB2898DBA}" id="{60514444-95AE-8F44-A94E-529FED7109F0}">
    <text>Pg 61 2024 10K</text>
  </threadedComment>
  <threadedComment ref="C67" dT="2025-10-03T20:29:30.78" personId="{04726308-7E4C-8B41-904A-350AB2898DBA}" id="{B3B2AC56-CE6B-9D44-ABFE-7EFD0C170053}">
    <text>Pg 61 2024 10K</text>
  </threadedComment>
  <threadedComment ref="D67" dT="2025-10-03T20:29:11.40" personId="{04726308-7E4C-8B41-904A-350AB2898DBA}" id="{BA2B01B7-5EFC-EE44-83D2-316EB3E46AC1}">
    <text>Pg 61 2024 10K</text>
  </threadedComment>
  <threadedComment ref="E67" dT="2025-10-03T20:28:35.49" personId="{04726308-7E4C-8B41-904A-350AB2898DBA}" id="{45D89FD4-7C2C-114F-A2B1-613974F9B6F6}">
    <text>Pg 61 2024 10K</text>
  </threadedComment>
  <threadedComment ref="C68" dT="2025-10-03T20:29:34.31" personId="{04726308-7E4C-8B41-904A-350AB2898DBA}" id="{3788C0DA-AC2A-A342-A6D2-A9C1E70318B0}">
    <text>Pg 61 2024 10K</text>
  </threadedComment>
  <threadedComment ref="D68" dT="2025-10-03T20:29:19.50" personId="{04726308-7E4C-8B41-904A-350AB2898DBA}" id="{1358B70C-91D5-734C-B450-3E00CDE9E854}">
    <text>Pg 61 2024 10K</text>
  </threadedComment>
  <threadedComment ref="E68" dT="2025-10-03T20:28:38.97" personId="{04726308-7E4C-8B41-904A-350AB2898DBA}" id="{34EC2421-7A61-9D44-B825-E32ED3EAE2B4}">
    <text>Pg 61 2024 10K</text>
  </threadedComment>
  <threadedComment ref="C69" dT="2025-10-03T20:29:37.91" personId="{04726308-7E4C-8B41-904A-350AB2898DBA}" id="{9CE67C12-C95B-8B4D-837B-8187C6C24307}">
    <text>Pg 61 2024 10K</text>
  </threadedComment>
  <threadedComment ref="D69" dT="2025-10-03T20:29:23.09" personId="{04726308-7E4C-8B41-904A-350AB2898DBA}" id="{9C013D30-161D-3A4C-A304-8D8208213086}">
    <text>Pg 61 2024 10K</text>
  </threadedComment>
  <threadedComment ref="E69" dT="2025-10-03T20:28:43.05" personId="{04726308-7E4C-8B41-904A-350AB2898DBA}" id="{3C0D0C9F-9AA1-6043-A923-13575ED6C880}">
    <text>Pg 61 2024 10K</text>
  </threadedComment>
  <threadedComment ref="C79" dT="2025-10-03T20:30:19.39" personId="{04726308-7E4C-8B41-904A-350AB2898DBA}" id="{606083D8-514E-B447-B6FB-F48AE12D21B4}">
    <text>Pg 43 2024 10K</text>
  </threadedComment>
  <threadedComment ref="D79" dT="2025-10-03T20:21:13.72" personId="{04726308-7E4C-8B41-904A-350AB2898DBA}" id="{BC557D5D-660E-824F-BF10-699C0425AF83}">
    <text>Pg 43 2024 10K</text>
  </threadedComment>
  <threadedComment ref="E79" dT="2025-10-03T20:21:06.94" personId="{04726308-7E4C-8B41-904A-350AB2898DBA}" id="{46E86BF5-5205-6D4A-8C56-06EEB301A3C9}">
    <text>Pg 43 2024 10K</text>
  </threadedComment>
  <threadedComment ref="C81" dT="2025-10-03T20:30:22.58" personId="{04726308-7E4C-8B41-904A-350AB2898DBA}" id="{3134EAE2-A513-A34D-8419-0DF3B9E8F634}">
    <text>Pg 43 2024 10K</text>
  </threadedComment>
  <threadedComment ref="D81" dT="2025-10-03T20:21:16.96" personId="{04726308-7E4C-8B41-904A-350AB2898DBA}" id="{63A30838-311D-2341-8196-21C4A9CBC828}">
    <text>Pg 43 2024 10K</text>
  </threadedComment>
  <threadedComment ref="E81" dT="2025-10-03T20:21:10.28" personId="{04726308-7E4C-8B41-904A-350AB2898DBA}" id="{B6F82D69-A265-2C4E-9005-A7AE34C8329E}">
    <text>Pg 43 2024 10K</text>
  </threadedComment>
  <threadedComment ref="C86" dT="2025-10-03T20:30:25.42" personId="{04726308-7E4C-8B41-904A-350AB2898DBA}" id="{2BFE295F-37E3-2347-99BA-3673165BF6E7}">
    <text>Pg 43 2024 10K</text>
  </threadedComment>
  <threadedComment ref="D86" dT="2025-10-03T20:21:20.13" personId="{04726308-7E4C-8B41-904A-350AB2898DBA}" id="{B30C68F5-9E59-0E4B-A114-0058B1E7F7E2}">
    <text>Pg 43 2024 10K</text>
  </threadedComment>
  <threadedComment ref="C88" dT="2025-10-03T20:30:29.00" personId="{04726308-7E4C-8B41-904A-350AB2898DBA}" id="{D9CC5BEF-357E-6A46-816A-366C426A2839}">
    <text>Pg 43 2024 10K</text>
  </threadedComment>
  <threadedComment ref="D88" dT="2025-10-03T20:21:24.06" personId="{04726308-7E4C-8B41-904A-350AB2898DBA}" id="{26AE0BC3-0C8D-454C-9BC4-68BD08CCA403}">
    <text>Pg 43 2024 10K</text>
  </threadedComment>
  <threadedComment ref="C93" dT="2025-10-03T20:30:33.17" personId="{04726308-7E4C-8B41-904A-350AB2898DBA}" id="{BCBB905E-096E-2041-B634-2D81B1614874}">
    <text>Pg 43 2024 10K</text>
  </threadedComment>
  <threadedComment ref="D93" dT="2025-10-03T20:21:27.01" personId="{04726308-7E4C-8B41-904A-350AB2898DBA}" id="{C3806B36-0672-1546-873F-617CB2ECDE97}">
    <text>Pg 43 2024 10K</text>
  </threadedComment>
  <threadedComment ref="E93" dT="2025-10-03T20:21:36.83" personId="{04726308-7E4C-8B41-904A-350AB2898DBA}" id="{BB8CAFA9-3C94-F944-B5DA-317CBDC402E2}">
    <text>Pg 43 2024 10K</text>
  </threadedComment>
  <threadedComment ref="C95" dT="2025-10-03T20:30:38.50" personId="{04726308-7E4C-8B41-904A-350AB2898DBA}" id="{8009858A-84A2-0742-8C8C-AAC91DD3B866}">
    <text>Pg 43 2024 10K</text>
  </threadedComment>
  <threadedComment ref="D95" dT="2025-10-03T20:21:30.36" personId="{04726308-7E4C-8B41-904A-350AB2898DBA}" id="{78D0A4EE-FC2F-B347-BB7D-B7F81662D327}">
    <text>Pg 43 2024 10K</text>
  </threadedComment>
  <threadedComment ref="E95" dT="2025-10-03T20:21:40.75" personId="{04726308-7E4C-8B41-904A-350AB2898DBA}" id="{E7235D34-A6C9-074C-8F06-F360E3688D72}">
    <text>Pg 43 2024 10K</text>
  </threadedComment>
  <threadedComment ref="D101" dT="2025-10-03T20:17:51.05" personId="{04726308-7E4C-8B41-904A-350AB2898DBA}" id="{00583DE5-EF8C-CB4D-9DFD-C7ADD32F73F3}">
    <text>Pg 6 2024 10K</text>
  </threadedComment>
  <threadedComment ref="E101" dT="2025-10-03T20:17:29.33" personId="{04726308-7E4C-8B41-904A-350AB2898DBA}" id="{6C437D85-4C78-E14C-A63F-F481944F8218}">
    <text>Pg 6 2024 10K</text>
  </threadedComment>
  <threadedComment ref="D102" dT="2025-10-03T20:17:55.65" personId="{04726308-7E4C-8B41-904A-350AB2898DBA}" id="{DC1A7D35-08EC-C244-9224-548D9025410F}">
    <text>Pg 6 2024 10K</text>
  </threadedComment>
  <threadedComment ref="E102" dT="2025-10-03T20:17:34.96" personId="{04726308-7E4C-8B41-904A-350AB2898DBA}" id="{3AF54792-00CE-EB4A-B0DF-2998ED401443}">
    <text>Pg 6 2024 10K</text>
  </threadedComment>
  <threadedComment ref="D103" dT="2025-10-03T20:17:58.75" personId="{04726308-7E4C-8B41-904A-350AB2898DBA}" id="{EB8E57C3-DD7B-6A4C-AA3A-F8E22E997AA8}">
    <text>Pg 6 2024 10K</text>
  </threadedComment>
  <threadedComment ref="E103" dT="2025-10-03T20:17:38.60" personId="{04726308-7E4C-8B41-904A-350AB2898DBA}" id="{41358C39-45C1-B241-A329-3EBE60C4AC0A}">
    <text>Pg 6 2024 10K</text>
  </threadedComment>
  <threadedComment ref="D104" dT="2025-10-03T20:18:02.96" personId="{04726308-7E4C-8B41-904A-350AB2898DBA}" id="{643C1C82-1541-AF4F-AAF6-287D5B457361}">
    <text>Pg 6 2024 10K</text>
  </threadedComment>
  <threadedComment ref="E104" dT="2025-10-03T20:17:41.38" personId="{04726308-7E4C-8B41-904A-350AB2898DBA}" id="{0A08AB5E-B0BB-7E41-82CF-C236E5772AA9}">
    <text>Pg 6 2024 10K</text>
  </threadedComment>
  <threadedComment ref="D105" dT="2025-10-03T20:18:06.89" personId="{04726308-7E4C-8B41-904A-350AB2898DBA}" id="{74902AFF-9123-4A4F-9FCE-3FACBC08E2CF}">
    <text>Pg 6 2024 10K</text>
  </threadedComment>
  <threadedComment ref="E105" dT="2025-10-03T20:17:45.16" personId="{04726308-7E4C-8B41-904A-350AB2898DBA}" id="{C3483BB1-C827-DF48-9A7E-81D9BA6E245E}">
    <text>Pg 6 2024 10K</text>
  </threadedComment>
  <threadedComment ref="D107" dT="2025-10-03T20:18:11.82" personId="{04726308-7E4C-8B41-904A-350AB2898DBA}" id="{FF9153E3-F4B0-9C45-A3AB-0527192DCB91}">
    <text>Pg 6 2024 10K</text>
  </threadedComment>
  <threadedComment ref="E107" dT="2025-10-03T20:17:48.05" personId="{04726308-7E4C-8B41-904A-350AB2898DBA}" id="{62F56D99-B322-5B4F-9872-C92F91180863}">
    <text>Pg 6 2024 10K</text>
  </threadedComment>
  <threadedComment ref="C131" dT="2025-10-03T20:25:35.29" personId="{04726308-7E4C-8B41-904A-350AB2898DBA}" id="{51A2BE7D-4C93-E441-BE3B-B25FE110061C}">
    <text>Pg 102 2024 10K</text>
  </threadedComment>
  <threadedComment ref="D131" dT="2025-10-03T20:24:21.40" personId="{04726308-7E4C-8B41-904A-350AB2898DBA}" id="{0A679E0F-904F-F64E-9147-FE60E85893CF}">
    <text>Pg 101 2024 10K</text>
  </threadedComment>
  <threadedComment ref="E131" dT="2025-10-03T20:23:54.62" personId="{04726308-7E4C-8B41-904A-350AB2898DBA}" id="{24F6A873-74D8-C14C-9FF5-1A4FB0A1761A}">
    <text>Pg 100 2024 10K</text>
  </threadedComment>
  <threadedComment ref="C132" dT="2025-10-03T20:25:38.75" personId="{04726308-7E4C-8B41-904A-350AB2898DBA}" id="{88A5D259-F903-7747-8454-A77C28A8162C}">
    <text>Pg 102 2024 10K</text>
  </threadedComment>
  <threadedComment ref="D132" dT="2025-10-03T20:24:24.95" personId="{04726308-7E4C-8B41-904A-350AB2898DBA}" id="{B0B37AE3-7A0D-C14D-AC36-62EB03CE51C6}">
    <text>Pg 101 2024 10K</text>
  </threadedComment>
  <threadedComment ref="E132" dT="2025-10-03T20:23:59.94" personId="{04726308-7E4C-8B41-904A-350AB2898DBA}" id="{44D3A1CA-B43E-A549-AC62-4A2D1D08ED3F}">
    <text>Pg 100 2024 10K</text>
  </threadedComment>
  <threadedComment ref="C134" dT="2025-10-03T20:25:42.37" personId="{04726308-7E4C-8B41-904A-350AB2898DBA}" id="{6D3294EF-E9A5-F340-8CCA-69C507BC15CA}">
    <text>Pg 102 2024 10K</text>
  </threadedComment>
  <threadedComment ref="D134" dT="2025-10-03T20:24:32.65" personId="{04726308-7E4C-8B41-904A-350AB2898DBA}" id="{A17D4508-7F08-054E-A85B-B3A8600C2628}">
    <text>Pg 101 2024 10K</text>
  </threadedComment>
  <threadedComment ref="E134" dT="2025-10-03T20:24:03.29" personId="{04726308-7E4C-8B41-904A-350AB2898DBA}" id="{91928198-F662-0D49-9CA3-D65C41182FEC}">
    <text>Pg 100 2024 10K</text>
  </threadedComment>
  <threadedComment ref="C135" dT="2025-10-03T20:25:46.04" personId="{04726308-7E4C-8B41-904A-350AB2898DBA}" id="{924F0FDF-5D22-9040-93E8-CF5F18167CA1}">
    <text>Pg 102 2024 10K</text>
  </threadedComment>
  <threadedComment ref="D135" dT="2025-10-03T20:24:36.99" personId="{04726308-7E4C-8B41-904A-350AB2898DBA}" id="{DCE006A2-2733-8049-BED8-51C38719BD84}">
    <text>Pg 101 2024 10K</text>
  </threadedComment>
  <threadedComment ref="E135" dT="2025-10-03T20:24:06.92" personId="{04726308-7E4C-8B41-904A-350AB2898DBA}" id="{FBAFC376-7DFE-5042-BCDB-273A053C11C2}">
    <text>Pg 100 2024 10K</text>
  </threadedComment>
  <threadedComment ref="C136" dT="2025-10-03T20:25:49.60" personId="{04726308-7E4C-8B41-904A-350AB2898DBA}" id="{93EEEE0D-125E-5B4E-AD79-A0E4F609150D}">
    <text>Pg 102 2024 10K</text>
  </threadedComment>
  <threadedComment ref="D136" dT="2025-10-03T20:24:40.11" personId="{04726308-7E4C-8B41-904A-350AB2898DBA}" id="{03A2B30E-C93B-1842-961B-BA123F558AB9}">
    <text>Pg 101 2024 10K</text>
  </threadedComment>
  <threadedComment ref="E136" dT="2025-10-03T20:24:11.47" personId="{04726308-7E4C-8B41-904A-350AB2898DBA}" id="{6B66ADDE-3F46-BA41-BCD2-0794DCBA2A3A}">
    <text>Pg 100 2024 10K</text>
  </threadedComment>
  <threadedComment ref="C138" dT="2025-10-03T20:25:53.16" personId="{04726308-7E4C-8B41-904A-350AB2898DBA}" id="{7745D64D-C737-814E-83E4-F9904F6CBE48}">
    <text>Pg 102 2024 10K</text>
  </threadedComment>
  <threadedComment ref="D138" dT="2025-10-03T20:24:43.18" personId="{04726308-7E4C-8B41-904A-350AB2898DBA}" id="{271A6212-4994-ED4B-B910-6CE0723A9234}">
    <text>Pg 101 2024 10K</text>
  </threadedComment>
  <threadedComment ref="E138" dT="2025-10-03T20:24:14.53" personId="{04726308-7E4C-8B41-904A-350AB2898DBA}" id="{EC66A109-AEC6-444C-8EEE-A4923E07288B}">
    <text>Pg 100 2024 10K</text>
  </threadedComment>
  <threadedComment ref="C153" dT="2025-10-03T20:25:58.09" personId="{04726308-7E4C-8B41-904A-350AB2898DBA}" id="{8869832D-E04F-B946-974E-D95A6996FE3E}">
    <text>Pg 102 2024 10K</text>
  </threadedComment>
  <threadedComment ref="D153" dT="2025-10-03T20:26:21.91" personId="{04726308-7E4C-8B41-904A-350AB2898DBA}" id="{110BE939-401E-FD40-AAEB-A8AF5910B86E}">
    <text>Pg 101 2024 10K</text>
  </threadedComment>
  <threadedComment ref="E153" dT="2025-10-03T20:26:51.78" personId="{04726308-7E4C-8B41-904A-350AB2898DBA}" id="{CDD153BF-EEE7-404E-BC7D-9B1692BF9CC9}">
    <text>Pg 100 2024 10K</text>
  </threadedComment>
  <threadedComment ref="C154" dT="2025-10-03T20:26:02.79" personId="{04726308-7E4C-8B41-904A-350AB2898DBA}" id="{3F8CEE32-3DF8-9A42-A94A-DD2FEE2D0E7D}">
    <text>Pg 102 2024 10K</text>
  </threadedComment>
  <threadedComment ref="D154" dT="2025-10-03T20:26:26.06" personId="{04726308-7E4C-8B41-904A-350AB2898DBA}" id="{FCA9B127-139F-584B-A548-9FE398F12664}">
    <text>Pg 101 2024 10K</text>
  </threadedComment>
  <threadedComment ref="E154" dT="2025-10-03T20:26:56.49" personId="{04726308-7E4C-8B41-904A-350AB2898DBA}" id="{D3647DC1-39BD-1D46-B56D-A54170C9FF93}">
    <text>Pg 100 2024 10K</text>
  </threadedComment>
  <threadedComment ref="C156" dT="2025-10-03T20:26:05.76" personId="{04726308-7E4C-8B41-904A-350AB2898DBA}" id="{D319A78A-7019-924D-8DB0-38647427D2A7}">
    <text>Pg 102 2024 10K</text>
  </threadedComment>
  <threadedComment ref="D156" dT="2025-10-03T20:26:29.91" personId="{04726308-7E4C-8B41-904A-350AB2898DBA}" id="{0E084E76-B418-6C4E-978B-DF7B200E3357}">
    <text>Pg 101 2024 10K</text>
  </threadedComment>
  <threadedComment ref="E156" dT="2025-10-03T20:26:59.40" personId="{04726308-7E4C-8B41-904A-350AB2898DBA}" id="{48F38ED6-5DB0-3E44-971B-992BF3879A88}">
    <text>Pg 100 2024 10K</text>
  </threadedComment>
  <threadedComment ref="C157" dT="2025-10-03T20:26:08.89" personId="{04726308-7E4C-8B41-904A-350AB2898DBA}" id="{D707C9E0-BF90-3F46-8A61-B0C31ADFBAB3}">
    <text>Pg 102 2024 10K</text>
  </threadedComment>
  <threadedComment ref="D157" dT="2025-10-03T20:26:32.76" personId="{04726308-7E4C-8B41-904A-350AB2898DBA}" id="{BD1C95C0-4629-B749-A07E-01DD4810A124}">
    <text>Pg 101 2024 10K</text>
  </threadedComment>
  <threadedComment ref="E157" dT="2025-10-03T20:27:02.31" personId="{04726308-7E4C-8B41-904A-350AB2898DBA}" id="{6B59C178-F4D8-E248-9816-665061E92B35}">
    <text>Pg 100 2024 10K</text>
  </threadedComment>
  <threadedComment ref="C158" dT="2025-10-03T20:26:11.99" personId="{04726308-7E4C-8B41-904A-350AB2898DBA}" id="{EA24C89F-0B57-B445-849B-9A37ADF0A08C}">
    <text>Pg 102 2024 10K</text>
  </threadedComment>
  <threadedComment ref="D158" dT="2025-10-03T20:26:36.19" personId="{04726308-7E4C-8B41-904A-350AB2898DBA}" id="{DFB581D1-2579-5246-8363-9FC41DE49CBD}">
    <text>Pg 101 2024 10K</text>
  </threadedComment>
  <threadedComment ref="E158" dT="2025-10-03T20:27:05.12" personId="{04726308-7E4C-8B41-904A-350AB2898DBA}" id="{1A68E5C4-F38A-7848-885F-DAC7BD759D57}">
    <text>Pg 100 2024 10K</text>
  </threadedComment>
  <threadedComment ref="C160" dT="2025-10-03T20:26:15.78" personId="{04726308-7E4C-8B41-904A-350AB2898DBA}" id="{57941DD8-7E6D-AC4F-838A-0B098084DBCF}">
    <text>Pg 102 2024 10K</text>
  </threadedComment>
  <threadedComment ref="D160" dT="2025-10-03T20:26:38.94" personId="{04726308-7E4C-8B41-904A-350AB2898DBA}" id="{FF68A578-78F8-1640-827F-EDDDE8524CB0}">
    <text>Pg 101 2024 10K</text>
  </threadedComment>
  <threadedComment ref="E160" dT="2025-10-03T20:27:08.21" personId="{04726308-7E4C-8B41-904A-350AB2898DBA}" id="{BBB39A5E-E11A-C94C-A397-8BA3CF764D1E}">
    <text>Pg 100 2024 10K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5-10-03T19:43:49.66" personId="{04726308-7E4C-8B41-904A-350AB2898DBA}" id="{C53D4E4D-91D4-F24B-9C75-702B81B5F1DF}">
    <text>Pg 71 2024 10K</text>
  </threadedComment>
  <threadedComment ref="E4" dT="2025-10-03T19:43:55.42" personId="{04726308-7E4C-8B41-904A-350AB2898DBA}" id="{D8A42B19-2CBB-9945-B7E4-E61D552532C6}">
    <text>Pg 71 2024 10K</text>
  </threadedComment>
  <threadedComment ref="D5" dT="2025-10-03T19:44:52.04" personId="{04726308-7E4C-8B41-904A-350AB2898DBA}" id="{63314346-8FCB-C840-B3F0-07CBF460FA5C}">
    <text xml:space="preserve">Pg 71 2024 10K
</text>
  </threadedComment>
  <threadedComment ref="E5" dT="2025-10-03T19:45:42.17" personId="{04726308-7E4C-8B41-904A-350AB2898DBA}" id="{799FDB32-BCEB-2345-BF9E-FDFCFDCE3E11}">
    <text>Pg 71 2024 10K</text>
  </threadedComment>
  <threadedComment ref="D6" dT="2025-10-03T19:45:46.39" personId="{04726308-7E4C-8B41-904A-350AB2898DBA}" id="{7D798316-054A-FE43-90FA-824A05CC10F1}">
    <text>Pg 71 2024 10K</text>
  </threadedComment>
  <threadedComment ref="E6" dT="2025-10-03T19:45:54.71" personId="{04726308-7E4C-8B41-904A-350AB2898DBA}" id="{6580FC8C-EC83-AF4C-A7ED-0F0E59F655BF}">
    <text>Pg 71 2024 10K</text>
  </threadedComment>
  <threadedComment ref="D7" dT="2025-10-03T19:45:50.62" personId="{04726308-7E4C-8B41-904A-350AB2898DBA}" id="{6265DF48-E771-984E-B2DE-391D56511F07}">
    <text>Pg 71 2024 10K</text>
  </threadedComment>
  <threadedComment ref="E7" dT="2025-10-03T19:45:59.32" personId="{04726308-7E4C-8B41-904A-350AB2898DBA}" id="{EBAFC9D6-E452-CD46-BD21-15AF19773DDD}">
    <text>Pg 71 2024 10K</text>
  </threadedComment>
  <threadedComment ref="D8" dT="2025-10-03T19:46:03.26" personId="{04726308-7E4C-8B41-904A-350AB2898DBA}" id="{5F9374FA-3019-1241-995C-4154C313B1E6}">
    <text>Pg 71 2024 10K</text>
  </threadedComment>
  <threadedComment ref="E8" dT="2025-10-03T19:45:17.32" personId="{04726308-7E4C-8B41-904A-350AB2898DBA}" id="{1C0C596B-070A-AC46-B7CF-2064F21BEA3B}">
    <text>Pg 71 2024 10K</text>
  </threadedComment>
  <threadedComment ref="D11" dT="2025-10-03T19:46:08.82" personId="{04726308-7E4C-8B41-904A-350AB2898DBA}" id="{2C70566C-EEDE-6244-AD82-BFB862456893}">
    <text>Pg 71 2024 10K</text>
  </threadedComment>
  <threadedComment ref="E11" dT="2025-10-03T19:46:17.55" personId="{04726308-7E4C-8B41-904A-350AB2898DBA}" id="{A09A1810-7578-CC4D-819B-396F5BDCEB48}">
    <text>Pg 71 2024 10K</text>
  </threadedComment>
  <threadedComment ref="D12" dT="2025-10-03T19:46:12.47" personId="{04726308-7E4C-8B41-904A-350AB2898DBA}" id="{3D255635-55E5-B941-AFBF-F863F9255C5D}">
    <text>Pg 71 2024 10K</text>
  </threadedComment>
  <threadedComment ref="E12" dT="2025-10-03T19:46:20.82" personId="{04726308-7E4C-8B41-904A-350AB2898DBA}" id="{3D3AF7C8-55A4-2D42-A4E4-4ED6BEF1547F}">
    <text>Pg 71 2024 10K</text>
  </threadedComment>
  <threadedComment ref="D13" dT="2025-10-03T19:46:27.02" personId="{04726308-7E4C-8B41-904A-350AB2898DBA}" id="{57595F77-96C1-B94B-AE94-1F781C016689}">
    <text>Pg 71 2024 10K</text>
  </threadedComment>
  <threadedComment ref="E13" dT="2025-10-03T19:46:23.88" personId="{04726308-7E4C-8B41-904A-350AB2898DBA}" id="{8739FDC7-E020-2349-835A-76D20AED38F8}">
    <text>Pg 71 2024 10K</text>
  </threadedComment>
  <threadedComment ref="D14" dT="2025-10-03T19:46:30.01" personId="{04726308-7E4C-8B41-904A-350AB2898DBA}" id="{47E482A4-2AB0-4F4A-8B18-1007FBAE3D22}">
    <text>Pg 71 2024 10K</text>
  </threadedComment>
  <threadedComment ref="E14" dT="2025-10-03T19:46:46.18" personId="{04726308-7E4C-8B41-904A-350AB2898DBA}" id="{315AF89B-4748-4341-9A41-E17E0864E747}">
    <text>Pg 71 2024 10K</text>
  </threadedComment>
  <threadedComment ref="D15" dT="2025-10-03T19:46:39.39" personId="{04726308-7E4C-8B41-904A-350AB2898DBA}" id="{6B74CBF7-2A11-4D4C-BC44-57393D5C4BDC}">
    <text>Pg 71 2024 10K</text>
  </threadedComment>
  <threadedComment ref="E15" dT="2025-10-03T19:46:50.82" personId="{04726308-7E4C-8B41-904A-350AB2898DBA}" id="{8D8896E9-C217-CB4B-9F11-33B0A344E7DD}">
    <text>Pg 71 2024 10K</text>
  </threadedComment>
  <threadedComment ref="D19" dT="2025-10-03T19:47:07.10" personId="{04726308-7E4C-8B41-904A-350AB2898DBA}" id="{1823BE1C-795F-EB48-83F5-E362417FA1DD}">
    <text>Pg 71 2024 10K</text>
  </threadedComment>
  <threadedComment ref="E19" dT="2025-10-03T19:47:38.47" personId="{04726308-7E4C-8B41-904A-350AB2898DBA}" id="{4C6B2C7A-34D3-9943-88E1-7F37B406450F}">
    <text>Pg 71 2024 10K</text>
  </threadedComment>
  <threadedComment ref="D20" dT="2025-10-03T19:47:11.87" personId="{04726308-7E4C-8B41-904A-350AB2898DBA}" id="{608CCF5E-5130-DA4C-A945-9DD294AE0684}">
    <text>Pg 71 2024 10K</text>
  </threadedComment>
  <threadedComment ref="E20" dT="2025-10-03T19:47:42.16" personId="{04726308-7E4C-8B41-904A-350AB2898DBA}" id="{2B50DF78-7519-594C-A3C3-A6A0FF46A2F3}">
    <text>Pg 71 2024 10K</text>
  </threadedComment>
  <threadedComment ref="D21" dT="2025-10-03T19:47:16.63" personId="{04726308-7E4C-8B41-904A-350AB2898DBA}" id="{B9F12B58-9727-7342-B553-C82F02B50445}">
    <text>Pg 71 2024 10K</text>
  </threadedComment>
  <threadedComment ref="E21" dT="2025-10-03T19:47:45.68" personId="{04726308-7E4C-8B41-904A-350AB2898DBA}" id="{C9181D33-1F50-0143-AA94-1CCC56BD6184}">
    <text>Pg 71 2024 10K</text>
  </threadedComment>
  <threadedComment ref="D22" dT="2025-10-03T19:47:20.23" personId="{04726308-7E4C-8B41-904A-350AB2898DBA}" id="{5BC8B66F-25E1-C941-801C-6D1E5107BA1F}">
    <text>Pg 71 2024 10K</text>
  </threadedComment>
  <threadedComment ref="E22" dT="2025-10-03T19:47:49.34" personId="{04726308-7E4C-8B41-904A-350AB2898DBA}" id="{037C21D4-A894-CA47-A481-45593B2EB891}">
    <text>Pg 71 2024 10K</text>
  </threadedComment>
  <threadedComment ref="D23" dT="2025-10-03T19:47:23.75" personId="{04726308-7E4C-8B41-904A-350AB2898DBA}" id="{A5F2397C-0E25-6142-B62E-6B0EBD4CACA1}">
    <text>Pg 71 2024 10K</text>
  </threadedComment>
  <threadedComment ref="E23" dT="2025-10-03T19:47:52.64" personId="{04726308-7E4C-8B41-904A-350AB2898DBA}" id="{CF0334C0-99B4-D242-9179-3BE434D5A746}">
    <text>Pg 71 2024 10K</text>
  </threadedComment>
  <threadedComment ref="D24" dT="2025-10-03T19:47:27.19" personId="{04726308-7E4C-8B41-904A-350AB2898DBA}" id="{7294DCF7-0CFE-954D-9D35-5D8AA562049A}">
    <text>Pg 71 2024 10K</text>
  </threadedComment>
  <threadedComment ref="E24" dT="2025-10-03T19:48:00.70" personId="{04726308-7E4C-8B41-904A-350AB2898DBA}" id="{BDAC4849-E87B-7F40-802C-8CDA1FAE947A}">
    <text>Pg 71 2024 10K</text>
  </threadedComment>
  <threadedComment ref="D25" dT="2025-10-03T19:47:30.70" personId="{04726308-7E4C-8B41-904A-350AB2898DBA}" id="{21EBBE2C-449C-1E4F-9402-654D45701581}">
    <text>Pg 71 2024 10K</text>
  </threadedComment>
  <threadedComment ref="E25" dT="2025-10-03T19:48:06.23" personId="{04726308-7E4C-8B41-904A-350AB2898DBA}" id="{4D37291C-F635-1D45-91DE-8022281F16E3}">
    <text>Pg 71 2024 10K</text>
  </threadedComment>
  <threadedComment ref="D26" dT="2025-10-03T19:47:34.09" personId="{04726308-7E4C-8B41-904A-350AB2898DBA}" id="{9FAC61EB-93D9-8342-8674-387CD2DF24B0}">
    <text>Pg 71 2024 10K</text>
  </threadedComment>
  <threadedComment ref="E26" dT="2025-10-03T19:48:09.79" personId="{04726308-7E4C-8B41-904A-350AB2898DBA}" id="{B7CC98B8-2780-8F48-8170-EC769C96B348}">
    <text>Pg 71 2024 10K</text>
  </threadedComment>
  <threadedComment ref="D29" dT="2025-10-03T19:48:13.72" personId="{04726308-7E4C-8B41-904A-350AB2898DBA}" id="{FFFBD720-DAD8-FB4D-93C3-F42522656611}">
    <text>Pg 71 2024 10K</text>
  </threadedComment>
  <threadedComment ref="E29" dT="2025-10-03T19:48:29.91" personId="{04726308-7E4C-8B41-904A-350AB2898DBA}" id="{49E76DF4-59E5-9D4A-BD12-A0860309BB4B}">
    <text>Pg 71 2024 10K</text>
  </threadedComment>
  <threadedComment ref="D30" dT="2025-10-03T19:48:16.95" personId="{04726308-7E4C-8B41-904A-350AB2898DBA}" id="{42033B82-7359-9143-84A1-77A8A376D690}">
    <text>Pg 71 2024 10K</text>
  </threadedComment>
  <threadedComment ref="E30" dT="2025-10-03T19:48:39.06" personId="{04726308-7E4C-8B41-904A-350AB2898DBA}" id="{973A1D23-ACE8-C245-A302-4F1BE8747F98}">
    <text>Pg 71 2024 10K</text>
  </threadedComment>
  <threadedComment ref="D31" dT="2025-10-03T19:48:21.20" personId="{04726308-7E4C-8B41-904A-350AB2898DBA}" id="{4124573E-75B1-1143-B77D-1F2A5068EE85}">
    <text>Pg 71 2024 10K</text>
  </threadedComment>
  <threadedComment ref="E31" dT="2025-10-03T19:48:35.68" personId="{04726308-7E4C-8B41-904A-350AB2898DBA}" id="{AF3B1BBB-8638-2341-96E6-C647B196F5DA}">
    <text>Pg 71 2024 10K</text>
  </threadedComment>
  <threadedComment ref="D32" dT="2025-10-03T19:48:24.70" personId="{04726308-7E4C-8B41-904A-350AB2898DBA}" id="{3195F4E1-AC46-1943-9FAB-01150807542A}">
    <text>Pg 71 2024 10K</text>
  </threadedComment>
  <threadedComment ref="E32" dT="2025-10-03T19:48:42.65" personId="{04726308-7E4C-8B41-904A-350AB2898DBA}" id="{B0DE5980-CA0D-3348-9337-CFFF2ED13395}">
    <text>Pg 71 2024 10K</text>
  </threadedComment>
  <threadedComment ref="E33" dT="2025-10-03T19:48:47.69" personId="{04726308-7E4C-8B41-904A-350AB2898DBA}" id="{D92C5956-A203-FF4A-ABDE-8ADFAFCABD5C}">
    <text>Pg 71 2024 10K</text>
  </threadedComment>
  <threadedComment ref="D36" dT="2025-10-03T19:51:42.13" personId="{04726308-7E4C-8B41-904A-350AB2898DBA}" id="{E2AE4C0D-00C4-1E4E-857C-B75D83AB0340}">
    <text xml:space="preserve">Pg 71 2024 10K
</text>
  </threadedComment>
  <threadedComment ref="E36" dT="2025-10-03T19:51:46.01" personId="{04726308-7E4C-8B41-904A-350AB2898DBA}" id="{9AD78EA2-D43F-8D46-A083-A126AFEDF9AC}">
    <text>Pg 71 2024 10K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5" dT="2025-10-03T20:03:47.81" personId="{04726308-7E4C-8B41-904A-350AB2898DBA}" id="{8587C626-8516-8145-A05D-78A39D8C3C9D}">
    <text>Pg 73 2024 10K</text>
  </threadedComment>
  <threadedComment ref="E5" dT="2025-10-03T20:05:13.42" personId="{04726308-7E4C-8B41-904A-350AB2898DBA}" id="{B2C56F56-1F2B-8A4D-B12E-9AA3DD4EDFEF}">
    <text>Pg 73 2024 10K</text>
  </threadedComment>
  <threadedComment ref="D6" dT="2025-10-03T20:03:51.78" personId="{04726308-7E4C-8B41-904A-350AB2898DBA}" id="{4242A495-F3AB-A143-8D31-6C0987EDD6EB}">
    <text>Pg 73 2024 10K</text>
  </threadedComment>
  <threadedComment ref="E6" dT="2025-10-03T20:05:17.66" personId="{04726308-7E4C-8B41-904A-350AB2898DBA}" id="{8ECEE43A-3230-DE4A-8838-81A32DCB3412}">
    <text>Pg 73 2024 10K</text>
  </threadedComment>
  <threadedComment ref="D7" dT="2025-10-03T20:05:04.02" personId="{04726308-7E4C-8B41-904A-350AB2898DBA}" id="{B55C514C-9BD0-8F4E-8905-0742F09DBDA0}">
    <text>Pg 73 2024 10K</text>
  </threadedComment>
  <threadedComment ref="E7" dT="2025-10-03T20:05:21.38" personId="{04726308-7E4C-8B41-904A-350AB2898DBA}" id="{3CC06C5A-5018-654F-AF0B-776E066C568A}">
    <text>Pg 73 2024 10K</text>
  </threadedComment>
  <threadedComment ref="D8" dT="2025-10-03T20:05:08.17" personId="{04726308-7E4C-8B41-904A-350AB2898DBA}" id="{DC852837-50AB-CC4E-8FB7-0AEBE6C59062}">
    <text>Pg 73 2024 10K</text>
  </threadedComment>
  <threadedComment ref="E8" dT="2025-10-03T20:05:25.62" personId="{04726308-7E4C-8B41-904A-350AB2898DBA}" id="{A9C9CD47-FFF5-7B47-998C-0DBB50D80412}">
    <text>Pg 73 2024 10K</text>
  </threadedComment>
  <threadedComment ref="D9" dT="2025-10-03T20:05:33.50" personId="{04726308-7E4C-8B41-904A-350AB2898DBA}" id="{7264B865-E2F1-A14A-8663-3265FDD09A02}">
    <text>Pg 73 2024 10K</text>
  </threadedComment>
  <threadedComment ref="E9" dT="2025-10-03T20:05:29.29" personId="{04726308-7E4C-8B41-904A-350AB2898DBA}" id="{D1FD7D90-F005-304B-9EC5-8B31A5D598E0}">
    <text>Pg 73 2024 10K</text>
  </threadedComment>
  <threadedComment ref="D10" dT="2025-10-03T20:05:50.00" personId="{04726308-7E4C-8B41-904A-350AB2898DBA}" id="{567D6354-68AE-B849-8AA1-C6988965F8E6}">
    <text>Pg 73 2024 10K</text>
  </threadedComment>
  <threadedComment ref="E10" dT="2025-10-03T20:05:38.26" personId="{04726308-7E4C-8B41-904A-350AB2898DBA}" id="{D4D4FEC8-6B01-4F48-A8B8-195816F7BA64}">
    <text>Pg 73 2024 10K</text>
  </threadedComment>
  <threadedComment ref="D11" dT="2025-10-03T20:05:45.54" personId="{04726308-7E4C-8B41-904A-350AB2898DBA}" id="{F0BC9704-7D28-0E44-A002-875BC61B495D}">
    <text>Pg 73 2024 10K</text>
  </threadedComment>
  <threadedComment ref="E11" dT="2025-10-03T20:05:41.92" personId="{04726308-7E4C-8B41-904A-350AB2898DBA}" id="{7ABB5FA7-A6F7-DB47-8BEF-4158875E57A6}">
    <text>Pg 73 2024 10K</text>
  </threadedComment>
  <threadedComment ref="D12" dT="2025-10-03T20:05:54.88" personId="{04726308-7E4C-8B41-904A-350AB2898DBA}" id="{F66CA491-35A7-8648-A115-D2EC3C4963AD}">
    <text>Pg 73 2024 10K</text>
  </threadedComment>
  <threadedComment ref="E12" dT="2025-10-03T20:08:11.43" personId="{04726308-7E4C-8B41-904A-350AB2898DBA}" id="{C9D43547-7DCF-CD48-9E4A-640173DF20BC}">
    <text>Pg 73 2024 10K</text>
  </threadedComment>
  <threadedComment ref="D14" dT="2025-10-03T20:10:03.89" personId="{04726308-7E4C-8B41-904A-350AB2898DBA}" id="{08B6169D-51FC-DF40-9FDB-D4542F1843B0}">
    <text>Pg 73 2024 10K</text>
  </threadedComment>
  <threadedComment ref="E14" dT="2025-10-03T20:10:35.88" personId="{04726308-7E4C-8B41-904A-350AB2898DBA}" id="{2248A169-0EF8-C54D-A524-C4D33BDC1BEF}">
    <text>Pg 73 2024 10K</text>
  </threadedComment>
  <threadedComment ref="D15" dT="2025-10-03T20:10:07.57" personId="{04726308-7E4C-8B41-904A-350AB2898DBA}" id="{167970B5-A4BA-1D4B-8863-6A92097B01CD}">
    <text>Pg 73 2024 10K</text>
  </threadedComment>
  <threadedComment ref="E15" dT="2025-10-03T20:10:39.68" personId="{04726308-7E4C-8B41-904A-350AB2898DBA}" id="{44871FE5-DC1D-9048-8986-8AD4C323DD0F}">
    <text>Pg 73 2024 10K</text>
  </threadedComment>
  <threadedComment ref="D16" dT="2025-10-03T20:10:12.08" personId="{04726308-7E4C-8B41-904A-350AB2898DBA}" id="{635214A3-F368-BF40-AFB8-4C2A0CC1560F}">
    <text>Pg 73 2024 10K</text>
  </threadedComment>
  <threadedComment ref="E16" dT="2025-10-03T20:10:43.88" personId="{04726308-7E4C-8B41-904A-350AB2898DBA}" id="{2778B560-8B5C-8640-BEAA-F1AFC4C610ED}">
    <text>Pg 73 2024 10K</text>
  </threadedComment>
  <threadedComment ref="D17" dT="2025-10-03T20:10:16.69" personId="{04726308-7E4C-8B41-904A-350AB2898DBA}" id="{2783FC1A-A66E-3145-A377-D892843DA112}">
    <text>Pg 73 2024 10K</text>
  </threadedComment>
  <threadedComment ref="E17" dT="2025-10-03T20:10:47.45" personId="{04726308-7E4C-8B41-904A-350AB2898DBA}" id="{304287D6-7435-3847-8E4D-90DB22E9F271}">
    <text>Pg 73 2024 10K</text>
  </threadedComment>
  <threadedComment ref="D18" dT="2025-10-03T20:10:31.93" personId="{04726308-7E4C-8B41-904A-350AB2898DBA}" id="{ED45C353-E222-854F-90AF-FC39CEC2A26B}">
    <text>Pg 73 2024 10K</text>
  </threadedComment>
  <threadedComment ref="E18" dT="2025-10-03T20:10:52.62" personId="{04726308-7E4C-8B41-904A-350AB2898DBA}" id="{EA5F25D6-5A01-2844-9CE3-2BE058DE0441}">
    <text>Pg 73 2024 10K</text>
  </threadedComment>
  <threadedComment ref="D21" dT="2025-10-03T20:10:56.59" personId="{04726308-7E4C-8B41-904A-350AB2898DBA}" id="{326B4A3D-7BEE-EA44-A4E8-B9962089F567}">
    <text>Pg 73 2024 10K</text>
  </threadedComment>
  <threadedComment ref="E21" dT="2025-10-03T20:11:46.12" personId="{04726308-7E4C-8B41-904A-350AB2898DBA}" id="{4B6A010B-C4C0-3845-9E04-F436D0B03D94}">
    <text>Pg 73 2024 10K</text>
  </threadedComment>
  <threadedComment ref="D22" dT="2025-10-03T20:11:01.59" personId="{04726308-7E4C-8B41-904A-350AB2898DBA}" id="{930D0D49-0BB4-8944-8756-A01E053C772A}">
    <text>Pg 73 2024 10K</text>
  </threadedComment>
  <threadedComment ref="E22" dT="2025-10-03T20:11:49.08" personId="{04726308-7E4C-8B41-904A-350AB2898DBA}" id="{ACE903BA-7D35-C946-991A-A3895859C4B9}">
    <text>Pg 73 2024 10K</text>
  </threadedComment>
  <threadedComment ref="D23" dT="2025-10-03T20:11:05.29" personId="{04726308-7E4C-8B41-904A-350AB2898DBA}" id="{47BC6BB0-4A1E-804A-B6BC-FAA2C344AC0E}">
    <text>Pg 73 2024 10K</text>
  </threadedComment>
  <threadedComment ref="E23" dT="2025-10-03T20:11:52.38" personId="{04726308-7E4C-8B41-904A-350AB2898DBA}" id="{E150B20A-5C06-9D4C-9480-8E7D79CD8B88}">
    <text>Pg 73 2024 10K</text>
  </threadedComment>
  <threadedComment ref="D24" dT="2025-10-03T20:11:11.18" personId="{04726308-7E4C-8B41-904A-350AB2898DBA}" id="{760CD448-C458-BC4D-8246-A8615D40CE4E}">
    <text>Pg 73 2024 10K</text>
  </threadedComment>
  <threadedComment ref="E24" dT="2025-10-03T20:11:56.40" personId="{04726308-7E4C-8B41-904A-350AB2898DBA}" id="{0C8A08B9-A17F-D845-9347-3CB3B188E7E3}">
    <text xml:space="preserve">Pg 73 2024 10K
</text>
  </threadedComment>
  <threadedComment ref="D27" dT="2025-10-03T20:11:14.57" personId="{04726308-7E4C-8B41-904A-350AB2898DBA}" id="{5489CBE6-4F9A-184E-BA63-888A5CF7DACE}">
    <text>Pg 73 2024 10K</text>
  </threadedComment>
  <threadedComment ref="E27" dT="2025-10-03T20:11:59.52" personId="{04726308-7E4C-8B41-904A-350AB2898DBA}" id="{F5919BF5-3951-CB46-A446-A7781CCAD570}">
    <text>Pg 73 2024 10K</text>
  </threadedComment>
  <threadedComment ref="D28" dT="2025-10-03T20:11:17.89" personId="{04726308-7E4C-8B41-904A-350AB2898DBA}" id="{CACD8227-D457-0F4A-8982-070286FD8923}">
    <text>Pg 73 2024 10K</text>
  </threadedComment>
  <threadedComment ref="E28" dT="2025-10-03T20:12:02.39" personId="{04726308-7E4C-8B41-904A-350AB2898DBA}" id="{A5637FCF-0743-6D44-8DE2-A6F510C24D0E}">
    <text>Pg 73 2024 10K</text>
  </threadedComment>
  <threadedComment ref="D29" dT="2025-10-03T20:11:21.08" personId="{04726308-7E4C-8B41-904A-350AB2898DBA}" id="{10CA101C-27A7-9741-AD8E-B9EE5FA37AD7}">
    <text>Pg 73 2024 10K</text>
  </threadedComment>
  <threadedComment ref="E29" dT="2025-10-03T20:12:08.25" personId="{04726308-7E4C-8B41-904A-350AB2898DBA}" id="{E228D2DC-DF9B-904A-AB19-D3F1BF855861}">
    <text>Pg 73 2024 10K</text>
  </threadedComment>
  <threadedComment ref="D30" dT="2025-10-03T20:11:25.75" personId="{04726308-7E4C-8B41-904A-350AB2898DBA}" id="{C17FAEE5-54DC-F04F-A3CF-87ED2DC5566B}">
    <text>Pg 73 2024 10K</text>
  </threadedComment>
  <threadedComment ref="E30" dT="2025-10-03T20:12:11.44" personId="{04726308-7E4C-8B41-904A-350AB2898DBA}" id="{990790BF-A264-AD42-BB2A-AD88F9EA034A}">
    <text>Pg 73 2024 10K</text>
  </threadedComment>
  <threadedComment ref="D31" dT="2025-10-03T20:11:35.37" personId="{04726308-7E4C-8B41-904A-350AB2898DBA}" id="{BBE969DE-C55B-854D-8C66-78BF8C5175FE}">
    <text>Pg 73 2024 10K</text>
  </threadedComment>
  <threadedComment ref="E31" dT="2025-10-03T20:12:17.60" personId="{04726308-7E4C-8B41-904A-350AB2898DBA}" id="{866ED24C-632D-194E-9457-168985A964CB}">
    <text>Pg 73 2024 10K</text>
  </threadedComment>
  <threadedComment ref="D32" dT="2025-10-03T20:11:38.40" personId="{04726308-7E4C-8B41-904A-350AB2898DBA}" id="{5482A920-EBA1-0B44-9007-8D2E20B16FDD}">
    <text>Pg 73 2024 10K</text>
  </threadedComment>
  <threadedComment ref="E32" dT="2025-10-03T20:12:20.85" personId="{04726308-7E4C-8B41-904A-350AB2898DBA}" id="{EA42A239-8B3A-0448-8813-3CA05CB0A9D4}">
    <text>Pg 73 2024 10K</text>
  </threadedComment>
  <threadedComment ref="D33" dT="2025-10-03T20:11:31.45" personId="{04726308-7E4C-8B41-904A-350AB2898DBA}" id="{C731A6C1-6150-DC4A-9D0D-9051B662D100}">
    <text>Pg 73 2024 10K</text>
  </threadedComment>
  <threadedComment ref="E33" dT="2025-10-03T20:12:24.22" personId="{04726308-7E4C-8B41-904A-350AB2898DBA}" id="{000F01C2-91B2-0040-B139-79D37CB6090F}">
    <text>Pg 73 2024 10K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4" dT="2025-10-03T20:13:54.66" personId="{04726308-7E4C-8B41-904A-350AB2898DBA}" id="{7700D0E1-7975-B644-AD01-0ED2F221D23A}">
    <text>Pg 93 2024 10K</text>
  </threadedComment>
  <threadedComment ref="D4" dT="2025-10-03T20:13:41.14" personId="{04726308-7E4C-8B41-904A-350AB2898DBA}" id="{6E1A90D4-A2E8-4440-A0C8-14F209EDA004}">
    <text>Pg 93 2024 10K</text>
  </threadedComment>
  <threadedComment ref="E4" dT="2025-10-03T20:13:17.00" personId="{04726308-7E4C-8B41-904A-350AB2898DBA}" id="{8A72B813-5035-8740-8743-FDB750E5868F}">
    <text>Pg 93 2024 10K</text>
  </threadedComment>
  <threadedComment ref="C5" dT="2025-10-03T20:14:00.08" personId="{04726308-7E4C-8B41-904A-350AB2898DBA}" id="{A965895B-F2C9-5743-872D-91B07B2145C4}">
    <text>Pg 93 2024 10K</text>
  </threadedComment>
  <threadedComment ref="D5" dT="2025-10-03T20:13:50.02" personId="{04726308-7E4C-8B41-904A-350AB2898DBA}" id="{597ECB6C-5006-FE4E-BD28-250C41FB2A9B}">
    <text>Pg 93 2024 10K</text>
  </threadedComment>
  <threadedComment ref="E5" dT="2025-10-03T20:13:20.72" personId="{04726308-7E4C-8B41-904A-350AB2898DBA}" id="{B923684B-CF55-9B4D-9852-FCFA2B467C00}">
    <text>Pg 93 2024 10K</text>
  </threadedComment>
  <threadedComment ref="C6" dT="2025-10-03T20:14:03.77" personId="{04726308-7E4C-8B41-904A-350AB2898DBA}" id="{70600D52-A121-5946-824C-35F04C938A46}">
    <text>Pg 93 2024 10K</text>
  </threadedComment>
  <threadedComment ref="D6" dT="2025-10-03T20:14:07.66" personId="{04726308-7E4C-8B41-904A-350AB2898DBA}" id="{EBAA86A3-A3F0-CE49-9A92-65E7DF554674}">
    <text>Pg 93 2024 10K</text>
  </threadedComment>
  <threadedComment ref="E6" dT="2025-10-03T20:13:32.94" personId="{04726308-7E4C-8B41-904A-350AB2898DBA}" id="{B9C139E8-316E-E943-9352-740A52D24372}">
    <text>Pg 93 2024 10K</text>
  </threadedComment>
  <threadedComment ref="D7" dT="2025-10-03T20:14:11.72" personId="{04726308-7E4C-8B41-904A-350AB2898DBA}" id="{283702BB-48C6-3847-9B24-1FF9CC7C0CC8}">
    <text>Pg 93 2024 10K</text>
  </threadedComment>
  <threadedComment ref="E7" dT="2025-10-03T20:13:25.56" personId="{04726308-7E4C-8B41-904A-350AB2898DBA}" id="{DD925773-01B4-C642-AC30-C0A973BFCFA3}">
    <text>Pg 93 2024 10K</text>
  </threadedComment>
  <threadedComment ref="D8" dT="2025-10-03T20:14:15.39" personId="{04726308-7E4C-8B41-904A-350AB2898DBA}" id="{5AC7D9D6-FF4D-944F-8319-69B21821518D}">
    <text>Pg 93 2024 10K</text>
  </threadedComment>
  <threadedComment ref="E8" dT="2025-10-03T20:13:28.96" personId="{04726308-7E4C-8B41-904A-350AB2898DBA}" id="{B9411082-600F-5D42-9CCE-51D7C2A1E94F}">
    <text>Pg 93 2024 10K</text>
  </threadedComment>
  <threadedComment ref="D10" dT="2025-10-03T20:14:19.99" personId="{04726308-7E4C-8B41-904A-350AB2898DBA}" id="{23B6DE87-40D4-4D42-BAB4-BDE1EF77779F}">
    <text>Pg 93 2024 10K</text>
  </threadedComment>
  <threadedComment ref="E10" dT="2025-10-03T20:13:36.64" personId="{04726308-7E4C-8B41-904A-350AB2898DBA}" id="{82C2DABD-DFEC-2E4C-82B6-63BC63659274}">
    <text>Pg 93 2024 10K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2"/>
  <sheetViews>
    <sheetView tabSelected="1" workbookViewId="0">
      <selection activeCell="C18" sqref="C18"/>
    </sheetView>
  </sheetViews>
  <sheetFormatPr baseColWidth="10" defaultColWidth="12.5" defaultRowHeight="15.75" customHeight="1" x14ac:dyDescent="0.15"/>
  <cols>
    <col min="1" max="1" width="4.83203125" customWidth="1"/>
    <col min="2" max="2" width="5.5" customWidth="1"/>
    <col min="3" max="3" width="90" customWidth="1"/>
    <col min="4" max="8" width="12.5" customWidth="1"/>
    <col min="9" max="9" width="2.33203125" customWidth="1"/>
    <col min="10" max="28" width="12.5" customWidth="1"/>
  </cols>
  <sheetData>
    <row r="1" spans="1:28" ht="1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 x14ac:dyDescent="0.15">
      <c r="A2" s="1"/>
      <c r="B2" s="1"/>
      <c r="C2" s="2"/>
      <c r="D2" s="2"/>
      <c r="E2" s="2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customHeight="1" x14ac:dyDescent="0.15">
      <c r="A3" s="3"/>
      <c r="B3" s="4" t="s">
        <v>0</v>
      </c>
      <c r="C3" s="2"/>
      <c r="D3" s="2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 x14ac:dyDescent="0.15">
      <c r="A4" s="3"/>
      <c r="B4" s="1"/>
      <c r="C4" s="5" t="s">
        <v>1</v>
      </c>
      <c r="D4" s="5" t="s">
        <v>2</v>
      </c>
      <c r="E4" s="6"/>
      <c r="F4" s="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8" ht="15" customHeight="1" x14ac:dyDescent="0.15">
      <c r="A5" s="3"/>
      <c r="B5" s="1"/>
      <c r="C5" s="8" t="s">
        <v>3</v>
      </c>
      <c r="D5" s="9">
        <f ca="1">COUNT('IS - Gold Solution'!F4:L57)</f>
        <v>287</v>
      </c>
      <c r="E5" s="6"/>
      <c r="F5" s="10" t="s">
        <v>4</v>
      </c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8" ht="15" customHeight="1" x14ac:dyDescent="0.15">
      <c r="A6" s="3"/>
      <c r="B6" s="1"/>
      <c r="C6" s="8" t="s">
        <v>5</v>
      </c>
      <c r="D6" s="9">
        <f ca="1">COUNT('IS - Gold Solution'!F60:L74)</f>
        <v>91</v>
      </c>
      <c r="E6" s="6"/>
      <c r="F6" s="12"/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8" ht="15" customHeight="1" x14ac:dyDescent="0.15">
      <c r="A7" s="3"/>
      <c r="B7" s="1"/>
      <c r="C7" s="8" t="s">
        <v>6</v>
      </c>
      <c r="D7" s="9">
        <f>COUNT('IS - Gold Solution'!F79:L83)</f>
        <v>35</v>
      </c>
      <c r="E7" s="6"/>
      <c r="F7" s="12"/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8" ht="15" customHeight="1" x14ac:dyDescent="0.15">
      <c r="A8" s="3"/>
      <c r="B8" s="1"/>
      <c r="C8" s="8" t="s">
        <v>7</v>
      </c>
      <c r="D8" s="9">
        <f>COUNT('IS - Gold Solution'!F86:L90)</f>
        <v>35</v>
      </c>
      <c r="E8" s="6"/>
      <c r="F8" s="12"/>
      <c r="G8" s="1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8" ht="15" customHeight="1" x14ac:dyDescent="0.15">
      <c r="A9" s="3"/>
      <c r="B9" s="1"/>
      <c r="C9" s="8" t="s">
        <v>8</v>
      </c>
      <c r="D9" s="9">
        <f>COUNT('IS - Gold Solution'!F93:L97)</f>
        <v>35</v>
      </c>
      <c r="E9" s="6"/>
      <c r="F9" s="12"/>
      <c r="G9" s="1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8" ht="15" customHeight="1" x14ac:dyDescent="0.15">
      <c r="A10" s="3"/>
      <c r="B10" s="1"/>
      <c r="C10" s="8" t="s">
        <v>9</v>
      </c>
      <c r="D10" s="9">
        <f>COUNT('IS - Gold Solution'!F101:L117)</f>
        <v>105</v>
      </c>
      <c r="E10" s="13"/>
      <c r="F10" s="1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8" ht="15" customHeight="1" x14ac:dyDescent="0.15">
      <c r="A11" s="3"/>
      <c r="B11" s="1"/>
      <c r="C11" s="8" t="s">
        <v>10</v>
      </c>
      <c r="D11" s="9">
        <f ca="1">COUNT('BS - Gold Solution'!F4:L47)</f>
        <v>245</v>
      </c>
      <c r="E11" s="13"/>
      <c r="F11" s="1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8" ht="15" customHeight="1" x14ac:dyDescent="0.15">
      <c r="A12" s="3"/>
      <c r="B12" s="1"/>
      <c r="C12" s="8" t="s">
        <v>11</v>
      </c>
      <c r="D12" s="9">
        <f ca="1">COUNT('CFS - Gold Solution'!F3:L43)</f>
        <v>245</v>
      </c>
      <c r="E12" s="13"/>
      <c r="F12" s="1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8" ht="15" customHeight="1" x14ac:dyDescent="0.15">
      <c r="A13" s="3"/>
      <c r="B13" s="1"/>
      <c r="C13" s="8" t="s">
        <v>12</v>
      </c>
      <c r="D13" s="9">
        <f ca="1">COUNT('Debt - Gold Solution'!F4:L18)</f>
        <v>84</v>
      </c>
      <c r="E13" s="13"/>
      <c r="F13" s="1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8" ht="15" customHeight="1" x14ac:dyDescent="0.15">
      <c r="A14" s="3"/>
      <c r="B14" s="1"/>
      <c r="C14" s="8" t="s">
        <v>13</v>
      </c>
      <c r="D14" s="9">
        <f ca="1">COUNT('BS - Gold Solution'!F49:L75)</f>
        <v>146</v>
      </c>
      <c r="E14" s="13"/>
      <c r="F14" s="1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8" ht="15" customHeight="1" x14ac:dyDescent="0.15">
      <c r="A15" s="3"/>
      <c r="B15" s="1"/>
      <c r="C15" s="8" t="s">
        <v>14</v>
      </c>
      <c r="D15" s="9">
        <f ca="1">COUNT('Valuation - Gold Solution'!D3:I19)</f>
        <v>58</v>
      </c>
      <c r="E15" s="13"/>
      <c r="F15" s="1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8" ht="15" customHeight="1" x14ac:dyDescent="0.15">
      <c r="A16" s="3"/>
      <c r="B16" s="1"/>
      <c r="C16" s="8" t="s">
        <v>15</v>
      </c>
      <c r="D16" s="9">
        <f ca="1">COUNT('IS - Gold Solution'!F10:L10,'IS - Gold Solution'!F12:L12,'IS - Gold Solution'!F26:L26,'IS - Gold Solution'!F28:L28,'IS - Gold Solution'!F37:L37,'IS - Gold Solution'!F45:L45,'IS - Gold Solution'!F50:L50,'IS - Gold Solution'!F52:L52,'IS - Gold Solution'!F55:L55,'IS - Gold Solution'!F60:L60,'IS - Gold Solution'!F64:L64,'IS - Gold Solution'!F70:L70,'IS - Gold Solution'!F73:L73,'IS - Gold Solution'!F83:L83,'IS - Gold Solution'!F90:L90,'IS - Gold Solution'!F106:L106,'IS - Gold Solution'!F107:L108,'IS - Gold Solution'!F101:L105,'IS - Gold Solution'!F111:L113,'BS - Gold Solution'!F9:L9,'BS - Gold Solution'!F16:L16,'BS - Gold Solution'!F27:L27,'BS - Gold Solution'!F34:L34,'BS - Gold Solution'!F36:L36,'BS - Gold Solution'!F38:L39,'BS - Gold Solution'!F46:L46,'BS - Gold Solution'!F68:L68,'BS - Gold Solution'!F66:L66,'CFS - Gold Solution'!F25:L25,'CFS - Gold Solution'!F34:L34,'CFS - Gold Solution'!F42:L42,'CFS - Gold Solution'!F36:L38,'Debt - Gold Solution'!F9:L9,'Debt - Gold Solution'!F11:L11,'Debt - Gold Solution'!F17:L18)</f>
        <v>322</v>
      </c>
      <c r="E16" s="13"/>
      <c r="F16" s="1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8" ht="15" customHeight="1" x14ac:dyDescent="0.15">
      <c r="A17" s="1"/>
      <c r="B17" s="1"/>
      <c r="C17" s="14"/>
      <c r="D17" s="14"/>
      <c r="E17" s="1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8" ht="15" customHeight="1" x14ac:dyDescent="0.15">
      <c r="A18" s="1"/>
      <c r="B18" s="1"/>
      <c r="C18" s="15" t="s">
        <v>2</v>
      </c>
      <c r="D18" s="16">
        <f ca="1">SUM(D5:D9)</f>
        <v>483</v>
      </c>
      <c r="E18" s="6"/>
      <c r="F18" s="10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8" ht="15" customHeight="1" x14ac:dyDescent="0.15">
      <c r="A19" s="1"/>
      <c r="B19" s="1"/>
      <c r="C19" s="1"/>
      <c r="D19" s="17"/>
      <c r="E19" s="17"/>
      <c r="F19" s="17"/>
      <c r="G19" s="1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 customHeight="1" x14ac:dyDescent="0.15">
      <c r="A20" s="1"/>
      <c r="B20" s="1"/>
      <c r="C20" s="1"/>
      <c r="D20" s="17"/>
      <c r="E20" s="17"/>
      <c r="F20" s="17"/>
      <c r="G20" s="1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customHeight="1" x14ac:dyDescent="0.15">
      <c r="A22" s="1"/>
      <c r="B22" s="4" t="s">
        <v>16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customHeight="1" x14ac:dyDescent="0.15">
      <c r="A23" s="1"/>
      <c r="B23" s="18"/>
      <c r="C23" s="5" t="s">
        <v>17</v>
      </c>
      <c r="D23" s="5" t="s">
        <v>2</v>
      </c>
      <c r="E23" s="1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8" ht="15" customHeight="1" x14ac:dyDescent="0.15">
      <c r="A24" s="1"/>
      <c r="B24" s="1"/>
      <c r="C24" s="8" t="s">
        <v>18</v>
      </c>
      <c r="D24" s="19">
        <f ca="1">COUNT('Valuation - Gold Solution'!E3:I8,'IS - Gold Solution'!F4:L12,'IS - Gold Solution'!F15:L22,'IS - Gold Solution'!F24:L31,'IS - Gold Solution'!F34:L40,'IS - Gold Solution'!F43:L56,'IS - Gold Solution'!F60:L60,'IS - Gold Solution'!F62:L73,'IS - Gold Solution'!F79:L117,'IS - Gold Solution'!F122:L128,'BS - Gold Solution'!F4:L75,'CFS - Gold Solution'!F3:L43,'Debt - Gold Solution'!F4:L18)</f>
        <v>1352</v>
      </c>
      <c r="E24" s="1"/>
      <c r="F24" s="10" t="s">
        <v>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8" ht="1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customHeight="1" x14ac:dyDescent="0.15">
      <c r="A26" s="1"/>
      <c r="B26" s="1"/>
      <c r="C26" s="20" t="s">
        <v>2</v>
      </c>
      <c r="D26" s="21">
        <f ca="1">SUM(D24)</f>
        <v>1352</v>
      </c>
      <c r="E26" s="2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8" ht="15" customHeight="1" x14ac:dyDescent="0.15">
      <c r="A27" s="1"/>
      <c r="B27" s="1"/>
      <c r="C27" s="1"/>
      <c r="D27" s="1"/>
      <c r="E27" s="1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customHeight="1" x14ac:dyDescent="0.15">
      <c r="A28" s="1"/>
      <c r="B28" s="23" t="s">
        <v>19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customHeight="1" x14ac:dyDescent="0.15">
      <c r="A29" s="1"/>
      <c r="B29" s="1"/>
      <c r="C29" s="5" t="s">
        <v>17</v>
      </c>
      <c r="D29" s="5" t="s">
        <v>20</v>
      </c>
      <c r="E29" s="5" t="s">
        <v>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8" ht="15" x14ac:dyDescent="0.15">
      <c r="A30" s="1"/>
      <c r="B30" s="1"/>
      <c r="C30" s="24" t="s">
        <v>230</v>
      </c>
      <c r="D30" s="19"/>
      <c r="E30" s="9">
        <f>COUNT('IS - Gold Solution'!D4:E9,'IS - Gold Solution'!D11:E11,'IS - Gold Solution'!D24:E25,'IS - Gold Solution'!D34:E34,'IS - Gold Solution'!D43:E44,'IS - Gold Solution'!D47:E47,'IS - Gold Solution'!D55:E55,'IS - Gold Solution'!D61:E62,'IS - Gold Solution'!D66:E69,'IS - Gold Solution'!D79:E79,'IS - Gold Solution'!D81:E81,'IS - Gold Solution'!D86:E86,'IS - Gold Solution'!D88:E88,'IS - Gold Solution'!D93:E93,'IS - Gold Solution'!D95:E95,'IS - Gold Solution'!D107:E107,'IS - Gold Solution'!D131:E136,'IS - Gold Solution'!D138:E138,'IS - Gold Solution'!D153:E160,'BS - Gold Solution'!D4:E8,'BS - Gold Solution'!D19:E26,'BS - Gold Solution'!D29:E33,'BS - Gold Solution'!D36:E36,'CFS - Gold Solution'!D5:E18,'CFS - Gold Solution'!D21:E24,'CFS - Gold Solution'!D27:E33)</f>
        <v>172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8" ht="14" x14ac:dyDescent="0.15">
      <c r="A31" s="1"/>
      <c r="B31" s="1"/>
      <c r="C31" s="24"/>
      <c r="D31" s="19"/>
      <c r="E31" s="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8" ht="14" x14ac:dyDescent="0.15">
      <c r="A32" s="1"/>
      <c r="B32" s="1"/>
      <c r="C32" s="24"/>
      <c r="D32" s="25"/>
      <c r="E32" s="2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8" ht="14" x14ac:dyDescent="0.15">
      <c r="A33" s="1"/>
      <c r="B33" s="1"/>
      <c r="C33" s="24"/>
      <c r="D33" s="25"/>
      <c r="E33" s="26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8" ht="14" x14ac:dyDescent="0.15">
      <c r="A34" s="1"/>
      <c r="B34" s="1"/>
      <c r="C34" s="24"/>
      <c r="D34" s="25"/>
      <c r="E34" s="2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8" ht="1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zoomScale="110" zoomScaleNormal="110" workbookViewId="0">
      <selection activeCell="I19" sqref="I19"/>
    </sheetView>
  </sheetViews>
  <sheetFormatPr baseColWidth="10" defaultColWidth="12.5" defaultRowHeight="15.75" customHeight="1" x14ac:dyDescent="0.15"/>
  <cols>
    <col min="1" max="2" width="2.5" customWidth="1"/>
    <col min="3" max="3" width="12.5" customWidth="1"/>
    <col min="4" max="15" width="9.6640625" customWidth="1"/>
    <col min="16" max="26" width="7.5" customWidth="1"/>
  </cols>
  <sheetData>
    <row r="1" spans="1:26" ht="12" customHeight="1" x14ac:dyDescent="0.1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2" customHeight="1" x14ac:dyDescent="0.15">
      <c r="A2" s="27"/>
      <c r="B2" s="27"/>
      <c r="C2" s="28"/>
      <c r="D2" s="29">
        <v>2025</v>
      </c>
      <c r="E2" s="29">
        <f t="shared" ref="E2:I2" si="0">D2+1</f>
        <v>2026</v>
      </c>
      <c r="F2" s="29">
        <f t="shared" si="0"/>
        <v>2027</v>
      </c>
      <c r="G2" s="29">
        <f t="shared" si="0"/>
        <v>2028</v>
      </c>
      <c r="H2" s="29">
        <f t="shared" si="0"/>
        <v>2029</v>
      </c>
      <c r="I2" s="29">
        <f t="shared" si="0"/>
        <v>2030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2" customHeight="1" x14ac:dyDescent="0.15">
      <c r="A3" s="27"/>
      <c r="B3" s="27"/>
      <c r="C3" s="27" t="s">
        <v>21</v>
      </c>
      <c r="D3" s="30">
        <v>80</v>
      </c>
      <c r="E3" s="31">
        <f t="shared" ref="E3:I3" ca="1" si="1">E5/E4</f>
        <v>92.104461099816916</v>
      </c>
      <c r="F3" s="31">
        <f t="shared" ca="1" si="1"/>
        <v>106.66973113316513</v>
      </c>
      <c r="G3" s="31">
        <f t="shared" ca="1" si="1"/>
        <v>124.1886320353432</v>
      </c>
      <c r="H3" s="31">
        <f t="shared" ca="1" si="1"/>
        <v>145.26818647642122</v>
      </c>
      <c r="I3" s="31">
        <f t="shared" ca="1" si="1"/>
        <v>170.87704072383301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2" customHeight="1" x14ac:dyDescent="0.15">
      <c r="A4" s="27"/>
      <c r="B4" s="27"/>
      <c r="C4" s="32" t="s">
        <v>22</v>
      </c>
      <c r="D4" s="33">
        <f>'IS - Gold Solution'!F55</f>
        <v>54.424999999999997</v>
      </c>
      <c r="E4" s="33">
        <f>'IS - Gold Solution'!G55</f>
        <v>52.05</v>
      </c>
      <c r="F4" s="33">
        <f>'IS - Gold Solution'!H55</f>
        <v>49.674999999999997</v>
      </c>
      <c r="G4" s="33">
        <f>'IS - Gold Solution'!I55</f>
        <v>47.3</v>
      </c>
      <c r="H4" s="33">
        <f>'IS - Gold Solution'!J55</f>
        <v>44.924999999999997</v>
      </c>
      <c r="I4" s="33">
        <f>'IS - Gold Solution'!K55</f>
        <v>42.55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2" customHeight="1" x14ac:dyDescent="0.15">
      <c r="A5" s="27"/>
      <c r="B5" s="27"/>
      <c r="C5" s="34" t="s">
        <v>23</v>
      </c>
      <c r="D5" s="35">
        <f>D3*D4</f>
        <v>4354</v>
      </c>
      <c r="E5" s="35">
        <f t="shared" ref="E5:I5" ca="1" si="2">E7-E6</f>
        <v>4794.0372002454706</v>
      </c>
      <c r="F5" s="35">
        <f t="shared" ca="1" si="2"/>
        <v>5298.8188940399777</v>
      </c>
      <c r="G5" s="35">
        <f t="shared" ca="1" si="2"/>
        <v>5874.1222952717335</v>
      </c>
      <c r="H5" s="35">
        <f t="shared" ca="1" si="2"/>
        <v>6526.1732774532229</v>
      </c>
      <c r="I5" s="35">
        <f t="shared" ca="1" si="2"/>
        <v>7270.8180827990936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2" customHeight="1" x14ac:dyDescent="0.15">
      <c r="A6" s="27"/>
      <c r="B6" s="27"/>
      <c r="C6" s="32" t="s">
        <v>24</v>
      </c>
      <c r="D6" s="33">
        <f ca="1">'BS - Gold Solution'!F67</f>
        <v>911.85738983964484</v>
      </c>
      <c r="E6" s="33">
        <f ca="1">'BS - Gold Solution'!G67</f>
        <v>916.58632168650911</v>
      </c>
      <c r="F6" s="33">
        <f ca="1">'BS - Gold Solution'!H67</f>
        <v>883.68381363129561</v>
      </c>
      <c r="G6" s="33">
        <f ca="1">'BS - Gold Solution'!I67</f>
        <v>810.18065464610231</v>
      </c>
      <c r="H6" s="33">
        <f ca="1">'BS - Gold Solution'!J67</f>
        <v>692.79698832291615</v>
      </c>
      <c r="I6" s="33">
        <f ca="1">'BS - Gold Solution'!K67</f>
        <v>518.78987657011226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2" customHeight="1" x14ac:dyDescent="0.15">
      <c r="A7" s="27"/>
      <c r="B7" s="27"/>
      <c r="C7" s="34" t="s">
        <v>25</v>
      </c>
      <c r="D7" s="35">
        <f ca="1">SUM(D5:D6)</f>
        <v>5265.8573898396444</v>
      </c>
      <c r="E7" s="35">
        <f t="shared" ref="E7:I7" ca="1" si="3">E10*E8</f>
        <v>5710.6235219319797</v>
      </c>
      <c r="F7" s="35">
        <f t="shared" ca="1" si="3"/>
        <v>6182.5027076712731</v>
      </c>
      <c r="G7" s="35">
        <f t="shared" ca="1" si="3"/>
        <v>6684.3029499178356</v>
      </c>
      <c r="H7" s="35">
        <f t="shared" ca="1" si="3"/>
        <v>7218.9702657761391</v>
      </c>
      <c r="I7" s="35">
        <f t="shared" ca="1" si="3"/>
        <v>7789.6079593692057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2" customHeight="1" x14ac:dyDescent="0.15">
      <c r="A8" s="27"/>
      <c r="B8" s="27"/>
      <c r="C8" s="36" t="s">
        <v>26</v>
      </c>
      <c r="D8" s="37">
        <f ca="1">'IS - Gold Solution'!G70</f>
        <v>571.12762408540652</v>
      </c>
      <c r="E8" s="37">
        <f ca="1">'IS - Gold Solution'!H70</f>
        <v>619.36634486536423</v>
      </c>
      <c r="F8" s="37">
        <f ca="1">'IS - Gold Solution'!I70</f>
        <v>670.54571001996169</v>
      </c>
      <c r="G8" s="37">
        <f ca="1">'IS - Gold Solution'!J70</f>
        <v>724.97027166356668</v>
      </c>
      <c r="H8" s="37">
        <f ca="1">'IS - Gold Solution'!K70</f>
        <v>782.95955074496874</v>
      </c>
      <c r="I8" s="37">
        <f ca="1">'IS - Gold Solution'!L70</f>
        <v>844.85012734588747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2" customHeight="1" x14ac:dyDescent="0.1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2" customHeight="1" x14ac:dyDescent="0.15">
      <c r="A10" s="27"/>
      <c r="B10" s="27"/>
      <c r="C10" s="38" t="s">
        <v>27</v>
      </c>
      <c r="D10" s="39">
        <f ca="1">D7/D8</f>
        <v>9.2201062735711545</v>
      </c>
      <c r="E10" s="40">
        <f t="shared" ref="E10:I10" ca="1" si="4">D10</f>
        <v>9.2201062735711545</v>
      </c>
      <c r="F10" s="40">
        <f t="shared" ca="1" si="4"/>
        <v>9.2201062735711545</v>
      </c>
      <c r="G10" s="40">
        <f t="shared" ca="1" si="4"/>
        <v>9.2201062735711545</v>
      </c>
      <c r="H10" s="40">
        <f t="shared" ca="1" si="4"/>
        <v>9.2201062735711545</v>
      </c>
      <c r="I10" s="41">
        <f t="shared" ca="1" si="4"/>
        <v>9.2201062735711545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2" customHeight="1" x14ac:dyDescent="0.1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2" customHeight="1" x14ac:dyDescent="0.1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" customHeight="1" x14ac:dyDescent="0.15">
      <c r="A13" s="27"/>
      <c r="B13" s="27"/>
      <c r="C13" s="27" t="s">
        <v>28</v>
      </c>
      <c r="D13" s="42">
        <f t="shared" ref="D13:I13" si="5">D3</f>
        <v>80</v>
      </c>
      <c r="E13" s="42">
        <f t="shared" ca="1" si="5"/>
        <v>92.104461099816916</v>
      </c>
      <c r="F13" s="42">
        <f t="shared" ca="1" si="5"/>
        <v>106.66973113316513</v>
      </c>
      <c r="G13" s="42">
        <f t="shared" ca="1" si="5"/>
        <v>124.1886320353432</v>
      </c>
      <c r="H13" s="42">
        <f t="shared" ca="1" si="5"/>
        <v>145.26818647642122</v>
      </c>
      <c r="I13" s="42">
        <f t="shared" ca="1" si="5"/>
        <v>170.87704072383301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" customHeight="1" x14ac:dyDescent="0.15">
      <c r="A14" s="27"/>
      <c r="B14" s="27"/>
      <c r="C14" s="36" t="s">
        <v>29</v>
      </c>
      <c r="D14" s="43">
        <f t="shared" ref="D14:I14" si="6">D13/$D$3-1</f>
        <v>0</v>
      </c>
      <c r="E14" s="43">
        <f t="shared" ca="1" si="6"/>
        <v>0.15130576374771154</v>
      </c>
      <c r="F14" s="43">
        <f t="shared" ca="1" si="6"/>
        <v>0.33337163916456403</v>
      </c>
      <c r="G14" s="43">
        <f t="shared" ca="1" si="6"/>
        <v>0.55235790044179001</v>
      </c>
      <c r="H14" s="43">
        <f t="shared" ca="1" si="6"/>
        <v>0.81585233095526521</v>
      </c>
      <c r="I14" s="43">
        <f t="shared" ca="1" si="6"/>
        <v>1.1359630090479125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" customHeight="1" x14ac:dyDescent="0.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" customHeight="1" x14ac:dyDescent="0.15">
      <c r="A16" s="27"/>
      <c r="B16" s="27"/>
      <c r="C16" s="27" t="s">
        <v>30</v>
      </c>
      <c r="D16" s="42">
        <f ca="1">I13</f>
        <v>170.87704072383301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" customHeight="1" x14ac:dyDescent="0.15">
      <c r="A17" s="27"/>
      <c r="B17" s="27"/>
      <c r="C17" s="32" t="s">
        <v>31</v>
      </c>
      <c r="D17" s="44">
        <f>1/(1+0.08)^5</f>
        <v>0.68058319703375303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" customHeight="1" x14ac:dyDescent="0.15">
      <c r="A18" s="27"/>
      <c r="B18" s="27"/>
      <c r="C18" s="34" t="s">
        <v>32</v>
      </c>
      <c r="D18" s="45">
        <f ca="1">D16*D17</f>
        <v>116.29604267549308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" customHeight="1" x14ac:dyDescent="0.15">
      <c r="A19" s="27"/>
      <c r="B19" s="27"/>
      <c r="C19" s="46" t="s">
        <v>29</v>
      </c>
      <c r="D19" s="47">
        <f ca="1">D18/D3-1</f>
        <v>0.45370053344366346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" customHeight="1" x14ac:dyDescent="0.1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" customHeight="1" x14ac:dyDescent="0.1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" customHeight="1" x14ac:dyDescent="0.1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" customHeigh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" customHeight="1" x14ac:dyDescent="0.1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" customHeight="1" x14ac:dyDescent="0.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" customHeight="1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" customHeight="1" x14ac:dyDescent="0.1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" customHeight="1" x14ac:dyDescent="0.1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" customHeight="1" x14ac:dyDescent="0.1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" customHeight="1" x14ac:dyDescent="0.1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" customHeight="1" x14ac:dyDescent="0.1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" customHeight="1" x14ac:dyDescent="0.1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" customHeight="1" x14ac:dyDescent="0.1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" customHeight="1" x14ac:dyDescent="0.1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" customHeight="1" x14ac:dyDescent="0.1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" customHeight="1" x14ac:dyDescent="0.1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" customHeight="1" x14ac:dyDescent="0.15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" customHeight="1" x14ac:dyDescent="0.1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" customHeight="1" x14ac:dyDescent="0.1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2" customHeight="1" x14ac:dyDescent="0.1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2" customHeight="1" x14ac:dyDescent="0.1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2" customHeight="1" x14ac:dyDescent="0.1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2" customHeight="1" x14ac:dyDescent="0.1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" customHeight="1" x14ac:dyDescent="0.1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" customHeight="1" x14ac:dyDescent="0.1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" customHeight="1" x14ac:dyDescent="0.1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" customHeight="1" x14ac:dyDescent="0.1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" customHeight="1" x14ac:dyDescent="0.1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2" customHeight="1" x14ac:dyDescent="0.1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2" customHeight="1" x14ac:dyDescent="0.1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2" customHeight="1" x14ac:dyDescent="0.1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2" customHeight="1" x14ac:dyDescent="0.1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2" customHeight="1" x14ac:dyDescent="0.1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" customHeight="1" x14ac:dyDescent="0.1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" customHeight="1" x14ac:dyDescent="0.1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" customHeight="1" x14ac:dyDescent="0.1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" customHeight="1" x14ac:dyDescent="0.1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" customHeight="1" x14ac:dyDescent="0.1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" customHeight="1" x14ac:dyDescent="0.1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" customHeight="1" x14ac:dyDescent="0.1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" customHeight="1" x14ac:dyDescent="0.1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" customHeight="1" x14ac:dyDescent="0.1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" customHeight="1" x14ac:dyDescent="0.1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" customHeight="1" x14ac:dyDescent="0.1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" customHeight="1" x14ac:dyDescent="0.1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" customHeight="1" x14ac:dyDescent="0.1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" customHeight="1" x14ac:dyDescent="0.1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" customHeight="1" x14ac:dyDescent="0.1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" customHeight="1" x14ac:dyDescent="0.1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" customHeight="1" x14ac:dyDescent="0.1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" customHeight="1" x14ac:dyDescent="0.1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" customHeight="1" x14ac:dyDescent="0.1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" customHeight="1" x14ac:dyDescent="0.1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" customHeight="1" x14ac:dyDescent="0.1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" customHeight="1" x14ac:dyDescent="0.1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" customHeight="1" x14ac:dyDescent="0.1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" customHeight="1" x14ac:dyDescent="0.1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" customHeight="1" x14ac:dyDescent="0.1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" customHeight="1" x14ac:dyDescent="0.1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" customHeight="1" x14ac:dyDescent="0.1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" customHeight="1" x14ac:dyDescent="0.1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" customHeight="1" x14ac:dyDescent="0.1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" customHeight="1" x14ac:dyDescent="0.1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" customHeight="1" x14ac:dyDescent="0.1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" customHeight="1" x14ac:dyDescent="0.1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" customHeight="1" x14ac:dyDescent="0.1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" customHeight="1" x14ac:dyDescent="0.1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" customHeight="1" x14ac:dyDescent="0.1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" customHeight="1" x14ac:dyDescent="0.1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" customHeight="1" x14ac:dyDescent="0.1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" customHeight="1" x14ac:dyDescent="0.1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" customHeight="1" x14ac:dyDescent="0.1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" customHeight="1" x14ac:dyDescent="0.1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" customHeight="1" x14ac:dyDescent="0.1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2" customHeight="1" x14ac:dyDescent="0.1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2" customHeight="1" x14ac:dyDescent="0.1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2" customHeight="1" x14ac:dyDescent="0.1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2" customHeight="1" x14ac:dyDescent="0.1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2" customHeight="1" x14ac:dyDescent="0.1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2" customHeight="1" x14ac:dyDescent="0.1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2" customHeight="1" x14ac:dyDescent="0.1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2" customHeight="1" x14ac:dyDescent="0.1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2" customHeight="1" x14ac:dyDescent="0.1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2" customHeight="1" x14ac:dyDescent="0.1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2" customHeight="1" x14ac:dyDescent="0.1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2" customHeight="1" x14ac:dyDescent="0.1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" customHeight="1" x14ac:dyDescent="0.1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2" customHeight="1" x14ac:dyDescent="0.1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2" customHeight="1" x14ac:dyDescent="0.1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2" customHeight="1" x14ac:dyDescent="0.1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2" customHeight="1" x14ac:dyDescent="0.1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2" customHeight="1" x14ac:dyDescent="0.1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2" customHeight="1" x14ac:dyDescent="0.1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2" customHeight="1" x14ac:dyDescent="0.1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2" customHeight="1" x14ac:dyDescent="0.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2" customHeight="1" x14ac:dyDescent="0.1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2" customHeight="1" x14ac:dyDescent="0.1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2" customHeight="1" x14ac:dyDescent="0.1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2" customHeight="1" x14ac:dyDescent="0.1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2" customHeight="1" x14ac:dyDescent="0.1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2" customHeight="1" x14ac:dyDescent="0.1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2" customHeight="1" x14ac:dyDescent="0.1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2" customHeight="1" x14ac:dyDescent="0.1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2" customHeight="1" x14ac:dyDescent="0.1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2" customHeight="1" x14ac:dyDescent="0.1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2" customHeight="1" x14ac:dyDescent="0.1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2" customHeight="1" x14ac:dyDescent="0.1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2" customHeight="1" x14ac:dyDescent="0.1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2" customHeight="1" x14ac:dyDescent="0.1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2" customHeight="1" x14ac:dyDescent="0.1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2" customHeight="1" x14ac:dyDescent="0.1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2" customHeight="1" x14ac:dyDescent="0.1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2" customHeight="1" x14ac:dyDescent="0.1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2" customHeight="1" x14ac:dyDescent="0.1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2" customHeight="1" x14ac:dyDescent="0.1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2" customHeight="1" x14ac:dyDescent="0.1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2" customHeight="1" x14ac:dyDescent="0.1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2" customHeight="1" x14ac:dyDescent="0.1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2" customHeight="1" x14ac:dyDescent="0.1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" customHeight="1" x14ac:dyDescent="0.1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2" customHeight="1" x14ac:dyDescent="0.1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2" customHeight="1" x14ac:dyDescent="0.1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2" customHeight="1" x14ac:dyDescent="0.1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2" customHeight="1" x14ac:dyDescent="0.1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2" customHeight="1" x14ac:dyDescent="0.1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2" customHeight="1" x14ac:dyDescent="0.1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2" customHeight="1" x14ac:dyDescent="0.1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2" customHeight="1" x14ac:dyDescent="0.1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2" customHeight="1" x14ac:dyDescent="0.1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2" customHeight="1" x14ac:dyDescent="0.1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2" customHeight="1" x14ac:dyDescent="0.1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2" customHeight="1" x14ac:dyDescent="0.1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2" customHeight="1" x14ac:dyDescent="0.1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2" customHeight="1" x14ac:dyDescent="0.1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2" customHeight="1" x14ac:dyDescent="0.1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2" customHeight="1" x14ac:dyDescent="0.1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2" customHeight="1" x14ac:dyDescent="0.1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2" customHeight="1" x14ac:dyDescent="0.1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2" customHeight="1" x14ac:dyDescent="0.1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2" customHeight="1" x14ac:dyDescent="0.1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2" customHeight="1" x14ac:dyDescent="0.1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2" customHeight="1" x14ac:dyDescent="0.1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2" customHeight="1" x14ac:dyDescent="0.1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2" customHeight="1" x14ac:dyDescent="0.1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2" customHeight="1" x14ac:dyDescent="0.1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2" customHeight="1" x14ac:dyDescent="0.1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2" customHeight="1" x14ac:dyDescent="0.1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2" customHeight="1" x14ac:dyDescent="0.1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2" customHeight="1" x14ac:dyDescent="0.1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2" customHeight="1" x14ac:dyDescent="0.1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2" customHeight="1" x14ac:dyDescent="0.1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2" customHeight="1" x14ac:dyDescent="0.1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2" customHeight="1" x14ac:dyDescent="0.1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2" customHeight="1" x14ac:dyDescent="0.1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2" customHeight="1" x14ac:dyDescent="0.1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2" customHeight="1" x14ac:dyDescent="0.1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2" customHeight="1" x14ac:dyDescent="0.1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2" customHeight="1" x14ac:dyDescent="0.1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2" customHeight="1" x14ac:dyDescent="0.1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2" customHeight="1" x14ac:dyDescent="0.1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2" customHeight="1" x14ac:dyDescent="0.1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2" customHeight="1" x14ac:dyDescent="0.1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2" customHeight="1" x14ac:dyDescent="0.1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" customHeight="1" x14ac:dyDescent="0.1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" customHeight="1" x14ac:dyDescent="0.1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" customHeight="1" x14ac:dyDescent="0.1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" customHeight="1" x14ac:dyDescent="0.1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" customHeight="1" x14ac:dyDescent="0.1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" customHeight="1" x14ac:dyDescent="0.1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" customHeight="1" x14ac:dyDescent="0.1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" customHeight="1" x14ac:dyDescent="0.1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" customHeight="1" x14ac:dyDescent="0.1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" customHeight="1" x14ac:dyDescent="0.1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" customHeight="1" x14ac:dyDescent="0.1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" customHeight="1" x14ac:dyDescent="0.1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" customHeight="1" x14ac:dyDescent="0.1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" customHeight="1" x14ac:dyDescent="0.1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" customHeight="1" x14ac:dyDescent="0.1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" customHeight="1" x14ac:dyDescent="0.1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" customHeight="1" x14ac:dyDescent="0.1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" customHeight="1" x14ac:dyDescent="0.1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" customHeight="1" x14ac:dyDescent="0.1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" customHeight="1" x14ac:dyDescent="0.1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" customHeight="1" x14ac:dyDescent="0.1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" customHeight="1" x14ac:dyDescent="0.1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" customHeight="1" x14ac:dyDescent="0.1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" customHeight="1" x14ac:dyDescent="0.1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" customHeight="1" x14ac:dyDescent="0.1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" customHeight="1" x14ac:dyDescent="0.1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" customHeight="1" x14ac:dyDescent="0.1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" customHeight="1" x14ac:dyDescent="0.1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" customHeight="1" x14ac:dyDescent="0.1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" customHeight="1" x14ac:dyDescent="0.1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" customHeight="1" x14ac:dyDescent="0.1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" customHeight="1" x14ac:dyDescent="0.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" customHeight="1" x14ac:dyDescent="0.1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" customHeight="1" x14ac:dyDescent="0.1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" customHeight="1" x14ac:dyDescent="0.1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" customHeight="1" x14ac:dyDescent="0.1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" customHeight="1" x14ac:dyDescent="0.1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" customHeight="1" x14ac:dyDescent="0.1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" customHeight="1" x14ac:dyDescent="0.1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" customHeight="1" x14ac:dyDescent="0.1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" customHeight="1" x14ac:dyDescent="0.1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" customHeight="1" x14ac:dyDescent="0.1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" customHeight="1" x14ac:dyDescent="0.1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" customHeight="1" x14ac:dyDescent="0.1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" customHeight="1" x14ac:dyDescent="0.1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" customHeight="1" x14ac:dyDescent="0.1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" customHeight="1" x14ac:dyDescent="0.1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" customHeight="1" x14ac:dyDescent="0.1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" customHeight="1" x14ac:dyDescent="0.1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" customHeight="1" x14ac:dyDescent="0.1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" customHeight="1" x14ac:dyDescent="0.1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" customHeight="1" x14ac:dyDescent="0.1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" customHeight="1" x14ac:dyDescent="0.1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" customHeight="1" x14ac:dyDescent="0.1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" customHeight="1" x14ac:dyDescent="0.1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2" customHeight="1" x14ac:dyDescent="0.1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" customHeight="1" x14ac:dyDescent="0.1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" customHeight="1" x14ac:dyDescent="0.1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" customHeight="1" x14ac:dyDescent="0.1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" customHeight="1" x14ac:dyDescent="0.1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" customHeight="1" x14ac:dyDescent="0.1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" customHeight="1" x14ac:dyDescent="0.1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" customHeight="1" x14ac:dyDescent="0.1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" customHeight="1" x14ac:dyDescent="0.1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" customHeight="1" x14ac:dyDescent="0.1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" customHeight="1" x14ac:dyDescent="0.1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" customHeight="1" x14ac:dyDescent="0.1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" customHeight="1" x14ac:dyDescent="0.1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" customHeight="1" x14ac:dyDescent="0.1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" customHeight="1" x14ac:dyDescent="0.1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" customHeight="1" x14ac:dyDescent="0.1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" customHeight="1" x14ac:dyDescent="0.1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" customHeight="1" x14ac:dyDescent="0.1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" customHeight="1" x14ac:dyDescent="0.1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" customHeight="1" x14ac:dyDescent="0.1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" customHeight="1" x14ac:dyDescent="0.1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" customHeight="1" x14ac:dyDescent="0.1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" customHeight="1" x14ac:dyDescent="0.1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" customHeight="1" x14ac:dyDescent="0.1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" customHeight="1" x14ac:dyDescent="0.1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" customHeight="1" x14ac:dyDescent="0.1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" customHeight="1" x14ac:dyDescent="0.1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" customHeight="1" x14ac:dyDescent="0.1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" customHeight="1" x14ac:dyDescent="0.1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" customHeight="1" x14ac:dyDescent="0.1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" customHeight="1" x14ac:dyDescent="0.1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" customHeight="1" x14ac:dyDescent="0.1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" customHeight="1" x14ac:dyDescent="0.1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" customHeight="1" x14ac:dyDescent="0.1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" customHeight="1" x14ac:dyDescent="0.1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" customHeight="1" x14ac:dyDescent="0.1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" customHeight="1" x14ac:dyDescent="0.1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" customHeight="1" x14ac:dyDescent="0.1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" customHeight="1" x14ac:dyDescent="0.1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" customHeight="1" x14ac:dyDescent="0.1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" customHeight="1" x14ac:dyDescent="0.1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" customHeight="1" x14ac:dyDescent="0.1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" customHeight="1" x14ac:dyDescent="0.1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" customHeight="1" x14ac:dyDescent="0.1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" customHeight="1" x14ac:dyDescent="0.1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" customHeight="1" x14ac:dyDescent="0.1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" customHeight="1" x14ac:dyDescent="0.1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" customHeight="1" x14ac:dyDescent="0.1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" customHeight="1" x14ac:dyDescent="0.1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" customHeight="1" x14ac:dyDescent="0.1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" customHeight="1" x14ac:dyDescent="0.1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" customHeight="1" x14ac:dyDescent="0.1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" customHeight="1" x14ac:dyDescent="0.1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" customHeight="1" x14ac:dyDescent="0.1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" customHeight="1" x14ac:dyDescent="0.1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" customHeight="1" x14ac:dyDescent="0.1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" customHeight="1" x14ac:dyDescent="0.1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" customHeight="1" x14ac:dyDescent="0.1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" customHeight="1" x14ac:dyDescent="0.1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" customHeight="1" x14ac:dyDescent="0.1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" customHeight="1" x14ac:dyDescent="0.1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" customHeight="1" x14ac:dyDescent="0.1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" customHeight="1" x14ac:dyDescent="0.1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" customHeight="1" x14ac:dyDescent="0.1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" customHeight="1" x14ac:dyDescent="0.1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" customHeight="1" x14ac:dyDescent="0.1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" customHeight="1" x14ac:dyDescent="0.1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" customHeight="1" x14ac:dyDescent="0.1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" customHeight="1" x14ac:dyDescent="0.1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" customHeight="1" x14ac:dyDescent="0.1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" customHeight="1" x14ac:dyDescent="0.1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" customHeight="1" x14ac:dyDescent="0.1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" customHeight="1" x14ac:dyDescent="0.1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" customHeight="1" x14ac:dyDescent="0.1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" customHeight="1" x14ac:dyDescent="0.1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" customHeight="1" x14ac:dyDescent="0.1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" customHeight="1" x14ac:dyDescent="0.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" customHeight="1" x14ac:dyDescent="0.1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" customHeight="1" x14ac:dyDescent="0.1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" customHeight="1" x14ac:dyDescent="0.1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" customHeight="1" x14ac:dyDescent="0.1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" customHeight="1" x14ac:dyDescent="0.1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" customHeight="1" x14ac:dyDescent="0.1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" customHeight="1" x14ac:dyDescent="0.1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" customHeight="1" x14ac:dyDescent="0.1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" customHeight="1" x14ac:dyDescent="0.1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" customHeight="1" x14ac:dyDescent="0.1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" customHeight="1" x14ac:dyDescent="0.1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" customHeight="1" x14ac:dyDescent="0.1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" customHeight="1" x14ac:dyDescent="0.1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" customHeight="1" x14ac:dyDescent="0.1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" customHeight="1" x14ac:dyDescent="0.1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" customHeight="1" x14ac:dyDescent="0.1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" customHeight="1" x14ac:dyDescent="0.1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" customHeight="1" x14ac:dyDescent="0.1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" customHeight="1" x14ac:dyDescent="0.1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" customHeight="1" x14ac:dyDescent="0.1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" customHeight="1" x14ac:dyDescent="0.1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" customHeight="1" x14ac:dyDescent="0.1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" customHeight="1" x14ac:dyDescent="0.1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" customHeight="1" x14ac:dyDescent="0.1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" customHeight="1" x14ac:dyDescent="0.1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" customHeight="1" x14ac:dyDescent="0.1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" customHeight="1" x14ac:dyDescent="0.1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" customHeight="1" x14ac:dyDescent="0.1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" customHeight="1" x14ac:dyDescent="0.1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" customHeight="1" x14ac:dyDescent="0.1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" customHeight="1" x14ac:dyDescent="0.1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" customHeight="1" x14ac:dyDescent="0.1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" customHeight="1" x14ac:dyDescent="0.1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" customHeight="1" x14ac:dyDescent="0.1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" customHeight="1" x14ac:dyDescent="0.1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" customHeight="1" x14ac:dyDescent="0.1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" customHeight="1" x14ac:dyDescent="0.1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" customHeight="1" x14ac:dyDescent="0.1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" customHeight="1" x14ac:dyDescent="0.1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" customHeight="1" x14ac:dyDescent="0.1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" customHeight="1" x14ac:dyDescent="0.1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" customHeight="1" x14ac:dyDescent="0.1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" customHeight="1" x14ac:dyDescent="0.1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" customHeight="1" x14ac:dyDescent="0.1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" customHeight="1" x14ac:dyDescent="0.1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" customHeight="1" x14ac:dyDescent="0.1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" customHeight="1" x14ac:dyDescent="0.1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" customHeight="1" x14ac:dyDescent="0.1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" customHeight="1" x14ac:dyDescent="0.1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" customHeight="1" x14ac:dyDescent="0.1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" customHeight="1" x14ac:dyDescent="0.1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" customHeight="1" x14ac:dyDescent="0.1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" customHeight="1" x14ac:dyDescent="0.1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" customHeight="1" x14ac:dyDescent="0.1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" customHeight="1" x14ac:dyDescent="0.1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" customHeight="1" x14ac:dyDescent="0.1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" customHeight="1" x14ac:dyDescent="0.1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" customHeight="1" x14ac:dyDescent="0.1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" customHeight="1" x14ac:dyDescent="0.1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" customHeight="1" x14ac:dyDescent="0.1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" customHeight="1" x14ac:dyDescent="0.1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" customHeight="1" x14ac:dyDescent="0.1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" customHeight="1" x14ac:dyDescent="0.1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" customHeight="1" x14ac:dyDescent="0.1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" customHeight="1" x14ac:dyDescent="0.1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" customHeight="1" x14ac:dyDescent="0.1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" customHeight="1" x14ac:dyDescent="0.1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" customHeight="1" x14ac:dyDescent="0.1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" customHeight="1" x14ac:dyDescent="0.1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" customHeight="1" x14ac:dyDescent="0.1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" customHeight="1" x14ac:dyDescent="0.1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" customHeight="1" x14ac:dyDescent="0.1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" customHeight="1" x14ac:dyDescent="0.1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" customHeight="1" x14ac:dyDescent="0.1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" customHeight="1" x14ac:dyDescent="0.1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" customHeight="1" x14ac:dyDescent="0.1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" customHeight="1" x14ac:dyDescent="0.1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" customHeight="1" x14ac:dyDescent="0.1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" customHeight="1" x14ac:dyDescent="0.1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" customHeight="1" x14ac:dyDescent="0.1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" customHeight="1" x14ac:dyDescent="0.1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" customHeight="1" x14ac:dyDescent="0.1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" customHeight="1" x14ac:dyDescent="0.1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" customHeight="1" x14ac:dyDescent="0.1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" customHeight="1" x14ac:dyDescent="0.1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" customHeight="1" x14ac:dyDescent="0.1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" customHeight="1" x14ac:dyDescent="0.1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" customHeight="1" x14ac:dyDescent="0.1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" customHeight="1" x14ac:dyDescent="0.1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" customHeight="1" x14ac:dyDescent="0.1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" customHeight="1" x14ac:dyDescent="0.1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" customHeight="1" x14ac:dyDescent="0.1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" customHeight="1" x14ac:dyDescent="0.1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" customHeight="1" x14ac:dyDescent="0.1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" customHeight="1" x14ac:dyDescent="0.1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" customHeight="1" x14ac:dyDescent="0.1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" customHeight="1" x14ac:dyDescent="0.1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" customHeight="1" x14ac:dyDescent="0.1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" customHeight="1" x14ac:dyDescent="0.1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" customHeight="1" x14ac:dyDescent="0.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" customHeight="1" x14ac:dyDescent="0.1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" customHeight="1" x14ac:dyDescent="0.1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" customHeight="1" x14ac:dyDescent="0.1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" customHeight="1" x14ac:dyDescent="0.1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" customHeight="1" x14ac:dyDescent="0.1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" customHeight="1" x14ac:dyDescent="0.1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" customHeight="1" x14ac:dyDescent="0.1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" customHeight="1" x14ac:dyDescent="0.1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" customHeight="1" x14ac:dyDescent="0.1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" customHeight="1" x14ac:dyDescent="0.1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" customHeight="1" x14ac:dyDescent="0.1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" customHeight="1" x14ac:dyDescent="0.1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" customHeight="1" x14ac:dyDescent="0.1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" customHeight="1" x14ac:dyDescent="0.1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" customHeight="1" x14ac:dyDescent="0.1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" customHeight="1" x14ac:dyDescent="0.1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" customHeight="1" x14ac:dyDescent="0.1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" customHeight="1" x14ac:dyDescent="0.1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" customHeight="1" x14ac:dyDescent="0.1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" customHeight="1" x14ac:dyDescent="0.1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" customHeight="1" x14ac:dyDescent="0.1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" customHeight="1" x14ac:dyDescent="0.1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" customHeight="1" x14ac:dyDescent="0.1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" customHeight="1" x14ac:dyDescent="0.1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" customHeight="1" x14ac:dyDescent="0.1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" customHeight="1" x14ac:dyDescent="0.1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" customHeight="1" x14ac:dyDescent="0.1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" customHeight="1" x14ac:dyDescent="0.1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" customHeight="1" x14ac:dyDescent="0.1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" customHeight="1" x14ac:dyDescent="0.1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" customHeight="1" x14ac:dyDescent="0.1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" customHeight="1" x14ac:dyDescent="0.1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" customHeight="1" x14ac:dyDescent="0.1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" customHeight="1" x14ac:dyDescent="0.1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" customHeight="1" x14ac:dyDescent="0.1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" customHeight="1" x14ac:dyDescent="0.1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" customHeight="1" x14ac:dyDescent="0.1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" customHeight="1" x14ac:dyDescent="0.1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" customHeight="1" x14ac:dyDescent="0.1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" customHeight="1" x14ac:dyDescent="0.1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" customHeight="1" x14ac:dyDescent="0.1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" customHeight="1" x14ac:dyDescent="0.1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" customHeight="1" x14ac:dyDescent="0.1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" customHeight="1" x14ac:dyDescent="0.1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" customHeight="1" x14ac:dyDescent="0.1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" customHeight="1" x14ac:dyDescent="0.1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" customHeight="1" x14ac:dyDescent="0.1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" customHeight="1" x14ac:dyDescent="0.1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" customHeight="1" x14ac:dyDescent="0.1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" customHeight="1" x14ac:dyDescent="0.1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" customHeight="1" x14ac:dyDescent="0.1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" customHeight="1" x14ac:dyDescent="0.1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" customHeight="1" x14ac:dyDescent="0.1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" customHeight="1" x14ac:dyDescent="0.1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" customHeight="1" x14ac:dyDescent="0.1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" customHeight="1" x14ac:dyDescent="0.1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" customHeight="1" x14ac:dyDescent="0.1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" customHeight="1" x14ac:dyDescent="0.1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" customHeight="1" x14ac:dyDescent="0.1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" customHeight="1" x14ac:dyDescent="0.1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" customHeight="1" x14ac:dyDescent="0.1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" customHeight="1" x14ac:dyDescent="0.1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" customHeight="1" x14ac:dyDescent="0.1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" customHeight="1" x14ac:dyDescent="0.1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" customHeight="1" x14ac:dyDescent="0.1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" customHeight="1" x14ac:dyDescent="0.1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" customHeight="1" x14ac:dyDescent="0.1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" customHeight="1" x14ac:dyDescent="0.1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" customHeight="1" x14ac:dyDescent="0.1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" customHeight="1" x14ac:dyDescent="0.1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" customHeight="1" x14ac:dyDescent="0.1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" customHeight="1" x14ac:dyDescent="0.1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" customHeight="1" x14ac:dyDescent="0.1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" customHeight="1" x14ac:dyDescent="0.1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" customHeight="1" x14ac:dyDescent="0.1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" customHeight="1" x14ac:dyDescent="0.1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" customHeight="1" x14ac:dyDescent="0.1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" customHeight="1" x14ac:dyDescent="0.1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" customHeight="1" x14ac:dyDescent="0.1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" customHeight="1" x14ac:dyDescent="0.1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" customHeight="1" x14ac:dyDescent="0.1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" customHeight="1" x14ac:dyDescent="0.1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" customHeight="1" x14ac:dyDescent="0.1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" customHeight="1" x14ac:dyDescent="0.1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" customHeight="1" x14ac:dyDescent="0.1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" customHeight="1" x14ac:dyDescent="0.1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" customHeight="1" x14ac:dyDescent="0.1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" customHeight="1" x14ac:dyDescent="0.1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" customHeight="1" x14ac:dyDescent="0.1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" customHeight="1" x14ac:dyDescent="0.1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" customHeight="1" x14ac:dyDescent="0.1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" customHeight="1" x14ac:dyDescent="0.1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" customHeight="1" x14ac:dyDescent="0.1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" customHeight="1" x14ac:dyDescent="0.1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" customHeight="1" x14ac:dyDescent="0.1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" customHeight="1" x14ac:dyDescent="0.1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" customHeight="1" x14ac:dyDescent="0.1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" customHeight="1" x14ac:dyDescent="0.1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" customHeight="1" x14ac:dyDescent="0.1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" customHeight="1" x14ac:dyDescent="0.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" customHeight="1" x14ac:dyDescent="0.1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" customHeight="1" x14ac:dyDescent="0.1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" customHeight="1" x14ac:dyDescent="0.1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" customHeight="1" x14ac:dyDescent="0.1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" customHeight="1" x14ac:dyDescent="0.1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" customHeight="1" x14ac:dyDescent="0.1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" customHeight="1" x14ac:dyDescent="0.1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" customHeight="1" x14ac:dyDescent="0.1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" customHeight="1" x14ac:dyDescent="0.1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" customHeight="1" x14ac:dyDescent="0.1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" customHeight="1" x14ac:dyDescent="0.1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" customHeight="1" x14ac:dyDescent="0.1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" customHeight="1" x14ac:dyDescent="0.1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" customHeight="1" x14ac:dyDescent="0.1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" customHeight="1" x14ac:dyDescent="0.1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" customHeight="1" x14ac:dyDescent="0.1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" customHeight="1" x14ac:dyDescent="0.1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" customHeight="1" x14ac:dyDescent="0.1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" customHeight="1" x14ac:dyDescent="0.1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" customHeight="1" x14ac:dyDescent="0.1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" customHeight="1" x14ac:dyDescent="0.1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" customHeight="1" x14ac:dyDescent="0.1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" customHeight="1" x14ac:dyDescent="0.1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" customHeight="1" x14ac:dyDescent="0.1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" customHeight="1" x14ac:dyDescent="0.1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" customHeight="1" x14ac:dyDescent="0.1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" customHeight="1" x14ac:dyDescent="0.1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" customHeight="1" x14ac:dyDescent="0.1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" customHeight="1" x14ac:dyDescent="0.1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" customHeight="1" x14ac:dyDescent="0.1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" customHeight="1" x14ac:dyDescent="0.1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" customHeight="1" x14ac:dyDescent="0.1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" customHeight="1" x14ac:dyDescent="0.1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" customHeight="1" x14ac:dyDescent="0.1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" customHeight="1" x14ac:dyDescent="0.1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" customHeight="1" x14ac:dyDescent="0.1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" customHeight="1" x14ac:dyDescent="0.1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" customHeight="1" x14ac:dyDescent="0.1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" customHeight="1" x14ac:dyDescent="0.1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" customHeight="1" x14ac:dyDescent="0.1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" customHeight="1" x14ac:dyDescent="0.1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" customHeight="1" x14ac:dyDescent="0.1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" customHeight="1" x14ac:dyDescent="0.1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" customHeight="1" x14ac:dyDescent="0.1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" customHeight="1" x14ac:dyDescent="0.1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" customHeight="1" x14ac:dyDescent="0.1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" customHeight="1" x14ac:dyDescent="0.1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" customHeight="1" x14ac:dyDescent="0.1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" customHeight="1" x14ac:dyDescent="0.1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" customHeight="1" x14ac:dyDescent="0.1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" customHeight="1" x14ac:dyDescent="0.1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" customHeight="1" x14ac:dyDescent="0.1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" customHeight="1" x14ac:dyDescent="0.1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" customHeight="1" x14ac:dyDescent="0.1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" customHeight="1" x14ac:dyDescent="0.1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" customHeight="1" x14ac:dyDescent="0.1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" customHeight="1" x14ac:dyDescent="0.1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" customHeight="1" x14ac:dyDescent="0.1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" customHeight="1" x14ac:dyDescent="0.1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" customHeight="1" x14ac:dyDescent="0.1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" customHeight="1" x14ac:dyDescent="0.1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" customHeight="1" x14ac:dyDescent="0.1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" customHeight="1" x14ac:dyDescent="0.1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" customHeight="1" x14ac:dyDescent="0.1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" customHeight="1" x14ac:dyDescent="0.1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" customHeight="1" x14ac:dyDescent="0.1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" customHeight="1" x14ac:dyDescent="0.1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" customHeight="1" x14ac:dyDescent="0.1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" customHeight="1" x14ac:dyDescent="0.1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" customHeight="1" x14ac:dyDescent="0.1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" customHeight="1" x14ac:dyDescent="0.1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" customHeight="1" x14ac:dyDescent="0.1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" customHeight="1" x14ac:dyDescent="0.1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" customHeight="1" x14ac:dyDescent="0.1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" customHeight="1" x14ac:dyDescent="0.1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" customHeight="1" x14ac:dyDescent="0.1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" customHeight="1" x14ac:dyDescent="0.1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" customHeight="1" x14ac:dyDescent="0.1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" customHeight="1" x14ac:dyDescent="0.1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" customHeight="1" x14ac:dyDescent="0.1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" customHeight="1" x14ac:dyDescent="0.1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" customHeight="1" x14ac:dyDescent="0.1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" customHeight="1" x14ac:dyDescent="0.1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" customHeight="1" x14ac:dyDescent="0.1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" customHeight="1" x14ac:dyDescent="0.1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" customHeight="1" x14ac:dyDescent="0.1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" customHeight="1" x14ac:dyDescent="0.1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" customHeight="1" x14ac:dyDescent="0.1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" customHeight="1" x14ac:dyDescent="0.1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" customHeight="1" x14ac:dyDescent="0.1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" customHeight="1" x14ac:dyDescent="0.1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" customHeight="1" x14ac:dyDescent="0.1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" customHeight="1" x14ac:dyDescent="0.1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" customHeight="1" x14ac:dyDescent="0.1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" customHeight="1" x14ac:dyDescent="0.1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" customHeight="1" x14ac:dyDescent="0.1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" customHeight="1" x14ac:dyDescent="0.1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" customHeight="1" x14ac:dyDescent="0.1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" customHeight="1" x14ac:dyDescent="0.1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" customHeight="1" x14ac:dyDescent="0.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" customHeight="1" x14ac:dyDescent="0.1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" customHeight="1" x14ac:dyDescent="0.1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" customHeight="1" x14ac:dyDescent="0.1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" customHeight="1" x14ac:dyDescent="0.1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" customHeight="1" x14ac:dyDescent="0.1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" customHeight="1" x14ac:dyDescent="0.1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" customHeight="1" x14ac:dyDescent="0.1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" customHeight="1" x14ac:dyDescent="0.1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" customHeight="1" x14ac:dyDescent="0.1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" customHeight="1" x14ac:dyDescent="0.1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" customHeight="1" x14ac:dyDescent="0.1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" customHeight="1" x14ac:dyDescent="0.1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" customHeight="1" x14ac:dyDescent="0.1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" customHeight="1" x14ac:dyDescent="0.1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" customHeight="1" x14ac:dyDescent="0.1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" customHeight="1" x14ac:dyDescent="0.1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" customHeight="1" x14ac:dyDescent="0.1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" customHeight="1" x14ac:dyDescent="0.1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" customHeight="1" x14ac:dyDescent="0.1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" customHeight="1" x14ac:dyDescent="0.1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" customHeight="1" x14ac:dyDescent="0.1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" customHeight="1" x14ac:dyDescent="0.1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" customHeight="1" x14ac:dyDescent="0.1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" customHeight="1" x14ac:dyDescent="0.1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" customHeight="1" x14ac:dyDescent="0.1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" customHeight="1" x14ac:dyDescent="0.1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" customHeight="1" x14ac:dyDescent="0.1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" customHeight="1" x14ac:dyDescent="0.1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" customHeight="1" x14ac:dyDescent="0.1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" customHeight="1" x14ac:dyDescent="0.1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" customHeight="1" x14ac:dyDescent="0.1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" customHeight="1" x14ac:dyDescent="0.1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" customHeight="1" x14ac:dyDescent="0.1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" customHeight="1" x14ac:dyDescent="0.1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" customHeight="1" x14ac:dyDescent="0.1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" customHeight="1" x14ac:dyDescent="0.1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" customHeight="1" x14ac:dyDescent="0.1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" customHeight="1" x14ac:dyDescent="0.1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" customHeight="1" x14ac:dyDescent="0.1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" customHeight="1" x14ac:dyDescent="0.1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" customHeight="1" x14ac:dyDescent="0.1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" customHeight="1" x14ac:dyDescent="0.1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" customHeight="1" x14ac:dyDescent="0.1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" customHeight="1" x14ac:dyDescent="0.1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" customHeight="1" x14ac:dyDescent="0.1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" customHeight="1" x14ac:dyDescent="0.1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" customHeight="1" x14ac:dyDescent="0.1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" customHeight="1" x14ac:dyDescent="0.1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" customHeight="1" x14ac:dyDescent="0.1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" customHeight="1" x14ac:dyDescent="0.1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" customHeight="1" x14ac:dyDescent="0.1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" customHeight="1" x14ac:dyDescent="0.1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" customHeight="1" x14ac:dyDescent="0.1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" customHeight="1" x14ac:dyDescent="0.1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" customHeight="1" x14ac:dyDescent="0.1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" customHeight="1" x14ac:dyDescent="0.1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" customHeight="1" x14ac:dyDescent="0.1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" customHeight="1" x14ac:dyDescent="0.1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" customHeight="1" x14ac:dyDescent="0.1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" customHeight="1" x14ac:dyDescent="0.1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" customHeight="1" x14ac:dyDescent="0.1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" customHeight="1" x14ac:dyDescent="0.1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" customHeight="1" x14ac:dyDescent="0.1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" customHeight="1" x14ac:dyDescent="0.1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" customHeight="1" x14ac:dyDescent="0.1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" customHeight="1" x14ac:dyDescent="0.1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" customHeight="1" x14ac:dyDescent="0.1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" customHeight="1" x14ac:dyDescent="0.1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" customHeight="1" x14ac:dyDescent="0.1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" customHeight="1" x14ac:dyDescent="0.1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" customHeight="1" x14ac:dyDescent="0.1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" customHeight="1" x14ac:dyDescent="0.1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" customHeight="1" x14ac:dyDescent="0.1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" customHeight="1" x14ac:dyDescent="0.1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" customHeight="1" x14ac:dyDescent="0.1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" customHeight="1" x14ac:dyDescent="0.1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" customHeight="1" x14ac:dyDescent="0.1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" customHeight="1" x14ac:dyDescent="0.1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" customHeight="1" x14ac:dyDescent="0.1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" customHeight="1" x14ac:dyDescent="0.1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" customHeight="1" x14ac:dyDescent="0.1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" customHeight="1" x14ac:dyDescent="0.1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" customHeight="1" x14ac:dyDescent="0.1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" customHeight="1" x14ac:dyDescent="0.1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" customHeight="1" x14ac:dyDescent="0.1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" customHeight="1" x14ac:dyDescent="0.1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" customHeight="1" x14ac:dyDescent="0.1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" customHeight="1" x14ac:dyDescent="0.1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" customHeight="1" x14ac:dyDescent="0.1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" customHeight="1" x14ac:dyDescent="0.1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" customHeight="1" x14ac:dyDescent="0.1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" customHeight="1" x14ac:dyDescent="0.1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" customHeight="1" x14ac:dyDescent="0.1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" customHeight="1" x14ac:dyDescent="0.1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" customHeight="1" x14ac:dyDescent="0.1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" customHeight="1" x14ac:dyDescent="0.1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" customHeight="1" x14ac:dyDescent="0.1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" customHeight="1" x14ac:dyDescent="0.1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" customHeight="1" x14ac:dyDescent="0.1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" customHeight="1" x14ac:dyDescent="0.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" customHeight="1" x14ac:dyDescent="0.1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" customHeight="1" x14ac:dyDescent="0.1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" customHeight="1" x14ac:dyDescent="0.1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" customHeight="1" x14ac:dyDescent="0.1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" customHeight="1" x14ac:dyDescent="0.1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" customHeight="1" x14ac:dyDescent="0.1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" customHeight="1" x14ac:dyDescent="0.1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" customHeight="1" x14ac:dyDescent="0.1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" customHeight="1" x14ac:dyDescent="0.1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" customHeight="1" x14ac:dyDescent="0.1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" customHeight="1" x14ac:dyDescent="0.1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" customHeight="1" x14ac:dyDescent="0.1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" customHeight="1" x14ac:dyDescent="0.1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" customHeight="1" x14ac:dyDescent="0.1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" customHeight="1" x14ac:dyDescent="0.1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" customHeight="1" x14ac:dyDescent="0.1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" customHeight="1" x14ac:dyDescent="0.1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" customHeight="1" x14ac:dyDescent="0.1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" customHeight="1" x14ac:dyDescent="0.1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" customHeight="1" x14ac:dyDescent="0.1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" customHeight="1" x14ac:dyDescent="0.1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" customHeight="1" x14ac:dyDescent="0.1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" customHeight="1" x14ac:dyDescent="0.1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" customHeight="1" x14ac:dyDescent="0.1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" customHeight="1" x14ac:dyDescent="0.1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" customHeight="1" x14ac:dyDescent="0.1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" customHeight="1" x14ac:dyDescent="0.1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" customHeight="1" x14ac:dyDescent="0.1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" customHeight="1" x14ac:dyDescent="0.1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" customHeight="1" x14ac:dyDescent="0.1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" customHeight="1" x14ac:dyDescent="0.1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" customHeight="1" x14ac:dyDescent="0.1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" customHeight="1" x14ac:dyDescent="0.1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" customHeight="1" x14ac:dyDescent="0.1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" customHeight="1" x14ac:dyDescent="0.1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" customHeight="1" x14ac:dyDescent="0.1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" customHeight="1" x14ac:dyDescent="0.1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" customHeight="1" x14ac:dyDescent="0.1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" customHeight="1" x14ac:dyDescent="0.1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" customHeight="1" x14ac:dyDescent="0.1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" customHeight="1" x14ac:dyDescent="0.1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" customHeight="1" x14ac:dyDescent="0.1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" customHeight="1" x14ac:dyDescent="0.1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" customHeight="1" x14ac:dyDescent="0.1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" customHeight="1" x14ac:dyDescent="0.1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" customHeight="1" x14ac:dyDescent="0.1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" customHeight="1" x14ac:dyDescent="0.1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" customHeight="1" x14ac:dyDescent="0.1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" customHeight="1" x14ac:dyDescent="0.1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" customHeight="1" x14ac:dyDescent="0.1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" customHeight="1" x14ac:dyDescent="0.1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" customHeight="1" x14ac:dyDescent="0.1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" customHeight="1" x14ac:dyDescent="0.1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" customHeight="1" x14ac:dyDescent="0.1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" customHeight="1" x14ac:dyDescent="0.1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" customHeight="1" x14ac:dyDescent="0.1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" customHeight="1" x14ac:dyDescent="0.1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" customHeight="1" x14ac:dyDescent="0.1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" customHeight="1" x14ac:dyDescent="0.1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" customHeight="1" x14ac:dyDescent="0.1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" customHeight="1" x14ac:dyDescent="0.1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" customHeight="1" x14ac:dyDescent="0.1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" customHeight="1" x14ac:dyDescent="0.1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" customHeight="1" x14ac:dyDescent="0.1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" customHeight="1" x14ac:dyDescent="0.1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" customHeight="1" x14ac:dyDescent="0.1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" customHeight="1" x14ac:dyDescent="0.1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" customHeight="1" x14ac:dyDescent="0.1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" customHeight="1" x14ac:dyDescent="0.1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" customHeight="1" x14ac:dyDescent="0.1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" customHeight="1" x14ac:dyDescent="0.1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" customHeight="1" x14ac:dyDescent="0.1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" customHeight="1" x14ac:dyDescent="0.1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" customHeight="1" x14ac:dyDescent="0.1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" customHeight="1" x14ac:dyDescent="0.1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" customHeight="1" x14ac:dyDescent="0.1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" customHeight="1" x14ac:dyDescent="0.1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" customHeight="1" x14ac:dyDescent="0.1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" customHeight="1" x14ac:dyDescent="0.1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" customHeight="1" x14ac:dyDescent="0.1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" customHeight="1" x14ac:dyDescent="0.1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" customHeight="1" x14ac:dyDescent="0.1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" customHeight="1" x14ac:dyDescent="0.1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" customHeight="1" x14ac:dyDescent="0.1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" customHeight="1" x14ac:dyDescent="0.1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" customHeight="1" x14ac:dyDescent="0.1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" customHeight="1" x14ac:dyDescent="0.1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" customHeight="1" x14ac:dyDescent="0.1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" customHeight="1" x14ac:dyDescent="0.1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" customHeight="1" x14ac:dyDescent="0.1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" customHeight="1" x14ac:dyDescent="0.1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" customHeight="1" x14ac:dyDescent="0.1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" customHeight="1" x14ac:dyDescent="0.1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" customHeight="1" x14ac:dyDescent="0.1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" customHeight="1" x14ac:dyDescent="0.1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" customHeight="1" x14ac:dyDescent="0.1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" customHeight="1" x14ac:dyDescent="0.1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" customHeight="1" x14ac:dyDescent="0.1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" customHeight="1" x14ac:dyDescent="0.1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" customHeight="1" x14ac:dyDescent="0.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" customHeight="1" x14ac:dyDescent="0.1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" customHeight="1" x14ac:dyDescent="0.1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" customHeight="1" x14ac:dyDescent="0.1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" customHeight="1" x14ac:dyDescent="0.1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" customHeight="1" x14ac:dyDescent="0.1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" customHeight="1" x14ac:dyDescent="0.1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" customHeight="1" x14ac:dyDescent="0.1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" customHeight="1" x14ac:dyDescent="0.1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" customHeight="1" x14ac:dyDescent="0.1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" customHeight="1" x14ac:dyDescent="0.1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" customHeight="1" x14ac:dyDescent="0.1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" customHeight="1" x14ac:dyDescent="0.1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" customHeight="1" x14ac:dyDescent="0.1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" customHeight="1" x14ac:dyDescent="0.1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" customHeight="1" x14ac:dyDescent="0.1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" customHeight="1" x14ac:dyDescent="0.1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" customHeight="1" x14ac:dyDescent="0.1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" customHeight="1" x14ac:dyDescent="0.1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" customHeight="1" x14ac:dyDescent="0.1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" customHeight="1" x14ac:dyDescent="0.1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" customHeight="1" x14ac:dyDescent="0.1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" customHeight="1" x14ac:dyDescent="0.1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" customHeight="1" x14ac:dyDescent="0.1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" customHeight="1" x14ac:dyDescent="0.1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" customHeight="1" x14ac:dyDescent="0.1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" customHeight="1" x14ac:dyDescent="0.1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" customHeight="1" x14ac:dyDescent="0.1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" customHeight="1" x14ac:dyDescent="0.1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" customHeight="1" x14ac:dyDescent="0.1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" customHeight="1" x14ac:dyDescent="0.1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" customHeight="1" x14ac:dyDescent="0.1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" customHeight="1" x14ac:dyDescent="0.1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" customHeight="1" x14ac:dyDescent="0.1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" customHeight="1" x14ac:dyDescent="0.1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" customHeight="1" x14ac:dyDescent="0.1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" customHeight="1" x14ac:dyDescent="0.1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" customHeight="1" x14ac:dyDescent="0.1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" customHeight="1" x14ac:dyDescent="0.1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" customHeight="1" x14ac:dyDescent="0.1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" customHeight="1" x14ac:dyDescent="0.1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" customHeight="1" x14ac:dyDescent="0.1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" customHeight="1" x14ac:dyDescent="0.1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" customHeight="1" x14ac:dyDescent="0.1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" customHeight="1" x14ac:dyDescent="0.1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" customHeight="1" x14ac:dyDescent="0.1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" customHeight="1" x14ac:dyDescent="0.1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" customHeight="1" x14ac:dyDescent="0.1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" customHeight="1" x14ac:dyDescent="0.1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" customHeight="1" x14ac:dyDescent="0.1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" customHeight="1" x14ac:dyDescent="0.1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" customHeight="1" x14ac:dyDescent="0.1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" customHeight="1" x14ac:dyDescent="0.1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" customHeight="1" x14ac:dyDescent="0.1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" customHeight="1" x14ac:dyDescent="0.1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" customHeight="1" x14ac:dyDescent="0.1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" customHeight="1" x14ac:dyDescent="0.1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" customHeight="1" x14ac:dyDescent="0.1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" customHeight="1" x14ac:dyDescent="0.1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" customHeight="1" x14ac:dyDescent="0.1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" customHeight="1" x14ac:dyDescent="0.1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" customHeight="1" x14ac:dyDescent="0.1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" customHeight="1" x14ac:dyDescent="0.1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" customHeight="1" x14ac:dyDescent="0.1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" customHeight="1" x14ac:dyDescent="0.1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" customHeight="1" x14ac:dyDescent="0.1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" customHeight="1" x14ac:dyDescent="0.1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" customHeight="1" x14ac:dyDescent="0.1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" customHeight="1" x14ac:dyDescent="0.1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" customHeight="1" x14ac:dyDescent="0.1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" customHeight="1" x14ac:dyDescent="0.1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" customHeight="1" x14ac:dyDescent="0.1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" customHeight="1" x14ac:dyDescent="0.1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" customHeight="1" x14ac:dyDescent="0.1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" customHeight="1" x14ac:dyDescent="0.1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" customHeight="1" x14ac:dyDescent="0.1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" customHeight="1" x14ac:dyDescent="0.1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" customHeight="1" x14ac:dyDescent="0.1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" customHeight="1" x14ac:dyDescent="0.1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" customHeight="1" x14ac:dyDescent="0.1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" customHeight="1" x14ac:dyDescent="0.1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" customHeight="1" x14ac:dyDescent="0.1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" customHeight="1" x14ac:dyDescent="0.1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" customHeight="1" x14ac:dyDescent="0.1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" customHeight="1" x14ac:dyDescent="0.1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" customHeight="1" x14ac:dyDescent="0.1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" customHeight="1" x14ac:dyDescent="0.1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" customHeight="1" x14ac:dyDescent="0.1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" customHeight="1" x14ac:dyDescent="0.1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" customHeight="1" x14ac:dyDescent="0.1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" customHeight="1" x14ac:dyDescent="0.1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" customHeight="1" x14ac:dyDescent="0.1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" customHeight="1" x14ac:dyDescent="0.1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" customHeight="1" x14ac:dyDescent="0.1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" customHeight="1" x14ac:dyDescent="0.1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" customHeight="1" x14ac:dyDescent="0.1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" customHeight="1" x14ac:dyDescent="0.1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" customHeight="1" x14ac:dyDescent="0.1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" customHeight="1" x14ac:dyDescent="0.1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" customHeight="1" x14ac:dyDescent="0.1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" customHeight="1" x14ac:dyDescent="0.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" customHeight="1" x14ac:dyDescent="0.1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" customHeight="1" x14ac:dyDescent="0.1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" customHeight="1" x14ac:dyDescent="0.1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" customHeight="1" x14ac:dyDescent="0.1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" customHeight="1" x14ac:dyDescent="0.1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" customHeight="1" x14ac:dyDescent="0.1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" customHeight="1" x14ac:dyDescent="0.1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" customHeight="1" x14ac:dyDescent="0.1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" customHeight="1" x14ac:dyDescent="0.1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" customHeight="1" x14ac:dyDescent="0.1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" customHeight="1" x14ac:dyDescent="0.1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" customHeight="1" x14ac:dyDescent="0.1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" customHeight="1" x14ac:dyDescent="0.1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" customHeight="1" x14ac:dyDescent="0.1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" customHeight="1" x14ac:dyDescent="0.1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" customHeight="1" x14ac:dyDescent="0.1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" customHeight="1" x14ac:dyDescent="0.1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" customHeight="1" x14ac:dyDescent="0.1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" customHeight="1" x14ac:dyDescent="0.1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" customHeight="1" x14ac:dyDescent="0.1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" customHeight="1" x14ac:dyDescent="0.1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" customHeight="1" x14ac:dyDescent="0.1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" customHeight="1" x14ac:dyDescent="0.1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" customHeight="1" x14ac:dyDescent="0.1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" customHeight="1" x14ac:dyDescent="0.1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" customHeight="1" x14ac:dyDescent="0.1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" customHeight="1" x14ac:dyDescent="0.1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" customHeight="1" x14ac:dyDescent="0.1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" customHeight="1" x14ac:dyDescent="0.1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" customHeight="1" x14ac:dyDescent="0.1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" customHeight="1" x14ac:dyDescent="0.1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" customHeight="1" x14ac:dyDescent="0.1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" customHeight="1" x14ac:dyDescent="0.1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" customHeight="1" x14ac:dyDescent="0.1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" customHeight="1" x14ac:dyDescent="0.1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" customHeight="1" x14ac:dyDescent="0.1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" customHeight="1" x14ac:dyDescent="0.1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" customHeight="1" x14ac:dyDescent="0.1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" customHeight="1" x14ac:dyDescent="0.1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" customHeight="1" x14ac:dyDescent="0.1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" customHeight="1" x14ac:dyDescent="0.1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" customHeight="1" x14ac:dyDescent="0.1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" customHeight="1" x14ac:dyDescent="0.1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" customHeight="1" x14ac:dyDescent="0.1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" customHeight="1" x14ac:dyDescent="0.1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" customHeight="1" x14ac:dyDescent="0.1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" customHeight="1" x14ac:dyDescent="0.1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" customHeight="1" x14ac:dyDescent="0.1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" customHeight="1" x14ac:dyDescent="0.1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" customHeight="1" x14ac:dyDescent="0.1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" customHeight="1" x14ac:dyDescent="0.1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" customHeight="1" x14ac:dyDescent="0.1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" customHeight="1" x14ac:dyDescent="0.1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" customHeight="1" x14ac:dyDescent="0.1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" customHeight="1" x14ac:dyDescent="0.1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" customHeight="1" x14ac:dyDescent="0.1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" customHeight="1" x14ac:dyDescent="0.1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" customHeight="1" x14ac:dyDescent="0.1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" customHeight="1" x14ac:dyDescent="0.1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" customHeight="1" x14ac:dyDescent="0.1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" customHeight="1" x14ac:dyDescent="0.1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" customHeight="1" x14ac:dyDescent="0.1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" customHeight="1" x14ac:dyDescent="0.1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" customHeight="1" x14ac:dyDescent="0.1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" customHeight="1" x14ac:dyDescent="0.1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" customHeight="1" x14ac:dyDescent="0.1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" customHeight="1" x14ac:dyDescent="0.1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" customHeight="1" x14ac:dyDescent="0.1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" customHeight="1" x14ac:dyDescent="0.1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" customHeight="1" x14ac:dyDescent="0.1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" customHeight="1" x14ac:dyDescent="0.1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" customHeight="1" x14ac:dyDescent="0.1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" customHeight="1" x14ac:dyDescent="0.1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" customHeight="1" x14ac:dyDescent="0.1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" customHeight="1" x14ac:dyDescent="0.1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" customHeight="1" x14ac:dyDescent="0.1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" customHeight="1" x14ac:dyDescent="0.1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" customHeight="1" x14ac:dyDescent="0.1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" customHeight="1" x14ac:dyDescent="0.1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" customHeight="1" x14ac:dyDescent="0.1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" customHeight="1" x14ac:dyDescent="0.1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" customHeight="1" x14ac:dyDescent="0.1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" customHeight="1" x14ac:dyDescent="0.1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" customHeight="1" x14ac:dyDescent="0.1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" customHeight="1" x14ac:dyDescent="0.1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pane xSplit="2" ySplit="2" topLeftCell="C68" activePane="bottomRight" state="frozen"/>
      <selection pane="topRight" activeCell="C1" sqref="C1"/>
      <selection pane="bottomLeft" activeCell="A3" sqref="A3"/>
      <selection pane="bottomRight" activeCell="E96" sqref="E96"/>
    </sheetView>
  </sheetViews>
  <sheetFormatPr baseColWidth="10" defaultColWidth="12.5" defaultRowHeight="15.75" customHeight="1" x14ac:dyDescent="0.15"/>
  <cols>
    <col min="1" max="1" width="2.5" customWidth="1"/>
    <col min="2" max="2" width="35.5" customWidth="1"/>
    <col min="3" max="15" width="9.6640625" customWidth="1"/>
    <col min="16" max="26" width="7.6640625" customWidth="1"/>
  </cols>
  <sheetData>
    <row r="1" spans="1:26" ht="12.75" customHeight="1" x14ac:dyDescent="0.15">
      <c r="A1" s="27"/>
      <c r="B1" s="28" t="s">
        <v>33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7"/>
      <c r="N1" s="27"/>
      <c r="O1" s="48" t="s">
        <v>34</v>
      </c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2.75" customHeight="1" x14ac:dyDescent="0.15">
      <c r="A2" s="27"/>
      <c r="B2" s="36" t="s">
        <v>35</v>
      </c>
      <c r="C2" s="49">
        <v>2022</v>
      </c>
      <c r="D2" s="49">
        <v>2023</v>
      </c>
      <c r="E2" s="49">
        <v>2024</v>
      </c>
      <c r="F2" s="49" t="s">
        <v>36</v>
      </c>
      <c r="G2" s="49" t="s">
        <v>37</v>
      </c>
      <c r="H2" s="49" t="s">
        <v>38</v>
      </c>
      <c r="I2" s="49" t="s">
        <v>39</v>
      </c>
      <c r="J2" s="49" t="s">
        <v>40</v>
      </c>
      <c r="K2" s="49" t="s">
        <v>41</v>
      </c>
      <c r="L2" s="49" t="s">
        <v>42</v>
      </c>
      <c r="M2" s="27"/>
      <c r="N2" s="27"/>
      <c r="O2" s="50">
        <v>1</v>
      </c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2.75" customHeight="1" x14ac:dyDescent="0.15">
      <c r="A3" s="27"/>
      <c r="B3" s="51" t="s">
        <v>43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2.75" customHeight="1" x14ac:dyDescent="0.15">
      <c r="A4" s="34"/>
      <c r="B4" s="53" t="s">
        <v>44</v>
      </c>
      <c r="C4" s="54">
        <v>496.6</v>
      </c>
      <c r="D4" s="54">
        <v>547.9</v>
      </c>
      <c r="E4" s="54">
        <v>556.1</v>
      </c>
      <c r="F4" s="55">
        <f t="shared" ref="F4:L4" si="0">F83</f>
        <v>636.60905013599995</v>
      </c>
      <c r="G4" s="55">
        <f t="shared" si="0"/>
        <v>675.12389766922797</v>
      </c>
      <c r="H4" s="55">
        <f t="shared" si="0"/>
        <v>733.69089579203353</v>
      </c>
      <c r="I4" s="55">
        <f t="shared" si="0"/>
        <v>797.33858100199245</v>
      </c>
      <c r="J4" s="55">
        <f t="shared" si="0"/>
        <v>866.50770290391517</v>
      </c>
      <c r="K4" s="55">
        <f t="shared" si="0"/>
        <v>941.67724613082976</v>
      </c>
      <c r="L4" s="55">
        <f t="shared" si="0"/>
        <v>1023.3677472326792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2.75" customHeight="1" x14ac:dyDescent="0.15">
      <c r="A5" s="34"/>
      <c r="B5" s="53" t="s">
        <v>45</v>
      </c>
      <c r="C5" s="54">
        <v>609.5</v>
      </c>
      <c r="D5" s="54">
        <v>653.9</v>
      </c>
      <c r="E5" s="54">
        <v>655.5</v>
      </c>
      <c r="F5" s="55">
        <f t="shared" ref="F5:L5" si="1">F90</f>
        <v>812.00992236000002</v>
      </c>
      <c r="G5" s="55">
        <f t="shared" si="1"/>
        <v>844.73392223110818</v>
      </c>
      <c r="H5" s="55">
        <f t="shared" si="1"/>
        <v>887.47745869600237</v>
      </c>
      <c r="I5" s="55">
        <f t="shared" si="1"/>
        <v>932.38381810602004</v>
      </c>
      <c r="J5" s="55">
        <f t="shared" si="1"/>
        <v>979.56243930218477</v>
      </c>
      <c r="K5" s="55">
        <f t="shared" si="1"/>
        <v>1029.1282987308755</v>
      </c>
      <c r="L5" s="55">
        <f t="shared" si="1"/>
        <v>1081.2021906466578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2.75" customHeight="1" x14ac:dyDescent="0.15">
      <c r="A6" s="34"/>
      <c r="B6" s="53" t="s">
        <v>46</v>
      </c>
      <c r="C6" s="54">
        <v>427.5</v>
      </c>
      <c r="D6" s="54">
        <v>452.4</v>
      </c>
      <c r="E6" s="54">
        <v>441.5</v>
      </c>
      <c r="F6" s="55">
        <f t="shared" ref="F6:L6" si="2">F97</f>
        <v>459.35948879999995</v>
      </c>
      <c r="G6" s="55">
        <f t="shared" si="2"/>
        <v>477.91761214752</v>
      </c>
      <c r="H6" s="55">
        <f t="shared" si="2"/>
        <v>497.22548367827983</v>
      </c>
      <c r="I6" s="55">
        <f t="shared" si="2"/>
        <v>517.31339321888231</v>
      </c>
      <c r="J6" s="55">
        <f t="shared" si="2"/>
        <v>538.21285430492514</v>
      </c>
      <c r="K6" s="55">
        <f t="shared" si="2"/>
        <v>559.95665361884426</v>
      </c>
      <c r="L6" s="55">
        <f t="shared" si="2"/>
        <v>582.5789024250455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2.75" customHeight="1" x14ac:dyDescent="0.15">
      <c r="A7" s="34"/>
      <c r="B7" s="53" t="s">
        <v>47</v>
      </c>
      <c r="C7" s="54">
        <v>207.5</v>
      </c>
      <c r="D7" s="54">
        <v>253.2</v>
      </c>
      <c r="E7" s="54">
        <v>238.9</v>
      </c>
      <c r="F7" s="56">
        <f t="shared" ref="F7:L7" si="3">E7*(1+F18)</f>
        <v>248.45600000000002</v>
      </c>
      <c r="G7" s="56">
        <f t="shared" si="3"/>
        <v>258.39424000000002</v>
      </c>
      <c r="H7" s="56">
        <f t="shared" si="3"/>
        <v>268.73000960000002</v>
      </c>
      <c r="I7" s="56">
        <f t="shared" si="3"/>
        <v>279.47920998400002</v>
      </c>
      <c r="J7" s="56">
        <f t="shared" si="3"/>
        <v>290.65837838336006</v>
      </c>
      <c r="K7" s="56">
        <f t="shared" si="3"/>
        <v>302.28471351869445</v>
      </c>
      <c r="L7" s="56">
        <f t="shared" si="3"/>
        <v>314.37610205944225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2.75" customHeight="1" x14ac:dyDescent="0.15">
      <c r="A8" s="34"/>
      <c r="B8" s="53" t="s">
        <v>48</v>
      </c>
      <c r="C8" s="54">
        <v>199.8</v>
      </c>
      <c r="D8" s="54">
        <v>249</v>
      </c>
      <c r="E8" s="54">
        <v>265.8</v>
      </c>
      <c r="F8" s="56">
        <f t="shared" ref="F8:L8" si="4">E8*(1+F19)</f>
        <v>281.74800000000005</v>
      </c>
      <c r="G8" s="56">
        <f t="shared" si="4"/>
        <v>298.65288000000004</v>
      </c>
      <c r="H8" s="56">
        <f t="shared" si="4"/>
        <v>316.57205280000005</v>
      </c>
      <c r="I8" s="56">
        <f t="shared" si="4"/>
        <v>335.56637596800005</v>
      </c>
      <c r="J8" s="56">
        <f t="shared" si="4"/>
        <v>355.70035852608004</v>
      </c>
      <c r="K8" s="56">
        <f t="shared" si="4"/>
        <v>377.04238003764488</v>
      </c>
      <c r="L8" s="56">
        <f t="shared" si="4"/>
        <v>399.66492283990357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2.75" customHeight="1" x14ac:dyDescent="0.15">
      <c r="A9" s="34"/>
      <c r="B9" s="57" t="s">
        <v>49</v>
      </c>
      <c r="C9" s="58">
        <v>-593.9</v>
      </c>
      <c r="D9" s="58">
        <v>-633.4</v>
      </c>
      <c r="E9" s="58">
        <v>-617</v>
      </c>
      <c r="F9" s="59">
        <f t="shared" ref="F9:L9" si="5">E9/SUM(E4:E8)*SUM(F4:F8)</f>
        <v>-697.17238790417639</v>
      </c>
      <c r="G9" s="59">
        <f t="shared" si="5"/>
        <v>-730.52438345237147</v>
      </c>
      <c r="H9" s="59">
        <f t="shared" si="5"/>
        <v>-773.09313682890752</v>
      </c>
      <c r="I9" s="59">
        <f t="shared" si="5"/>
        <v>-818.38178255541663</v>
      </c>
      <c r="J9" s="59">
        <f t="shared" si="5"/>
        <v>-866.5798264530664</v>
      </c>
      <c r="K9" s="59">
        <f t="shared" si="5"/>
        <v>-917.89095059169517</v>
      </c>
      <c r="L9" s="59">
        <f t="shared" si="5"/>
        <v>-972.53413051751784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2.75" customHeight="1" x14ac:dyDescent="0.15">
      <c r="A10" s="34"/>
      <c r="B10" s="51" t="s">
        <v>50</v>
      </c>
      <c r="C10" s="60">
        <f t="shared" ref="C10:L10" si="6">SUM(C4:C9)</f>
        <v>1347</v>
      </c>
      <c r="D10" s="60">
        <f t="shared" si="6"/>
        <v>1522.9999999999995</v>
      </c>
      <c r="E10" s="60">
        <f t="shared" si="6"/>
        <v>1540.8000000000002</v>
      </c>
      <c r="F10" s="60">
        <f t="shared" si="6"/>
        <v>1741.0100733918234</v>
      </c>
      <c r="G10" s="60">
        <f t="shared" si="6"/>
        <v>1824.2981685954849</v>
      </c>
      <c r="H10" s="60">
        <f t="shared" si="6"/>
        <v>1930.6027637374082</v>
      </c>
      <c r="I10" s="60">
        <f t="shared" si="6"/>
        <v>2043.6995957234785</v>
      </c>
      <c r="J10" s="60">
        <f t="shared" si="6"/>
        <v>2164.061906967399</v>
      </c>
      <c r="K10" s="60">
        <f t="shared" si="6"/>
        <v>2292.1983414451934</v>
      </c>
      <c r="L10" s="60">
        <f t="shared" si="6"/>
        <v>2428.6557346862101</v>
      </c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2.75" customHeight="1" x14ac:dyDescent="0.15">
      <c r="A11" s="34"/>
      <c r="B11" s="57" t="s">
        <v>51</v>
      </c>
      <c r="C11" s="58">
        <v>1187.7</v>
      </c>
      <c r="D11" s="58">
        <v>1307.3</v>
      </c>
      <c r="E11" s="58">
        <v>1358.2</v>
      </c>
      <c r="F11" s="59">
        <f t="shared" ref="F11:L11" si="7">E11*(1+F21)</f>
        <v>1480.4380000000001</v>
      </c>
      <c r="G11" s="59">
        <f t="shared" si="7"/>
        <v>1539.6555200000003</v>
      </c>
      <c r="H11" s="59">
        <f t="shared" si="7"/>
        <v>1601.2417408000003</v>
      </c>
      <c r="I11" s="59">
        <f t="shared" si="7"/>
        <v>1665.2914104320005</v>
      </c>
      <c r="J11" s="59">
        <f t="shared" si="7"/>
        <v>1731.9030668492805</v>
      </c>
      <c r="K11" s="59">
        <f t="shared" si="7"/>
        <v>1801.1791895232518</v>
      </c>
      <c r="L11" s="59">
        <f t="shared" si="7"/>
        <v>1873.2263571041819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2.75" customHeight="1" x14ac:dyDescent="0.15">
      <c r="A12" s="34"/>
      <c r="B12" s="51" t="s">
        <v>52</v>
      </c>
      <c r="C12" s="60">
        <f>+C10+C11</f>
        <v>2534.6999999999998</v>
      </c>
      <c r="D12" s="60">
        <f t="shared" ref="D12:L12" si="8">+D10+D11</f>
        <v>2830.2999999999993</v>
      </c>
      <c r="E12" s="60">
        <f t="shared" si="8"/>
        <v>2899</v>
      </c>
      <c r="F12" s="60">
        <f t="shared" si="8"/>
        <v>3221.4480733918235</v>
      </c>
      <c r="G12" s="60">
        <f t="shared" si="8"/>
        <v>3363.9536885954849</v>
      </c>
      <c r="H12" s="60">
        <f t="shared" si="8"/>
        <v>3531.8445045374083</v>
      </c>
      <c r="I12" s="60">
        <f t="shared" si="8"/>
        <v>3708.9910061554792</v>
      </c>
      <c r="J12" s="60">
        <f t="shared" si="8"/>
        <v>3895.9649738166795</v>
      </c>
      <c r="K12" s="60">
        <f t="shared" si="8"/>
        <v>4093.3775309684452</v>
      </c>
      <c r="L12" s="60">
        <f t="shared" si="8"/>
        <v>4301.8820917903922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.75" customHeight="1" x14ac:dyDescent="0.15">
      <c r="A13" s="27"/>
      <c r="B13" s="53"/>
      <c r="C13" s="52"/>
      <c r="D13" s="52"/>
      <c r="E13" s="61"/>
      <c r="F13" s="61"/>
      <c r="G13" s="61"/>
      <c r="H13" s="61"/>
      <c r="I13" s="61"/>
      <c r="J13" s="61"/>
      <c r="K13" s="61"/>
      <c r="L13" s="61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x14ac:dyDescent="0.15">
      <c r="A14" s="27"/>
      <c r="B14" s="51" t="s">
        <v>53</v>
      </c>
      <c r="C14" s="52"/>
      <c r="D14" s="52"/>
      <c r="E14" s="62"/>
      <c r="F14" s="62"/>
      <c r="G14" s="52"/>
      <c r="H14" s="52"/>
      <c r="I14" s="52"/>
      <c r="J14" s="52"/>
      <c r="K14" s="52"/>
      <c r="L14" s="52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15">
      <c r="A15" s="34"/>
      <c r="B15" s="63" t="s">
        <v>44</v>
      </c>
      <c r="C15" s="64"/>
      <c r="D15" s="65">
        <f t="shared" ref="D15:L15" si="9">D4/C4-1</f>
        <v>0.10330245670559801</v>
      </c>
      <c r="E15" s="65">
        <f t="shared" si="9"/>
        <v>1.496623471436398E-2</v>
      </c>
      <c r="F15" s="65">
        <f t="shared" si="9"/>
        <v>0.14477441132170465</v>
      </c>
      <c r="G15" s="65">
        <f t="shared" si="9"/>
        <v>6.0499999999999998E-2</v>
      </c>
      <c r="H15" s="65">
        <f t="shared" si="9"/>
        <v>8.6750000000000105E-2</v>
      </c>
      <c r="I15" s="65">
        <f t="shared" si="9"/>
        <v>8.6750000000000105E-2</v>
      </c>
      <c r="J15" s="65">
        <f t="shared" si="9"/>
        <v>8.6749999999999883E-2</v>
      </c>
      <c r="K15" s="65">
        <f t="shared" si="9"/>
        <v>8.6749999999999883E-2</v>
      </c>
      <c r="L15" s="65">
        <f t="shared" si="9"/>
        <v>8.6749999999999883E-2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15">
      <c r="A16" s="34"/>
      <c r="B16" s="63" t="s">
        <v>45</v>
      </c>
      <c r="C16" s="64"/>
      <c r="D16" s="65">
        <f t="shared" ref="D16:L16" si="10">D5/C5-1</f>
        <v>7.2846595570139394E-2</v>
      </c>
      <c r="E16" s="65">
        <f t="shared" si="10"/>
        <v>2.4468573176326114E-3</v>
      </c>
      <c r="F16" s="65">
        <f t="shared" si="10"/>
        <v>0.23876418361556073</v>
      </c>
      <c r="G16" s="65">
        <f t="shared" si="10"/>
        <v>4.0300000000000225E-2</v>
      </c>
      <c r="H16" s="65">
        <f t="shared" si="10"/>
        <v>5.06000000000002E-2</v>
      </c>
      <c r="I16" s="65">
        <f t="shared" si="10"/>
        <v>5.0599999999999978E-2</v>
      </c>
      <c r="J16" s="65">
        <f t="shared" si="10"/>
        <v>5.06000000000002E-2</v>
      </c>
      <c r="K16" s="65">
        <f t="shared" si="10"/>
        <v>5.06000000000002E-2</v>
      </c>
      <c r="L16" s="65">
        <f t="shared" si="10"/>
        <v>5.0599999999999978E-2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x14ac:dyDescent="0.15">
      <c r="A17" s="34"/>
      <c r="B17" s="63" t="s">
        <v>46</v>
      </c>
      <c r="C17" s="64"/>
      <c r="D17" s="65">
        <f t="shared" ref="D17:L17" si="11">D6/C6-1</f>
        <v>5.8245614035087767E-2</v>
      </c>
      <c r="E17" s="65">
        <f t="shared" si="11"/>
        <v>-2.4093722369584403E-2</v>
      </c>
      <c r="F17" s="65">
        <f t="shared" si="11"/>
        <v>4.0451843261608111E-2</v>
      </c>
      <c r="G17" s="65">
        <f t="shared" si="11"/>
        <v>4.0400000000000214E-2</v>
      </c>
      <c r="H17" s="65">
        <f t="shared" si="11"/>
        <v>4.0399999999999991E-2</v>
      </c>
      <c r="I17" s="65">
        <f t="shared" si="11"/>
        <v>4.0399999999999991E-2</v>
      </c>
      <c r="J17" s="65">
        <f t="shared" si="11"/>
        <v>4.0399999999999991E-2</v>
      </c>
      <c r="K17" s="65">
        <f t="shared" si="11"/>
        <v>4.0400000000000214E-2</v>
      </c>
      <c r="L17" s="65">
        <f t="shared" si="11"/>
        <v>4.0399999999999991E-2</v>
      </c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15">
      <c r="A18" s="34"/>
      <c r="B18" s="63" t="s">
        <v>47</v>
      </c>
      <c r="C18" s="64"/>
      <c r="D18" s="65">
        <f t="shared" ref="D18:E18" si="12">D7/C7-1</f>
        <v>0.22024096385542169</v>
      </c>
      <c r="E18" s="65">
        <f t="shared" si="12"/>
        <v>-5.6477093206950935E-2</v>
      </c>
      <c r="F18" s="66">
        <v>0.04</v>
      </c>
      <c r="G18" s="66">
        <v>0.04</v>
      </c>
      <c r="H18" s="66">
        <v>0.04</v>
      </c>
      <c r="I18" s="66">
        <v>0.04</v>
      </c>
      <c r="J18" s="66">
        <v>0.04</v>
      </c>
      <c r="K18" s="66">
        <v>0.04</v>
      </c>
      <c r="L18" s="66">
        <v>0.04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15">
      <c r="A19" s="34"/>
      <c r="B19" s="67" t="s">
        <v>48</v>
      </c>
      <c r="C19" s="68"/>
      <c r="D19" s="69">
        <f t="shared" ref="D19:E19" si="13">D8/C8-1</f>
        <v>0.24624624624624625</v>
      </c>
      <c r="E19" s="69">
        <f t="shared" si="13"/>
        <v>6.7469879518072373E-2</v>
      </c>
      <c r="F19" s="66">
        <v>0.06</v>
      </c>
      <c r="G19" s="66">
        <v>0.06</v>
      </c>
      <c r="H19" s="66">
        <v>0.06</v>
      </c>
      <c r="I19" s="66">
        <v>0.06</v>
      </c>
      <c r="J19" s="66">
        <v>0.06</v>
      </c>
      <c r="K19" s="66">
        <v>0.06</v>
      </c>
      <c r="L19" s="66">
        <v>0.06</v>
      </c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15">
      <c r="A20" s="34"/>
      <c r="B20" s="70" t="s">
        <v>54</v>
      </c>
      <c r="C20" s="64"/>
      <c r="D20" s="71">
        <f t="shared" ref="D20:L20" si="14">D10/C10-1</f>
        <v>0.13066072754268721</v>
      </c>
      <c r="E20" s="71">
        <f t="shared" si="14"/>
        <v>1.1687458962574393E-2</v>
      </c>
      <c r="F20" s="71">
        <f t="shared" si="14"/>
        <v>0.12993904036333292</v>
      </c>
      <c r="G20" s="71">
        <f t="shared" si="14"/>
        <v>4.7838950777234768E-2</v>
      </c>
      <c r="H20" s="71">
        <f t="shared" si="14"/>
        <v>5.827150241770318E-2</v>
      </c>
      <c r="I20" s="71">
        <f t="shared" si="14"/>
        <v>5.8581099183308449E-2</v>
      </c>
      <c r="J20" s="71">
        <f t="shared" si="14"/>
        <v>5.8894326492887394E-2</v>
      </c>
      <c r="K20" s="71">
        <f t="shared" si="14"/>
        <v>5.9211076201307833E-2</v>
      </c>
      <c r="L20" s="71">
        <f t="shared" si="14"/>
        <v>5.9531232866603778E-2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15">
      <c r="A21" s="34"/>
      <c r="B21" s="67" t="s">
        <v>51</v>
      </c>
      <c r="C21" s="68"/>
      <c r="D21" s="69">
        <f t="shared" ref="D21:E21" si="15">D11/C11-1</f>
        <v>0.10069882967079224</v>
      </c>
      <c r="E21" s="69">
        <f t="shared" si="15"/>
        <v>3.8935209974757301E-2</v>
      </c>
      <c r="F21" s="66">
        <v>0.09</v>
      </c>
      <c r="G21" s="66">
        <v>0.04</v>
      </c>
      <c r="H21" s="66">
        <v>0.04</v>
      </c>
      <c r="I21" s="66">
        <v>0.04</v>
      </c>
      <c r="J21" s="66">
        <v>0.04</v>
      </c>
      <c r="K21" s="66">
        <v>0.04</v>
      </c>
      <c r="L21" s="66">
        <v>0.04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15">
      <c r="A22" s="34"/>
      <c r="B22" s="70" t="s">
        <v>55</v>
      </c>
      <c r="C22" s="72"/>
      <c r="D22" s="71">
        <f t="shared" ref="D22:L22" si="16">D12/C12-1</f>
        <v>0.11662129640588614</v>
      </c>
      <c r="E22" s="71">
        <f t="shared" si="16"/>
        <v>2.4273045260220005E-2</v>
      </c>
      <c r="F22" s="71">
        <f t="shared" si="16"/>
        <v>0.11122734508169141</v>
      </c>
      <c r="G22" s="71">
        <f t="shared" si="16"/>
        <v>4.4236508538105568E-2</v>
      </c>
      <c r="H22" s="71">
        <f t="shared" si="16"/>
        <v>4.9908777433859797E-2</v>
      </c>
      <c r="I22" s="71">
        <f t="shared" si="16"/>
        <v>5.0156936804689023E-2</v>
      </c>
      <c r="J22" s="71">
        <f t="shared" si="16"/>
        <v>5.0411005944985154E-2</v>
      </c>
      <c r="K22" s="71">
        <f t="shared" si="16"/>
        <v>5.0671029765026576E-2</v>
      </c>
      <c r="L22" s="71">
        <f t="shared" si="16"/>
        <v>5.0937046300886246E-2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15">
      <c r="A23" s="27"/>
      <c r="B23" s="53"/>
      <c r="C23" s="52"/>
      <c r="D23" s="52"/>
      <c r="E23" s="52"/>
      <c r="F23" s="27"/>
      <c r="G23" s="52"/>
      <c r="H23" s="52"/>
      <c r="I23" s="52"/>
      <c r="J23" s="52"/>
      <c r="K23" s="52"/>
      <c r="L23" s="52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15">
      <c r="A24" s="27"/>
      <c r="B24" s="53" t="s">
        <v>56</v>
      </c>
      <c r="C24" s="54">
        <v>1086.2</v>
      </c>
      <c r="D24" s="54">
        <v>1133</v>
      </c>
      <c r="E24" s="54">
        <v>1147.5</v>
      </c>
      <c r="F24" s="56">
        <f t="shared" ref="F24:L24" si="17">F10-F106</f>
        <v>1275.8433733918234</v>
      </c>
      <c r="G24" s="56">
        <f t="shared" si="17"/>
        <v>1319.3391305514847</v>
      </c>
      <c r="H24" s="56">
        <f t="shared" si="17"/>
        <v>1378.1684824449399</v>
      </c>
      <c r="I24" s="56">
        <f t="shared" si="17"/>
        <v>1440.1322559216469</v>
      </c>
      <c r="J24" s="56">
        <f t="shared" si="17"/>
        <v>1505.4237771211824</v>
      </c>
      <c r="K24" s="56">
        <f t="shared" si="17"/>
        <v>1574.2497131428163</v>
      </c>
      <c r="L24" s="56">
        <f t="shared" si="17"/>
        <v>1646.8310695805867</v>
      </c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15">
      <c r="A25" s="27"/>
      <c r="B25" s="57" t="s">
        <v>57</v>
      </c>
      <c r="C25" s="58">
        <v>1087.5999999999999</v>
      </c>
      <c r="D25" s="58">
        <v>1158.4000000000001</v>
      </c>
      <c r="E25" s="58">
        <v>1181.7</v>
      </c>
      <c r="F25" s="59">
        <f t="shared" ref="F25:L25" si="18">F11-F107</f>
        <v>1287.9810600000001</v>
      </c>
      <c r="G25" s="59">
        <f t="shared" si="18"/>
        <v>1336.4209913600002</v>
      </c>
      <c r="H25" s="59">
        <f t="shared" si="18"/>
        <v>1386.6753475328003</v>
      </c>
      <c r="I25" s="59">
        <f t="shared" si="18"/>
        <v>1438.8117786132484</v>
      </c>
      <c r="J25" s="59">
        <f t="shared" si="18"/>
        <v>1492.9004436240798</v>
      </c>
      <c r="K25" s="59">
        <f t="shared" si="18"/>
        <v>1549.0141029899964</v>
      </c>
      <c r="L25" s="59">
        <f t="shared" si="18"/>
        <v>1607.228214395388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15">
      <c r="A26" s="34"/>
      <c r="B26" s="51" t="s">
        <v>58</v>
      </c>
      <c r="C26" s="60">
        <f t="shared" ref="C26:E26" si="19">SUM(C24:C25)</f>
        <v>2173.8000000000002</v>
      </c>
      <c r="D26" s="60">
        <f t="shared" si="19"/>
        <v>2291.4</v>
      </c>
      <c r="E26" s="60">
        <f t="shared" si="19"/>
        <v>2329.1999999999998</v>
      </c>
      <c r="F26" s="60">
        <f t="shared" ref="F26:L26" si="20">F12-F28</f>
        <v>2563.8244333918237</v>
      </c>
      <c r="G26" s="60">
        <f t="shared" si="20"/>
        <v>2655.7601219114849</v>
      </c>
      <c r="H26" s="60">
        <f t="shared" si="20"/>
        <v>2764.8438299777399</v>
      </c>
      <c r="I26" s="60">
        <f t="shared" si="20"/>
        <v>2878.9440345348953</v>
      </c>
      <c r="J26" s="60">
        <f t="shared" si="20"/>
        <v>2998.3242207452622</v>
      </c>
      <c r="K26" s="60">
        <f t="shared" si="20"/>
        <v>3123.2638161328127</v>
      </c>
      <c r="L26" s="60">
        <f t="shared" si="20"/>
        <v>3254.0592839759747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15">
      <c r="A27" s="27"/>
      <c r="B27" s="5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15">
      <c r="A28" s="34"/>
      <c r="B28" s="51" t="s">
        <v>59</v>
      </c>
      <c r="C28" s="60">
        <f t="shared" ref="C28:E28" si="21">C12-C26</f>
        <v>360.89999999999964</v>
      </c>
      <c r="D28" s="60">
        <f t="shared" si="21"/>
        <v>538.89999999999918</v>
      </c>
      <c r="E28" s="60">
        <f t="shared" si="21"/>
        <v>569.80000000000018</v>
      </c>
      <c r="F28" s="60">
        <f t="shared" ref="F28:L28" si="22">F108</f>
        <v>657.62364000000002</v>
      </c>
      <c r="G28" s="60">
        <f t="shared" si="22"/>
        <v>708.19356668400007</v>
      </c>
      <c r="H28" s="60">
        <f t="shared" si="22"/>
        <v>767.00067455966848</v>
      </c>
      <c r="I28" s="60">
        <f t="shared" si="22"/>
        <v>830.0469716205838</v>
      </c>
      <c r="J28" s="60">
        <f t="shared" si="22"/>
        <v>897.64075307141729</v>
      </c>
      <c r="K28" s="60">
        <f t="shared" si="22"/>
        <v>970.11371483563232</v>
      </c>
      <c r="L28" s="60">
        <f t="shared" si="22"/>
        <v>1047.8228078144173</v>
      </c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15">
      <c r="A29" s="34"/>
      <c r="B29" s="74" t="s">
        <v>60</v>
      </c>
      <c r="C29" s="75"/>
      <c r="D29" s="76">
        <f t="shared" ref="D29:L29" si="23">D28/C28-1</f>
        <v>0.49321141590468187</v>
      </c>
      <c r="E29" s="76">
        <f t="shared" si="23"/>
        <v>5.7339023937652778E-2</v>
      </c>
      <c r="F29" s="76">
        <f t="shared" si="23"/>
        <v>0.15413064233064211</v>
      </c>
      <c r="G29" s="76">
        <f t="shared" si="23"/>
        <v>7.6897975693209553E-2</v>
      </c>
      <c r="H29" s="76">
        <f t="shared" si="23"/>
        <v>8.3038184250985303E-2</v>
      </c>
      <c r="I29" s="76">
        <f t="shared" si="23"/>
        <v>8.219848971724808E-2</v>
      </c>
      <c r="J29" s="76">
        <f t="shared" si="23"/>
        <v>8.1433682384098649E-2</v>
      </c>
      <c r="K29" s="76">
        <f t="shared" si="23"/>
        <v>8.073715628021283E-2</v>
      </c>
      <c r="L29" s="76">
        <f t="shared" si="23"/>
        <v>8.0103076361466963E-2</v>
      </c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15">
      <c r="A30" s="34"/>
      <c r="B30" s="51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.75" customHeight="1" x14ac:dyDescent="0.15">
      <c r="A31" s="78"/>
      <c r="B31" s="34" t="s">
        <v>61</v>
      </c>
      <c r="C31" s="79">
        <f t="shared" ref="C31:L31" si="24">C28/C12</f>
        <v>0.14238371404899974</v>
      </c>
      <c r="D31" s="79">
        <f t="shared" si="24"/>
        <v>0.19040384411546454</v>
      </c>
      <c r="E31" s="79">
        <f t="shared" si="24"/>
        <v>0.19655053466712666</v>
      </c>
      <c r="F31" s="79">
        <f t="shared" si="24"/>
        <v>0.20413914023068391</v>
      </c>
      <c r="G31" s="79">
        <f t="shared" si="24"/>
        <v>0.21052417251905881</v>
      </c>
      <c r="H31" s="79">
        <f t="shared" si="24"/>
        <v>0.21716716961188193</v>
      </c>
      <c r="I31" s="79">
        <f t="shared" si="24"/>
        <v>0.22379320150494553</v>
      </c>
      <c r="J31" s="79">
        <f t="shared" si="24"/>
        <v>0.23040267535876846</v>
      </c>
      <c r="K31" s="79">
        <f t="shared" si="24"/>
        <v>0.23699590558071851</v>
      </c>
      <c r="L31" s="79">
        <f t="shared" si="24"/>
        <v>0.24357311182797339</v>
      </c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spans="1:26" ht="12.75" customHeight="1" x14ac:dyDescent="0.15">
      <c r="A32" s="80"/>
      <c r="B32" s="74" t="s">
        <v>60</v>
      </c>
      <c r="C32" s="81"/>
      <c r="D32" s="82">
        <f t="shared" ref="D32:L32" si="25">(ROUND(D31,3)-ROUND(C31,3))*10000</f>
        <v>480.00000000000017</v>
      </c>
      <c r="E32" s="82">
        <f t="shared" si="25"/>
        <v>70.000000000000057</v>
      </c>
      <c r="F32" s="82">
        <f t="shared" si="25"/>
        <v>69.999999999999787</v>
      </c>
      <c r="G32" s="82">
        <f t="shared" si="25"/>
        <v>70.000000000000057</v>
      </c>
      <c r="H32" s="82">
        <f t="shared" si="25"/>
        <v>60.000000000000057</v>
      </c>
      <c r="I32" s="82">
        <f t="shared" si="25"/>
        <v>70.000000000000057</v>
      </c>
      <c r="J32" s="82">
        <f t="shared" si="25"/>
        <v>60.000000000000057</v>
      </c>
      <c r="K32" s="82">
        <f t="shared" si="25"/>
        <v>69.999999999999787</v>
      </c>
      <c r="L32" s="82">
        <f t="shared" si="25"/>
        <v>70.000000000000057</v>
      </c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spans="1:26" ht="12.75" customHeight="1" x14ac:dyDescent="0.15">
      <c r="A33" s="27"/>
      <c r="B33" s="53"/>
      <c r="C33" s="52"/>
      <c r="D33" s="52"/>
      <c r="E33" s="52"/>
      <c r="F33" s="55"/>
      <c r="G33" s="52"/>
      <c r="H33" s="52"/>
      <c r="I33" s="52"/>
      <c r="J33" s="52"/>
      <c r="K33" s="52"/>
      <c r="L33" s="52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15">
      <c r="A34" s="27"/>
      <c r="B34" s="53" t="s">
        <v>62</v>
      </c>
      <c r="C34" s="83">
        <v>166.6</v>
      </c>
      <c r="D34" s="83">
        <v>242.5</v>
      </c>
      <c r="E34" s="83">
        <v>253.6</v>
      </c>
      <c r="F34" s="84">
        <f t="shared" ref="F34:L34" si="26">F12*F35</f>
        <v>289.9303266052641</v>
      </c>
      <c r="G34" s="84">
        <f t="shared" si="26"/>
        <v>302.75583197359362</v>
      </c>
      <c r="H34" s="84">
        <f t="shared" si="26"/>
        <v>317.86600540836673</v>
      </c>
      <c r="I34" s="84">
        <f t="shared" si="26"/>
        <v>333.80919055399312</v>
      </c>
      <c r="J34" s="84">
        <f t="shared" si="26"/>
        <v>350.63684764350114</v>
      </c>
      <c r="K34" s="84">
        <f t="shared" si="26"/>
        <v>368.40397778716004</v>
      </c>
      <c r="L34" s="84">
        <f t="shared" si="26"/>
        <v>387.16938826113528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15">
      <c r="A35" s="80"/>
      <c r="B35" s="74" t="s">
        <v>63</v>
      </c>
      <c r="C35" s="65">
        <f t="shared" ref="C35:E35" si="27">C34/C12</f>
        <v>6.5727699530516437E-2</v>
      </c>
      <c r="D35" s="65">
        <f t="shared" si="27"/>
        <v>8.5679963254778668E-2</v>
      </c>
      <c r="E35" s="65">
        <f t="shared" si="27"/>
        <v>8.7478440841669544E-2</v>
      </c>
      <c r="F35" s="66">
        <v>0.09</v>
      </c>
      <c r="G35" s="66">
        <v>0.09</v>
      </c>
      <c r="H35" s="66">
        <v>0.09</v>
      </c>
      <c r="I35" s="66">
        <v>0.09</v>
      </c>
      <c r="J35" s="66">
        <v>0.09</v>
      </c>
      <c r="K35" s="66">
        <v>0.09</v>
      </c>
      <c r="L35" s="66">
        <v>0.09</v>
      </c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spans="1:26" ht="12.75" customHeight="1" x14ac:dyDescent="0.15">
      <c r="A36" s="80"/>
      <c r="B36" s="74"/>
      <c r="C36" s="65"/>
      <c r="D36" s="65"/>
      <c r="E36" s="65"/>
      <c r="F36" s="65"/>
      <c r="G36" s="65"/>
      <c r="H36" s="85"/>
      <c r="I36" s="85"/>
      <c r="J36" s="85"/>
      <c r="K36" s="85"/>
      <c r="L36" s="85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spans="1:26" ht="12.75" customHeight="1" x14ac:dyDescent="0.15">
      <c r="A37" s="34"/>
      <c r="B37" s="51" t="s">
        <v>64</v>
      </c>
      <c r="C37" s="86">
        <f t="shared" ref="C37:L37" si="28">C28-C34</f>
        <v>194.29999999999964</v>
      </c>
      <c r="D37" s="86">
        <f t="shared" si="28"/>
        <v>296.39999999999918</v>
      </c>
      <c r="E37" s="86">
        <f t="shared" si="28"/>
        <v>316.20000000000016</v>
      </c>
      <c r="F37" s="86">
        <f t="shared" si="28"/>
        <v>367.69331339473592</v>
      </c>
      <c r="G37" s="86">
        <f t="shared" si="28"/>
        <v>405.43773471040646</v>
      </c>
      <c r="H37" s="86">
        <f t="shared" si="28"/>
        <v>449.13466915130175</v>
      </c>
      <c r="I37" s="86">
        <f t="shared" si="28"/>
        <v>496.23778106659068</v>
      </c>
      <c r="J37" s="86">
        <f t="shared" si="28"/>
        <v>547.00390542791615</v>
      </c>
      <c r="K37" s="86">
        <f t="shared" si="28"/>
        <v>601.70973704847233</v>
      </c>
      <c r="L37" s="86">
        <f t="shared" si="28"/>
        <v>660.65341955328199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 x14ac:dyDescent="0.15">
      <c r="A38" s="34"/>
      <c r="B38" s="87" t="s">
        <v>60</v>
      </c>
      <c r="C38" s="75"/>
      <c r="D38" s="88">
        <f t="shared" ref="D38:L38" si="29">D37/C37-1</f>
        <v>0.52547606793617985</v>
      </c>
      <c r="E38" s="88">
        <f t="shared" si="29"/>
        <v>6.6801619433201953E-2</v>
      </c>
      <c r="F38" s="88">
        <f t="shared" si="29"/>
        <v>0.16285045349378802</v>
      </c>
      <c r="G38" s="88">
        <f t="shared" si="29"/>
        <v>0.10265191109186733</v>
      </c>
      <c r="H38" s="88">
        <f t="shared" si="29"/>
        <v>0.10777717686319166</v>
      </c>
      <c r="I38" s="88">
        <f t="shared" si="29"/>
        <v>0.10487525268155395</v>
      </c>
      <c r="J38" s="88">
        <f t="shared" si="29"/>
        <v>0.10230201386966353</v>
      </c>
      <c r="K38" s="88">
        <f t="shared" si="29"/>
        <v>0.1000099470546929</v>
      </c>
      <c r="L38" s="88">
        <f t="shared" si="29"/>
        <v>9.7960326841214584E-2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 x14ac:dyDescent="0.15">
      <c r="A39" s="34"/>
      <c r="B39" s="51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2.75" customHeight="1" x14ac:dyDescent="0.15">
      <c r="A40" s="80"/>
      <c r="B40" s="34" t="s">
        <v>65</v>
      </c>
      <c r="C40" s="79">
        <f t="shared" ref="C40:L40" si="30">C37/C12</f>
        <v>7.665601451848332E-2</v>
      </c>
      <c r="D40" s="79">
        <f t="shared" si="30"/>
        <v>0.10472388086068589</v>
      </c>
      <c r="E40" s="79">
        <f t="shared" si="30"/>
        <v>0.10907209382545711</v>
      </c>
      <c r="F40" s="79">
        <f t="shared" si="30"/>
        <v>0.11413914023068393</v>
      </c>
      <c r="G40" s="79">
        <f t="shared" si="30"/>
        <v>0.12052417251905881</v>
      </c>
      <c r="H40" s="79">
        <f t="shared" si="30"/>
        <v>0.12716716961188196</v>
      </c>
      <c r="I40" s="79">
        <f t="shared" si="30"/>
        <v>0.13379320150494553</v>
      </c>
      <c r="J40" s="79">
        <f t="shared" si="30"/>
        <v>0.14040267535876846</v>
      </c>
      <c r="K40" s="79">
        <f t="shared" si="30"/>
        <v>0.14699590558071854</v>
      </c>
      <c r="L40" s="79">
        <f t="shared" si="30"/>
        <v>0.1535731118279734</v>
      </c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spans="1:26" ht="12.75" customHeight="1" x14ac:dyDescent="0.15">
      <c r="A41" s="80"/>
      <c r="B41" s="87" t="s">
        <v>60</v>
      </c>
      <c r="C41" s="81"/>
      <c r="D41" s="226">
        <f t="shared" ref="D41:L41" si="31">(ROUND(D40,3)-ROUND(C40,3))*10000</f>
        <v>279.99999999999994</v>
      </c>
      <c r="E41" s="226">
        <f t="shared" si="31"/>
        <v>40.000000000000036</v>
      </c>
      <c r="F41" s="226">
        <f t="shared" si="31"/>
        <v>50.000000000000043</v>
      </c>
      <c r="G41" s="226">
        <f t="shared" si="31"/>
        <v>69.999999999999929</v>
      </c>
      <c r="H41" s="226">
        <f t="shared" si="31"/>
        <v>60.000000000000057</v>
      </c>
      <c r="I41" s="226">
        <f t="shared" si="31"/>
        <v>70.000000000000057</v>
      </c>
      <c r="J41" s="226">
        <f t="shared" si="31"/>
        <v>60.000000000000057</v>
      </c>
      <c r="K41" s="226">
        <f t="shared" si="31"/>
        <v>69.999999999999787</v>
      </c>
      <c r="L41" s="226">
        <f t="shared" si="31"/>
        <v>70.000000000000057</v>
      </c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spans="1:26" ht="12.75" customHeight="1" x14ac:dyDescent="0.15">
      <c r="A42" s="80"/>
      <c r="B42" s="89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spans="1:26" ht="12.75" customHeight="1" x14ac:dyDescent="0.15">
      <c r="A43" s="27"/>
      <c r="B43" s="53" t="s">
        <v>66</v>
      </c>
      <c r="C43" s="83">
        <v>30.1</v>
      </c>
      <c r="D43" s="83">
        <v>58.1</v>
      </c>
      <c r="E43" s="83">
        <v>55.2</v>
      </c>
      <c r="F43" s="84">
        <f ca="1">IF('IS - Gold Solution'!CIRC=1,'Debt - Gold Solution'!F17-'Debt - Gold Solution'!F18,0)</f>
        <v>72.279499847594664</v>
      </c>
      <c r="G43" s="84">
        <f ca="1">IF('IS - Gold Solution'!CIRC=1,'Debt - Gold Solution'!G17-'Debt - Gold Solution'!G18,0)</f>
        <v>72.6628296728923</v>
      </c>
      <c r="H43" s="84">
        <f ca="1">IF('IS - Gold Solution'!CIRC=1,'Debt - Gold Solution'!H17-'Debt - Gold Solution'!H18,0)</f>
        <v>72.240226029767072</v>
      </c>
      <c r="I43" s="84">
        <f ca="1">IF('IS - Gold Solution'!CIRC=1,'Debt - Gold Solution'!I17-'Debt - Gold Solution'!I18,0)</f>
        <v>70.644141024160973</v>
      </c>
      <c r="J43" s="84">
        <f ca="1">IF('IS - Gold Solution'!CIRC=1,'Debt - Gold Solution'!J17-'Debt - Gold Solution'!J18,0)</f>
        <v>67.78083864453528</v>
      </c>
      <c r="K43" s="84">
        <f ca="1">IF('IS - Gold Solution'!CIRC=1,'Debt - Gold Solution'!K17-'Debt - Gold Solution'!K18,0)</f>
        <v>51.366672973395431</v>
      </c>
      <c r="L43" s="84">
        <f ca="1">IF('IS - Gold Solution'!CIRC=1,'Debt - Gold Solution'!L17-'Debt - Gold Solution'!L18,0)</f>
        <v>22.522462412379127</v>
      </c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.75" customHeight="1" x14ac:dyDescent="0.15">
      <c r="A44" s="27"/>
      <c r="B44" s="57" t="s">
        <v>67</v>
      </c>
      <c r="C44" s="91">
        <v>-5.4</v>
      </c>
      <c r="D44" s="91">
        <v>7</v>
      </c>
      <c r="E44" s="91">
        <v>10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.75" customHeight="1" x14ac:dyDescent="0.15">
      <c r="A45" s="27"/>
      <c r="B45" s="51" t="s">
        <v>68</v>
      </c>
      <c r="C45" s="86">
        <f>C37-C43+C44</f>
        <v>158.79999999999964</v>
      </c>
      <c r="D45" s="86">
        <f t="shared" ref="D45:L45" si="32">D37-D43+D44</f>
        <v>245.29999999999919</v>
      </c>
      <c r="E45" s="86">
        <f t="shared" si="32"/>
        <v>271.00000000000017</v>
      </c>
      <c r="F45" s="86">
        <f t="shared" ca="1" si="32"/>
        <v>295.41381354714127</v>
      </c>
      <c r="G45" s="86">
        <f t="shared" ca="1" si="32"/>
        <v>332.77490503751415</v>
      </c>
      <c r="H45" s="86">
        <f t="shared" ca="1" si="32"/>
        <v>376.89444312153466</v>
      </c>
      <c r="I45" s="86">
        <f t="shared" ca="1" si="32"/>
        <v>425.59364004242968</v>
      </c>
      <c r="J45" s="86">
        <f t="shared" ca="1" si="32"/>
        <v>479.22306678338089</v>
      </c>
      <c r="K45" s="86">
        <f t="shared" ca="1" si="32"/>
        <v>550.34306407507688</v>
      </c>
      <c r="L45" s="86">
        <f t="shared" ca="1" si="32"/>
        <v>638.13095714090286</v>
      </c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.75" customHeight="1" x14ac:dyDescent="0.15">
      <c r="A46" s="34"/>
      <c r="B46" s="51"/>
      <c r="C46" s="77"/>
      <c r="D46" s="77"/>
      <c r="E46" s="77"/>
      <c r="F46" s="77"/>
      <c r="G46" s="93"/>
      <c r="H46" s="77"/>
      <c r="I46" s="77"/>
      <c r="J46" s="77"/>
      <c r="K46" s="77"/>
      <c r="L46" s="7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 x14ac:dyDescent="0.15">
      <c r="A47" s="27"/>
      <c r="B47" s="27" t="s">
        <v>69</v>
      </c>
      <c r="C47" s="83">
        <v>42.6</v>
      </c>
      <c r="D47" s="83">
        <v>62.4</v>
      </c>
      <c r="E47" s="83">
        <v>69.3</v>
      </c>
      <c r="F47" s="84">
        <f ca="1">+F45*F48</f>
        <v>73.853453386785318</v>
      </c>
      <c r="G47" s="84">
        <f t="shared" ref="G47:L47" ca="1" si="33">+G45*G48</f>
        <v>83.193726259378536</v>
      </c>
      <c r="H47" s="84">
        <f t="shared" ca="1" si="33"/>
        <v>94.223610780383666</v>
      </c>
      <c r="I47" s="84">
        <f t="shared" ca="1" si="33"/>
        <v>106.39841001060742</v>
      </c>
      <c r="J47" s="84">
        <f t="shared" ca="1" si="33"/>
        <v>119.80576669584522</v>
      </c>
      <c r="K47" s="84">
        <f t="shared" ca="1" si="33"/>
        <v>137.58576601876922</v>
      </c>
      <c r="L47" s="84">
        <f t="shared" ca="1" si="33"/>
        <v>159.53273928522572</v>
      </c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 x14ac:dyDescent="0.15">
      <c r="A48" s="80"/>
      <c r="B48" s="36" t="s">
        <v>70</v>
      </c>
      <c r="C48" s="76">
        <f>+C47/C45</f>
        <v>0.268261964735517</v>
      </c>
      <c r="D48" s="76">
        <f t="shared" ref="D48:E48" si="34">+D47/D45</f>
        <v>0.25438238891153775</v>
      </c>
      <c r="E48" s="76">
        <f t="shared" si="34"/>
        <v>0.25571955719557177</v>
      </c>
      <c r="F48" s="66">
        <v>0.25</v>
      </c>
      <c r="G48" s="66">
        <v>0.25</v>
      </c>
      <c r="H48" s="66">
        <v>0.25</v>
      </c>
      <c r="I48" s="66">
        <v>0.25</v>
      </c>
      <c r="J48" s="66">
        <v>0.25</v>
      </c>
      <c r="K48" s="66">
        <v>0.25</v>
      </c>
      <c r="L48" s="66">
        <v>0.25</v>
      </c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spans="1:26" ht="12.75" customHeight="1" x14ac:dyDescent="0.15">
      <c r="A49" s="80"/>
      <c r="B49" s="89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spans="1:26" ht="12.75" customHeight="1" x14ac:dyDescent="0.15">
      <c r="A50" s="80"/>
      <c r="B50" s="51" t="s">
        <v>71</v>
      </c>
      <c r="C50" s="86">
        <f t="shared" ref="C50:L50" si="35">C45-C47</f>
        <v>116.19999999999965</v>
      </c>
      <c r="D50" s="86">
        <f t="shared" si="35"/>
        <v>182.89999999999918</v>
      </c>
      <c r="E50" s="86">
        <f t="shared" si="35"/>
        <v>201.70000000000016</v>
      </c>
      <c r="F50" s="86">
        <f t="shared" ca="1" si="35"/>
        <v>221.56036016035597</v>
      </c>
      <c r="G50" s="86">
        <f t="shared" ca="1" si="35"/>
        <v>249.58117877813561</v>
      </c>
      <c r="H50" s="86">
        <f t="shared" ca="1" si="35"/>
        <v>282.67083234115103</v>
      </c>
      <c r="I50" s="86">
        <f t="shared" ca="1" si="35"/>
        <v>319.19523003182223</v>
      </c>
      <c r="J50" s="86">
        <f t="shared" ca="1" si="35"/>
        <v>359.41730008753564</v>
      </c>
      <c r="K50" s="86">
        <f t="shared" ca="1" si="35"/>
        <v>412.75729805630766</v>
      </c>
      <c r="L50" s="86">
        <f t="shared" ca="1" si="35"/>
        <v>478.59821785567715</v>
      </c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spans="1:26" ht="12.75" customHeight="1" x14ac:dyDescent="0.15">
      <c r="A51" s="78"/>
      <c r="B51" s="51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spans="1:26" ht="12.75" customHeight="1" x14ac:dyDescent="0.15">
      <c r="A52" s="94"/>
      <c r="B52" s="95" t="s">
        <v>72</v>
      </c>
      <c r="C52" s="96">
        <f t="shared" ref="C52:L52" si="36">C$50/C55</f>
        <v>2.0530035335688983</v>
      </c>
      <c r="D52" s="96">
        <f t="shared" si="36"/>
        <v>3.2257495590828777</v>
      </c>
      <c r="E52" s="96">
        <f t="shared" si="36"/>
        <v>3.5510563380281721</v>
      </c>
      <c r="F52" s="96">
        <f t="shared" ca="1" si="36"/>
        <v>4.070929906483344</v>
      </c>
      <c r="G52" s="96">
        <f t="shared" ca="1" si="36"/>
        <v>4.7950274501082735</v>
      </c>
      <c r="H52" s="96">
        <f t="shared" ca="1" si="36"/>
        <v>5.6904042746079728</v>
      </c>
      <c r="I52" s="96">
        <f t="shared" ca="1" si="36"/>
        <v>6.7483135313281659</v>
      </c>
      <c r="J52" s="96">
        <f t="shared" ca="1" si="36"/>
        <v>8.0003850882033536</v>
      </c>
      <c r="K52" s="96">
        <f t="shared" ca="1" si="36"/>
        <v>9.700524043626503</v>
      </c>
      <c r="L52" s="96">
        <f t="shared" ca="1" si="36"/>
        <v>11.912836785455562</v>
      </c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2.75" customHeight="1" x14ac:dyDescent="0.15">
      <c r="A53" s="34"/>
      <c r="B53" s="74" t="s">
        <v>60</v>
      </c>
      <c r="C53" s="98"/>
      <c r="D53" s="76">
        <f t="shared" ref="D53:L53" si="37">D52/C52-1</f>
        <v>0.57123429469958209</v>
      </c>
      <c r="E53" s="76">
        <f t="shared" si="37"/>
        <v>0.10084688007762854</v>
      </c>
      <c r="F53" s="76">
        <f t="shared" ca="1" si="37"/>
        <v>0.14639969602505576</v>
      </c>
      <c r="G53" s="76">
        <f t="shared" ca="1" si="37"/>
        <v>0.17787030488334743</v>
      </c>
      <c r="H53" s="76">
        <f t="shared" ca="1" si="37"/>
        <v>0.18673028127909497</v>
      </c>
      <c r="I53" s="76">
        <f t="shared" ca="1" si="37"/>
        <v>0.18591108920693955</v>
      </c>
      <c r="J53" s="76">
        <f t="shared" ca="1" si="37"/>
        <v>0.18553843876141918</v>
      </c>
      <c r="K53" s="76">
        <f t="shared" ca="1" si="37"/>
        <v>0.21250714017879235</v>
      </c>
      <c r="L53" s="76">
        <f t="shared" ca="1" si="37"/>
        <v>0.22806115750855804</v>
      </c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customHeight="1" x14ac:dyDescent="0.15">
      <c r="A54" s="94"/>
      <c r="B54" s="99"/>
      <c r="C54" s="93"/>
      <c r="D54" s="93"/>
      <c r="E54" s="93"/>
      <c r="F54" s="93"/>
      <c r="G54" s="93"/>
      <c r="H54" s="100"/>
      <c r="I54" s="100"/>
      <c r="J54" s="100"/>
      <c r="K54" s="100"/>
      <c r="L54" s="100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2.75" customHeight="1" x14ac:dyDescent="0.15">
      <c r="A55" s="27"/>
      <c r="B55" s="27" t="s">
        <v>73</v>
      </c>
      <c r="C55" s="83">
        <v>56.6</v>
      </c>
      <c r="D55" s="83">
        <v>56.7</v>
      </c>
      <c r="E55" s="83">
        <v>56.8</v>
      </c>
      <c r="F55" s="84">
        <f t="shared" ref="F55:L55" si="38">E55-F57</f>
        <v>54.424999999999997</v>
      </c>
      <c r="G55" s="84">
        <f t="shared" si="38"/>
        <v>52.05</v>
      </c>
      <c r="H55" s="84">
        <f t="shared" si="38"/>
        <v>49.674999999999997</v>
      </c>
      <c r="I55" s="84">
        <f t="shared" si="38"/>
        <v>47.3</v>
      </c>
      <c r="J55" s="84">
        <f t="shared" si="38"/>
        <v>44.924999999999997</v>
      </c>
      <c r="K55" s="84">
        <f t="shared" si="38"/>
        <v>42.55</v>
      </c>
      <c r="L55" s="84">
        <f t="shared" si="38"/>
        <v>40.174999999999997</v>
      </c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customHeight="1" x14ac:dyDescent="0.15">
      <c r="A56" s="27"/>
      <c r="B56" s="36" t="s">
        <v>21</v>
      </c>
      <c r="C56" s="83"/>
      <c r="D56" s="83"/>
      <c r="E56" s="83"/>
      <c r="F56" s="101">
        <v>80</v>
      </c>
      <c r="G56" s="102">
        <f t="shared" ref="G56:L56" si="39">F56</f>
        <v>80</v>
      </c>
      <c r="H56" s="102">
        <f t="shared" si="39"/>
        <v>80</v>
      </c>
      <c r="I56" s="102">
        <f t="shared" si="39"/>
        <v>80</v>
      </c>
      <c r="J56" s="102">
        <f t="shared" si="39"/>
        <v>80</v>
      </c>
      <c r="K56" s="102">
        <f t="shared" si="39"/>
        <v>80</v>
      </c>
      <c r="L56" s="102">
        <f t="shared" si="39"/>
        <v>80</v>
      </c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customHeight="1" x14ac:dyDescent="0.15">
      <c r="A57" s="27"/>
      <c r="B57" s="27" t="s">
        <v>74</v>
      </c>
      <c r="C57" s="83"/>
      <c r="D57" s="83"/>
      <c r="E57" s="83"/>
      <c r="F57" s="84">
        <f>-('CFS - Gold Solution'!F32+'CFS - Gold Solution'!F9)/F56</f>
        <v>2.375</v>
      </c>
      <c r="G57" s="84">
        <f>-('CFS - Gold Solution'!G32+'CFS - Gold Solution'!G9)/G56</f>
        <v>2.375</v>
      </c>
      <c r="H57" s="84">
        <f>-('CFS - Gold Solution'!H32+'CFS - Gold Solution'!H9)/H56</f>
        <v>2.375</v>
      </c>
      <c r="I57" s="84">
        <f>-('CFS - Gold Solution'!I32+'CFS - Gold Solution'!I9)/I56</f>
        <v>2.375</v>
      </c>
      <c r="J57" s="84">
        <f>-('CFS - Gold Solution'!J32+'CFS - Gold Solution'!J9)/J56</f>
        <v>2.375</v>
      </c>
      <c r="K57" s="84">
        <f>-('CFS - Gold Solution'!K32+'CFS - Gold Solution'!K9)/K56</f>
        <v>2.375</v>
      </c>
      <c r="L57" s="84">
        <f>-('CFS - Gold Solution'!L32+'CFS - Gold Solution'!L9)/L56</f>
        <v>2.375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customHeight="1" x14ac:dyDescent="0.15">
      <c r="A58" s="27"/>
      <c r="B58" s="53"/>
      <c r="C58" s="103"/>
      <c r="D58" s="103"/>
      <c r="E58" s="103"/>
      <c r="F58" s="103"/>
      <c r="G58" s="104"/>
      <c r="H58" s="103"/>
      <c r="I58" s="103"/>
      <c r="J58" s="103"/>
      <c r="K58" s="103"/>
      <c r="L58" s="103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customHeight="1" x14ac:dyDescent="0.15">
      <c r="A59" s="27"/>
      <c r="B59" s="105" t="s">
        <v>75</v>
      </c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customHeight="1" x14ac:dyDescent="0.15">
      <c r="A60" s="27"/>
      <c r="B60" s="107" t="s">
        <v>76</v>
      </c>
      <c r="C60" s="108">
        <f t="shared" ref="C60:L60" si="40">C50</f>
        <v>116.19999999999965</v>
      </c>
      <c r="D60" s="108">
        <f t="shared" si="40"/>
        <v>182.89999999999918</v>
      </c>
      <c r="E60" s="108">
        <f t="shared" si="40"/>
        <v>201.70000000000016</v>
      </c>
      <c r="F60" s="108">
        <f t="shared" ca="1" si="40"/>
        <v>221.56036016035597</v>
      </c>
      <c r="G60" s="108">
        <f t="shared" ca="1" si="40"/>
        <v>249.58117877813561</v>
      </c>
      <c r="H60" s="108">
        <f t="shared" ca="1" si="40"/>
        <v>282.67083234115103</v>
      </c>
      <c r="I60" s="108">
        <f t="shared" ca="1" si="40"/>
        <v>319.19523003182223</v>
      </c>
      <c r="J60" s="108">
        <f t="shared" ca="1" si="40"/>
        <v>359.41730008753564</v>
      </c>
      <c r="K60" s="108">
        <f t="shared" ca="1" si="40"/>
        <v>412.75729805630766</v>
      </c>
      <c r="L60" s="108">
        <f t="shared" ca="1" si="40"/>
        <v>478.59821785567715</v>
      </c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customHeight="1" x14ac:dyDescent="0.15">
      <c r="A61" s="27"/>
      <c r="B61" s="109" t="s">
        <v>77</v>
      </c>
      <c r="C61" s="110">
        <v>117.8</v>
      </c>
      <c r="D61" s="110">
        <v>123.8</v>
      </c>
      <c r="E61" s="110">
        <v>136.9</v>
      </c>
      <c r="F61" s="111">
        <f>-'BS - Gold Solution'!F45</f>
        <v>147.77424999999999</v>
      </c>
      <c r="G61" s="111">
        <f>-'BS - Gold Solution'!G45</f>
        <v>155.68988937500001</v>
      </c>
      <c r="H61" s="111">
        <f>-'BS - Gold Solution'!H45</f>
        <v>160.23167571406248</v>
      </c>
      <c r="I61" s="111">
        <f>-'BS - Gold Solution'!I45</f>
        <v>164.30792895337109</v>
      </c>
      <c r="J61" s="111">
        <f>-'BS - Gold Solution'!J45</f>
        <v>167.96636623565053</v>
      </c>
      <c r="K61" s="111">
        <f>-'BS - Gold Solution'!K45</f>
        <v>171.24981369649635</v>
      </c>
      <c r="L61" s="111">
        <f>-'BS - Gold Solution'!L45</f>
        <v>174.19670779260548</v>
      </c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customHeight="1" x14ac:dyDescent="0.15">
      <c r="A62" s="27"/>
      <c r="B62" s="109" t="s">
        <v>78</v>
      </c>
      <c r="C62" s="110">
        <v>30.1</v>
      </c>
      <c r="D62" s="110">
        <v>52.9</v>
      </c>
      <c r="E62" s="110">
        <v>46.4</v>
      </c>
      <c r="F62" s="108">
        <f t="shared" ref="F62:L62" ca="1" si="41">F43</f>
        <v>72.279499847594664</v>
      </c>
      <c r="G62" s="108">
        <f t="shared" ca="1" si="41"/>
        <v>72.6628296728923</v>
      </c>
      <c r="H62" s="108">
        <f t="shared" ca="1" si="41"/>
        <v>72.240226029767072</v>
      </c>
      <c r="I62" s="108">
        <f t="shared" ca="1" si="41"/>
        <v>70.644141024160973</v>
      </c>
      <c r="J62" s="108">
        <f t="shared" ca="1" si="41"/>
        <v>67.78083864453528</v>
      </c>
      <c r="K62" s="108">
        <f t="shared" ca="1" si="41"/>
        <v>51.366672973395431</v>
      </c>
      <c r="L62" s="108">
        <f t="shared" ca="1" si="41"/>
        <v>22.522462412379127</v>
      </c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customHeight="1" x14ac:dyDescent="0.15">
      <c r="A63" s="27"/>
      <c r="B63" s="112" t="s">
        <v>79</v>
      </c>
      <c r="C63" s="113">
        <f t="shared" ref="C63:L63" si="42">C47</f>
        <v>42.6</v>
      </c>
      <c r="D63" s="113">
        <f t="shared" si="42"/>
        <v>62.4</v>
      </c>
      <c r="E63" s="113">
        <f t="shared" si="42"/>
        <v>69.3</v>
      </c>
      <c r="F63" s="113">
        <f t="shared" ca="1" si="42"/>
        <v>73.853453386785318</v>
      </c>
      <c r="G63" s="113">
        <f t="shared" ca="1" si="42"/>
        <v>83.193726259378536</v>
      </c>
      <c r="H63" s="113">
        <f t="shared" ca="1" si="42"/>
        <v>94.223610780383666</v>
      </c>
      <c r="I63" s="113">
        <f t="shared" ca="1" si="42"/>
        <v>106.39841001060742</v>
      </c>
      <c r="J63" s="113">
        <f t="shared" ca="1" si="42"/>
        <v>119.80576669584522</v>
      </c>
      <c r="K63" s="113">
        <f t="shared" ca="1" si="42"/>
        <v>137.58576601876922</v>
      </c>
      <c r="L63" s="113">
        <f t="shared" ca="1" si="42"/>
        <v>159.53273928522572</v>
      </c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customHeight="1" x14ac:dyDescent="0.15">
      <c r="A64" s="34"/>
      <c r="B64" s="114" t="s">
        <v>80</v>
      </c>
      <c r="C64" s="115">
        <f t="shared" ref="C64:L64" si="43">SUM(C60:C63)</f>
        <v>306.6999999999997</v>
      </c>
      <c r="D64" s="115">
        <f t="shared" si="43"/>
        <v>421.99999999999915</v>
      </c>
      <c r="E64" s="115">
        <f t="shared" si="43"/>
        <v>454.30000000000013</v>
      </c>
      <c r="F64" s="115">
        <f t="shared" ca="1" si="43"/>
        <v>515.46756339473598</v>
      </c>
      <c r="G64" s="115">
        <f t="shared" ca="1" si="43"/>
        <v>561.12762408540652</v>
      </c>
      <c r="H64" s="115">
        <f t="shared" ca="1" si="43"/>
        <v>609.36634486536423</v>
      </c>
      <c r="I64" s="115">
        <f t="shared" ca="1" si="43"/>
        <v>660.54571001996169</v>
      </c>
      <c r="J64" s="115">
        <f t="shared" ca="1" si="43"/>
        <v>714.97027166356668</v>
      </c>
      <c r="K64" s="115">
        <f t="shared" ca="1" si="43"/>
        <v>772.95955074496874</v>
      </c>
      <c r="L64" s="115">
        <f t="shared" ca="1" si="43"/>
        <v>834.85012734588747</v>
      </c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customHeight="1" x14ac:dyDescent="0.15">
      <c r="A65" s="34"/>
      <c r="B65" s="114"/>
      <c r="C65" s="116"/>
      <c r="D65" s="116"/>
      <c r="E65" s="116"/>
      <c r="F65" s="116"/>
      <c r="G65" s="117"/>
      <c r="H65" s="116"/>
      <c r="I65" s="116"/>
      <c r="J65" s="116"/>
      <c r="K65" s="116"/>
      <c r="L65" s="116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customHeight="1" x14ac:dyDescent="0.15">
      <c r="A66" s="27"/>
      <c r="B66" s="109" t="s">
        <v>81</v>
      </c>
      <c r="C66" s="110">
        <v>4</v>
      </c>
      <c r="D66" s="110">
        <v>-2.7</v>
      </c>
      <c r="E66" s="110">
        <v>-2.9</v>
      </c>
      <c r="F66" s="111">
        <f>'CFS - Gold Solution'!F10</f>
        <v>0</v>
      </c>
      <c r="G66" s="111">
        <f>'CFS - Gold Solution'!G10</f>
        <v>0</v>
      </c>
      <c r="H66" s="111">
        <f>'CFS - Gold Solution'!H10</f>
        <v>0</v>
      </c>
      <c r="I66" s="111">
        <f>'CFS - Gold Solution'!I10</f>
        <v>0</v>
      </c>
      <c r="J66" s="111">
        <f>'CFS - Gold Solution'!J10</f>
        <v>0</v>
      </c>
      <c r="K66" s="111">
        <f>'CFS - Gold Solution'!K10</f>
        <v>0</v>
      </c>
      <c r="L66" s="111">
        <f>'CFS - Gold Solution'!L10</f>
        <v>0</v>
      </c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customHeight="1" x14ac:dyDescent="0.15">
      <c r="A67" s="27"/>
      <c r="B67" s="109" t="s">
        <v>82</v>
      </c>
      <c r="C67" s="110">
        <v>2.7</v>
      </c>
      <c r="D67" s="110">
        <v>3.1</v>
      </c>
      <c r="E67" s="110">
        <v>7.8</v>
      </c>
      <c r="F67" s="111">
        <f>'CFS - Gold Solution'!F9</f>
        <v>10</v>
      </c>
      <c r="G67" s="111">
        <f>'CFS - Gold Solution'!G9</f>
        <v>10</v>
      </c>
      <c r="H67" s="111">
        <f>'CFS - Gold Solution'!H9</f>
        <v>10</v>
      </c>
      <c r="I67" s="111">
        <f>'CFS - Gold Solution'!I9</f>
        <v>10</v>
      </c>
      <c r="J67" s="111">
        <f>'CFS - Gold Solution'!J9</f>
        <v>10</v>
      </c>
      <c r="K67" s="111">
        <f>'CFS - Gold Solution'!K9</f>
        <v>10</v>
      </c>
      <c r="L67" s="111">
        <f>'CFS - Gold Solution'!L9</f>
        <v>10</v>
      </c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.75" customHeight="1" x14ac:dyDescent="0.15">
      <c r="A68" s="27"/>
      <c r="B68" s="109" t="s">
        <v>83</v>
      </c>
      <c r="C68" s="110">
        <v>0</v>
      </c>
      <c r="D68" s="110">
        <v>10</v>
      </c>
      <c r="E68" s="110">
        <v>3.8</v>
      </c>
      <c r="F68" s="110">
        <v>0</v>
      </c>
      <c r="G68" s="110">
        <v>0</v>
      </c>
      <c r="H68" s="110">
        <v>0</v>
      </c>
      <c r="I68" s="110">
        <v>0</v>
      </c>
      <c r="J68" s="110">
        <v>0</v>
      </c>
      <c r="K68" s="110">
        <v>0</v>
      </c>
      <c r="L68" s="110">
        <v>0</v>
      </c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.75" customHeight="1" x14ac:dyDescent="0.15">
      <c r="A69" s="27"/>
      <c r="B69" s="109" t="s">
        <v>48</v>
      </c>
      <c r="C69" s="110">
        <v>0</v>
      </c>
      <c r="D69" s="110">
        <v>0</v>
      </c>
      <c r="E69" s="110">
        <v>0</v>
      </c>
      <c r="F69" s="110">
        <v>0</v>
      </c>
      <c r="G69" s="110">
        <v>0</v>
      </c>
      <c r="H69" s="110">
        <v>0</v>
      </c>
      <c r="I69" s="110">
        <v>0</v>
      </c>
      <c r="J69" s="110">
        <v>0</v>
      </c>
      <c r="K69" s="110">
        <v>0</v>
      </c>
      <c r="L69" s="110">
        <v>0</v>
      </c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15">
      <c r="A70" s="34"/>
      <c r="B70" s="114" t="s">
        <v>84</v>
      </c>
      <c r="C70" s="115">
        <f>+SUM(C64:C69)</f>
        <v>313.39999999999969</v>
      </c>
      <c r="D70" s="115">
        <f t="shared" ref="D70:L70" si="44">+SUM(D64:D69)</f>
        <v>432.39999999999918</v>
      </c>
      <c r="E70" s="115">
        <f t="shared" si="44"/>
        <v>463.00000000000017</v>
      </c>
      <c r="F70" s="115">
        <f t="shared" ca="1" si="44"/>
        <v>525.46756339473598</v>
      </c>
      <c r="G70" s="115">
        <f t="shared" ca="1" si="44"/>
        <v>571.12762408540652</v>
      </c>
      <c r="H70" s="115">
        <f t="shared" ca="1" si="44"/>
        <v>619.36634486536423</v>
      </c>
      <c r="I70" s="115">
        <f t="shared" ca="1" si="44"/>
        <v>670.54571001996169</v>
      </c>
      <c r="J70" s="115">
        <f t="shared" ca="1" si="44"/>
        <v>724.97027166356668</v>
      </c>
      <c r="K70" s="115">
        <f t="shared" ca="1" si="44"/>
        <v>782.95955074496874</v>
      </c>
      <c r="L70" s="115">
        <f t="shared" ca="1" si="44"/>
        <v>844.85012734588747</v>
      </c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15">
      <c r="A71" s="34"/>
      <c r="B71" s="118" t="s">
        <v>60</v>
      </c>
      <c r="C71" s="119"/>
      <c r="D71" s="120">
        <f t="shared" ref="D71:L71" si="45">D70/C70-1</f>
        <v>0.37970644543713972</v>
      </c>
      <c r="E71" s="120">
        <f t="shared" si="45"/>
        <v>7.076780758557133E-2</v>
      </c>
      <c r="F71" s="120">
        <f t="shared" ca="1" si="45"/>
        <v>0.13491914340115718</v>
      </c>
      <c r="G71" s="120">
        <f t="shared" ca="1" si="45"/>
        <v>8.6894156502616227E-2</v>
      </c>
      <c r="H71" s="120">
        <f t="shared" ca="1" si="45"/>
        <v>8.4462244068838954E-2</v>
      </c>
      <c r="I71" s="120">
        <f t="shared" ca="1" si="45"/>
        <v>8.2631814884489119E-2</v>
      </c>
      <c r="J71" s="120">
        <f t="shared" ca="1" si="45"/>
        <v>8.1164581072310282E-2</v>
      </c>
      <c r="K71" s="120">
        <f t="shared" ca="1" si="45"/>
        <v>7.9988492422366386E-2</v>
      </c>
      <c r="L71" s="120">
        <f t="shared" ca="1" si="45"/>
        <v>7.9046965506750944E-2</v>
      </c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15">
      <c r="A72" s="34"/>
      <c r="B72" s="114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 x14ac:dyDescent="0.15">
      <c r="A73" s="34"/>
      <c r="B73" s="114" t="s">
        <v>85</v>
      </c>
      <c r="C73" s="121">
        <f t="shared" ref="C73:L73" si="46">C70/C12</f>
        <v>0.12364382372667365</v>
      </c>
      <c r="D73" s="121">
        <f t="shared" si="46"/>
        <v>0.15277532417058237</v>
      </c>
      <c r="E73" s="121">
        <f t="shared" si="46"/>
        <v>0.1597102449120387</v>
      </c>
      <c r="F73" s="121">
        <f t="shared" ca="1" si="46"/>
        <v>0.16311532932501302</v>
      </c>
      <c r="G73" s="121">
        <f t="shared" ca="1" si="46"/>
        <v>0.16977868215654993</v>
      </c>
      <c r="H73" s="121">
        <f t="shared" ca="1" si="46"/>
        <v>0.17536625524415242</v>
      </c>
      <c r="I73" s="121">
        <f t="shared" ca="1" si="46"/>
        <v>0.18078925209231222</v>
      </c>
      <c r="J73" s="121">
        <f t="shared" ca="1" si="46"/>
        <v>0.18608233814621541</v>
      </c>
      <c r="K73" s="121">
        <f t="shared" ca="1" si="46"/>
        <v>0.19127469792890803</v>
      </c>
      <c r="L73" s="121">
        <f t="shared" ca="1" si="46"/>
        <v>0.19639081437359221</v>
      </c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.75" customHeight="1" x14ac:dyDescent="0.15">
      <c r="A74" s="80"/>
      <c r="B74" s="118" t="s">
        <v>60</v>
      </c>
      <c r="C74" s="122"/>
      <c r="D74" s="123">
        <f t="shared" ref="D74:L74" si="47">(ROUND(D73,3)-ROUND(C73,3))*10000</f>
        <v>290</v>
      </c>
      <c r="E74" s="123">
        <f t="shared" si="47"/>
        <v>70.000000000000057</v>
      </c>
      <c r="F74" s="123">
        <f t="shared" ca="1" si="47"/>
        <v>30.000000000000028</v>
      </c>
      <c r="G74" s="123">
        <f t="shared" ca="1" si="47"/>
        <v>70.000000000000057</v>
      </c>
      <c r="H74" s="123">
        <f t="shared" ca="1" si="47"/>
        <v>49.999999999999766</v>
      </c>
      <c r="I74" s="123">
        <f t="shared" ca="1" si="47"/>
        <v>60.000000000000057</v>
      </c>
      <c r="J74" s="123">
        <f t="shared" ca="1" si="47"/>
        <v>50.000000000000043</v>
      </c>
      <c r="K74" s="123">
        <f t="shared" ca="1" si="47"/>
        <v>50.000000000000043</v>
      </c>
      <c r="L74" s="123">
        <f t="shared" ca="1" si="47"/>
        <v>50.000000000000043</v>
      </c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 spans="1:26" ht="12.75" customHeight="1" x14ac:dyDescent="0.15">
      <c r="A75" s="27"/>
      <c r="B75" s="5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 x14ac:dyDescent="0.15">
      <c r="A76" s="27"/>
      <c r="B76" s="124" t="s">
        <v>86</v>
      </c>
      <c r="C76" s="125">
        <f>+'IS - Gold Solution'!C2</f>
        <v>2022</v>
      </c>
      <c r="D76" s="125">
        <f>+'IS - Gold Solution'!D2</f>
        <v>2023</v>
      </c>
      <c r="E76" s="125">
        <f>+'IS - Gold Solution'!E2</f>
        <v>2024</v>
      </c>
      <c r="F76" s="125" t="str">
        <f>+'IS - Gold Solution'!F2</f>
        <v>2025E</v>
      </c>
      <c r="G76" s="125" t="str">
        <f>+'IS - Gold Solution'!G2</f>
        <v>2026E</v>
      </c>
      <c r="H76" s="125" t="str">
        <f>+'IS - Gold Solution'!H2</f>
        <v>2027E</v>
      </c>
      <c r="I76" s="125" t="str">
        <f>+'IS - Gold Solution'!I2</f>
        <v>2028E</v>
      </c>
      <c r="J76" s="125" t="str">
        <f>+'IS - Gold Solution'!J2</f>
        <v>2029E</v>
      </c>
      <c r="K76" s="125" t="str">
        <f>+'IS - Gold Solution'!K2</f>
        <v>2030E</v>
      </c>
      <c r="L76" s="125" t="str">
        <f>+'IS - Gold Solution'!L2</f>
        <v>2031E</v>
      </c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 x14ac:dyDescent="0.15">
      <c r="A77" s="27"/>
      <c r="B77" s="126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 x14ac:dyDescent="0.15">
      <c r="A78" s="27"/>
      <c r="B78" s="51" t="s">
        <v>44</v>
      </c>
      <c r="C78" s="49"/>
      <c r="D78" s="49"/>
      <c r="E78" s="49"/>
      <c r="F78" s="49"/>
      <c r="G78" s="52"/>
      <c r="H78" s="52"/>
      <c r="I78" s="52"/>
      <c r="J78" s="52"/>
      <c r="K78" s="52"/>
      <c r="L78" s="52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 x14ac:dyDescent="0.15">
      <c r="A79" s="27"/>
      <c r="B79" s="53" t="s">
        <v>87</v>
      </c>
      <c r="C79" s="83">
        <v>33.994</v>
      </c>
      <c r="D79" s="83">
        <v>33.637</v>
      </c>
      <c r="E79" s="83">
        <v>31.831</v>
      </c>
      <c r="F79" s="84">
        <f>E79*(1+F80)</f>
        <v>34.377479999999998</v>
      </c>
      <c r="G79" s="84">
        <f t="shared" ref="G79:L79" si="48">F79*(1+G80)</f>
        <v>34.721254799999997</v>
      </c>
      <c r="H79" s="84">
        <f t="shared" si="48"/>
        <v>35.936498717999996</v>
      </c>
      <c r="I79" s="84">
        <f t="shared" si="48"/>
        <v>37.194276173129992</v>
      </c>
      <c r="J79" s="84">
        <f t="shared" si="48"/>
        <v>38.496075839189537</v>
      </c>
      <c r="K79" s="84">
        <f t="shared" si="48"/>
        <v>39.843438493561166</v>
      </c>
      <c r="L79" s="84">
        <f t="shared" si="48"/>
        <v>41.237958840835802</v>
      </c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 x14ac:dyDescent="0.15">
      <c r="A80" s="75"/>
      <c r="B80" s="127" t="s">
        <v>88</v>
      </c>
      <c r="C80" s="64"/>
      <c r="D80" s="128">
        <f>+D79/C79-1</f>
        <v>-1.0501853268223837E-2</v>
      </c>
      <c r="E80" s="128">
        <f>+E79/D79-1</f>
        <v>-5.3690876118559938E-2</v>
      </c>
      <c r="F80" s="129">
        <v>0.08</v>
      </c>
      <c r="G80" s="129">
        <v>0.01</v>
      </c>
      <c r="H80" s="129">
        <v>3.5000000000000003E-2</v>
      </c>
      <c r="I80" s="129">
        <v>3.5000000000000003E-2</v>
      </c>
      <c r="J80" s="129">
        <v>3.5000000000000003E-2</v>
      </c>
      <c r="K80" s="129">
        <v>3.5000000000000003E-2</v>
      </c>
      <c r="L80" s="129">
        <v>3.5000000000000003E-2</v>
      </c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2.75" customHeight="1" x14ac:dyDescent="0.15">
      <c r="A81" s="27"/>
      <c r="B81" s="53" t="s">
        <v>89</v>
      </c>
      <c r="C81" s="130">
        <v>14.61</v>
      </c>
      <c r="D81" s="131">
        <v>16.29</v>
      </c>
      <c r="E81" s="131">
        <v>17.47</v>
      </c>
      <c r="F81" s="132">
        <f>E81*(1+F82)</f>
        <v>18.5182</v>
      </c>
      <c r="G81" s="132">
        <f t="shared" ref="G81:L81" si="49">F81*(1+G82)</f>
        <v>19.444110000000002</v>
      </c>
      <c r="H81" s="132">
        <f t="shared" si="49"/>
        <v>20.416315500000003</v>
      </c>
      <c r="I81" s="132">
        <f t="shared" si="49"/>
        <v>21.437131275000006</v>
      </c>
      <c r="J81" s="132">
        <f t="shared" si="49"/>
        <v>22.508987838750006</v>
      </c>
      <c r="K81" s="132">
        <f t="shared" si="49"/>
        <v>23.634437230687507</v>
      </c>
      <c r="L81" s="132">
        <f t="shared" si="49"/>
        <v>24.816159092221884</v>
      </c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 x14ac:dyDescent="0.15">
      <c r="A82" s="75"/>
      <c r="B82" s="133" t="s">
        <v>90</v>
      </c>
      <c r="C82" s="68"/>
      <c r="D82" s="230">
        <f>+D81/C81-1</f>
        <v>0.11498973305954818</v>
      </c>
      <c r="E82" s="231">
        <f>+E81/D81-1</f>
        <v>7.2437077961939877E-2</v>
      </c>
      <c r="F82" s="129">
        <v>0.06</v>
      </c>
      <c r="G82" s="129">
        <v>0.05</v>
      </c>
      <c r="H82" s="129">
        <v>0.05</v>
      </c>
      <c r="I82" s="129">
        <v>0.05</v>
      </c>
      <c r="J82" s="129">
        <v>0.05</v>
      </c>
      <c r="K82" s="129">
        <v>0.05</v>
      </c>
      <c r="L82" s="129">
        <v>0.05</v>
      </c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2.75" customHeight="1" x14ac:dyDescent="0.15">
      <c r="A83" s="27"/>
      <c r="B83" s="51" t="s">
        <v>6</v>
      </c>
      <c r="C83" s="86">
        <f>+C4</f>
        <v>496.6</v>
      </c>
      <c r="D83" s="86">
        <f t="shared" ref="D83:E83" si="50">+D4</f>
        <v>547.9</v>
      </c>
      <c r="E83" s="86">
        <f t="shared" si="50"/>
        <v>556.1</v>
      </c>
      <c r="F83" s="86">
        <f t="shared" ref="F83:L83" si="51">F79*F81</f>
        <v>636.60905013599995</v>
      </c>
      <c r="G83" s="86">
        <f t="shared" si="51"/>
        <v>675.12389766922797</v>
      </c>
      <c r="H83" s="86">
        <f t="shared" si="51"/>
        <v>733.69089579203353</v>
      </c>
      <c r="I83" s="86">
        <f t="shared" si="51"/>
        <v>797.33858100199245</v>
      </c>
      <c r="J83" s="86">
        <f t="shared" si="51"/>
        <v>866.50770290391517</v>
      </c>
      <c r="K83" s="86">
        <f t="shared" si="51"/>
        <v>941.67724613082976</v>
      </c>
      <c r="L83" s="86">
        <f t="shared" si="51"/>
        <v>1023.3677472326792</v>
      </c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 x14ac:dyDescent="0.15">
      <c r="A84" s="27"/>
      <c r="B84" s="74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 x14ac:dyDescent="0.15">
      <c r="A85" s="27"/>
      <c r="B85" s="51" t="s">
        <v>45</v>
      </c>
      <c r="C85" s="49"/>
      <c r="D85" s="49"/>
      <c r="E85" s="49"/>
      <c r="F85" s="49"/>
      <c r="G85" s="52"/>
      <c r="H85" s="52"/>
      <c r="I85" s="52"/>
      <c r="J85" s="52"/>
      <c r="K85" s="52"/>
      <c r="L85" s="52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 x14ac:dyDescent="0.15">
      <c r="A86" s="27"/>
      <c r="B86" s="53" t="s">
        <v>91</v>
      </c>
      <c r="C86" s="83">
        <v>4.0149999999999997</v>
      </c>
      <c r="D86" s="83">
        <v>3.8079999999999998</v>
      </c>
      <c r="E86" s="83">
        <v>3.4839999999999995</v>
      </c>
      <c r="F86" s="84">
        <f>E86*(1+F87)</f>
        <v>4.1111199999999997</v>
      </c>
      <c r="G86" s="84">
        <f t="shared" ref="G86" si="52">F86*(1+G87)</f>
        <v>4.1522312000000001</v>
      </c>
      <c r="H86" s="84">
        <f t="shared" ref="H86" si="53">G86*(1+H87)</f>
        <v>4.2352758240000004</v>
      </c>
      <c r="I86" s="84">
        <f t="shared" ref="I86" si="54">H86*(1+I87)</f>
        <v>4.31998134048</v>
      </c>
      <c r="J86" s="84">
        <f t="shared" ref="J86" si="55">I86*(1+J87)</f>
        <v>4.4063809672895999</v>
      </c>
      <c r="K86" s="84">
        <f t="shared" ref="K86" si="56">J86*(1+K87)</f>
        <v>4.4945085866353924</v>
      </c>
      <c r="L86" s="84">
        <f t="shared" ref="L86" si="57">K86*(1+L87)</f>
        <v>4.5843987583681001</v>
      </c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 x14ac:dyDescent="0.15">
      <c r="A87" s="27"/>
      <c r="B87" s="127" t="s">
        <v>88</v>
      </c>
      <c r="C87" s="90"/>
      <c r="D87" s="128">
        <f t="shared" ref="D87:E87" si="58">D86/C86-1</f>
        <v>-5.1556662515566565E-2</v>
      </c>
      <c r="E87" s="128">
        <f t="shared" si="58"/>
        <v>-8.5084033613445409E-2</v>
      </c>
      <c r="F87" s="129">
        <v>0.18</v>
      </c>
      <c r="G87" s="129">
        <v>0.01</v>
      </c>
      <c r="H87" s="129">
        <v>0.02</v>
      </c>
      <c r="I87" s="129">
        <v>0.02</v>
      </c>
      <c r="J87" s="129">
        <v>0.02</v>
      </c>
      <c r="K87" s="129">
        <v>0.02</v>
      </c>
      <c r="L87" s="129">
        <v>0.02</v>
      </c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 x14ac:dyDescent="0.15">
      <c r="A88" s="135"/>
      <c r="B88" s="53" t="s">
        <v>92</v>
      </c>
      <c r="C88" s="131">
        <v>151.80000000000001</v>
      </c>
      <c r="D88" s="131">
        <v>170.42</v>
      </c>
      <c r="E88" s="131">
        <v>188.11</v>
      </c>
      <c r="F88" s="132">
        <f>E88*(1+F89)</f>
        <v>197.51550000000003</v>
      </c>
      <c r="G88" s="132">
        <f t="shared" ref="G88" si="59">F88*(1+G89)</f>
        <v>203.44096500000003</v>
      </c>
      <c r="H88" s="132">
        <f t="shared" ref="H88" si="60">G88*(1+H89)</f>
        <v>209.54419395000005</v>
      </c>
      <c r="I88" s="132">
        <f t="shared" ref="I88" si="61">H88*(1+I89)</f>
        <v>215.83051976850007</v>
      </c>
      <c r="J88" s="132">
        <f t="shared" ref="J88" si="62">I88*(1+J89)</f>
        <v>222.30543536155508</v>
      </c>
      <c r="K88" s="132">
        <f t="shared" ref="K88" si="63">J88*(1+K89)</f>
        <v>228.97459842240175</v>
      </c>
      <c r="L88" s="132">
        <f t="shared" ref="L88" si="64">K88*(1+L89)</f>
        <v>235.84383637507381</v>
      </c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 x14ac:dyDescent="0.15">
      <c r="A89" s="27"/>
      <c r="B89" s="133" t="s">
        <v>90</v>
      </c>
      <c r="C89" s="136"/>
      <c r="D89" s="230">
        <f>+D88/C88-1</f>
        <v>0.12266139657443986</v>
      </c>
      <c r="E89" s="231">
        <f>+E88/D88-1</f>
        <v>0.10380237061377784</v>
      </c>
      <c r="F89" s="129">
        <v>0.05</v>
      </c>
      <c r="G89" s="129">
        <v>0.03</v>
      </c>
      <c r="H89" s="129">
        <v>0.03</v>
      </c>
      <c r="I89" s="129">
        <v>0.03</v>
      </c>
      <c r="J89" s="129">
        <v>0.03</v>
      </c>
      <c r="K89" s="129">
        <v>0.03</v>
      </c>
      <c r="L89" s="129">
        <v>0.03</v>
      </c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 x14ac:dyDescent="0.15">
      <c r="A90" s="27"/>
      <c r="B90" s="51" t="s">
        <v>93</v>
      </c>
      <c r="C90" s="86">
        <f>C5</f>
        <v>609.5</v>
      </c>
      <c r="D90" s="86">
        <f t="shared" ref="D90:E90" si="65">D5</f>
        <v>653.9</v>
      </c>
      <c r="E90" s="86">
        <f t="shared" si="65"/>
        <v>655.5</v>
      </c>
      <c r="F90" s="86">
        <f t="shared" ref="C90:L90" si="66">F86*F88</f>
        <v>812.00992236000002</v>
      </c>
      <c r="G90" s="86">
        <f t="shared" si="66"/>
        <v>844.73392223110818</v>
      </c>
      <c r="H90" s="86">
        <f t="shared" si="66"/>
        <v>887.47745869600237</v>
      </c>
      <c r="I90" s="86">
        <f t="shared" si="66"/>
        <v>932.38381810602004</v>
      </c>
      <c r="J90" s="86">
        <f t="shared" si="66"/>
        <v>979.56243930218477</v>
      </c>
      <c r="K90" s="86">
        <f t="shared" si="66"/>
        <v>1029.1282987308755</v>
      </c>
      <c r="L90" s="86">
        <f t="shared" si="66"/>
        <v>1081.2021906466578</v>
      </c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 x14ac:dyDescent="0.15">
      <c r="A91" s="27"/>
      <c r="B91" s="74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 x14ac:dyDescent="0.15">
      <c r="A92" s="27"/>
      <c r="B92" s="51" t="s">
        <v>46</v>
      </c>
      <c r="C92" s="49"/>
      <c r="D92" s="49"/>
      <c r="E92" s="49"/>
      <c r="F92" s="49"/>
      <c r="G92" s="52"/>
      <c r="H92" s="52"/>
      <c r="I92" s="52"/>
      <c r="J92" s="52"/>
      <c r="K92" s="52"/>
      <c r="L92" s="52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 x14ac:dyDescent="0.15">
      <c r="A93" s="27"/>
      <c r="B93" s="53" t="s">
        <v>94</v>
      </c>
      <c r="C93" s="83">
        <v>7.54</v>
      </c>
      <c r="D93" s="83">
        <v>6.7600000000000007</v>
      </c>
      <c r="E93" s="83">
        <v>6.4549999999999992</v>
      </c>
      <c r="F93" s="84">
        <f t="shared" ref="F93:L93" si="67">E93*(1+F94)</f>
        <v>6.5840999999999994</v>
      </c>
      <c r="G93" s="84">
        <f t="shared" si="67"/>
        <v>6.7157819999999999</v>
      </c>
      <c r="H93" s="84">
        <f t="shared" si="67"/>
        <v>6.8500976400000004</v>
      </c>
      <c r="I93" s="84">
        <f t="shared" si="67"/>
        <v>6.9870995928000008</v>
      </c>
      <c r="J93" s="84">
        <f t="shared" si="67"/>
        <v>7.1268415846560007</v>
      </c>
      <c r="K93" s="84">
        <f t="shared" si="67"/>
        <v>7.2693784163491211</v>
      </c>
      <c r="L93" s="84">
        <f t="shared" si="67"/>
        <v>7.4147659846761034</v>
      </c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 x14ac:dyDescent="0.15">
      <c r="A94" s="27"/>
      <c r="B94" s="127" t="s">
        <v>88</v>
      </c>
      <c r="C94" s="64"/>
      <c r="D94" s="128">
        <f t="shared" ref="D94:E94" si="68">D93/C93-1</f>
        <v>-0.10344827586206884</v>
      </c>
      <c r="E94" s="128">
        <f t="shared" si="68"/>
        <v>-4.511834319526653E-2</v>
      </c>
      <c r="F94" s="129">
        <v>0.02</v>
      </c>
      <c r="G94" s="129">
        <v>0.02</v>
      </c>
      <c r="H94" s="129">
        <v>0.02</v>
      </c>
      <c r="I94" s="129">
        <v>0.02</v>
      </c>
      <c r="J94" s="129">
        <v>0.02</v>
      </c>
      <c r="K94" s="129">
        <v>0.02</v>
      </c>
      <c r="L94" s="129">
        <v>0.02</v>
      </c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2.75" customHeight="1" x14ac:dyDescent="0.15">
      <c r="A95" s="135"/>
      <c r="B95" s="53" t="s">
        <v>89</v>
      </c>
      <c r="C95" s="131">
        <v>58.93</v>
      </c>
      <c r="D95" s="131">
        <v>66.92</v>
      </c>
      <c r="E95" s="131">
        <v>68.400000000000006</v>
      </c>
      <c r="F95" s="132">
        <f t="shared" ref="F95:L95" si="69">E95*(1+F96)</f>
        <v>69.768000000000001</v>
      </c>
      <c r="G95" s="132">
        <f t="shared" si="69"/>
        <v>71.163359999999997</v>
      </c>
      <c r="H95" s="132">
        <f t="shared" si="69"/>
        <v>72.586627199999995</v>
      </c>
      <c r="I95" s="132">
        <f t="shared" si="69"/>
        <v>74.03835974399999</v>
      </c>
      <c r="J95" s="132">
        <f t="shared" si="69"/>
        <v>75.519126938879992</v>
      </c>
      <c r="K95" s="132">
        <f t="shared" si="69"/>
        <v>77.029509477657598</v>
      </c>
      <c r="L95" s="132">
        <f t="shared" si="69"/>
        <v>78.570099667210755</v>
      </c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2.75" customHeight="1" x14ac:dyDescent="0.15">
      <c r="A96" s="27"/>
      <c r="B96" s="133" t="s">
        <v>90</v>
      </c>
      <c r="C96" s="68"/>
      <c r="D96" s="134">
        <f t="shared" ref="D96:E96" si="70">D95/C95-1</f>
        <v>0.13558459188868155</v>
      </c>
      <c r="E96" s="134">
        <f t="shared" si="70"/>
        <v>2.2115959354453096E-2</v>
      </c>
      <c r="F96" s="129">
        <v>0.02</v>
      </c>
      <c r="G96" s="129">
        <v>0.02</v>
      </c>
      <c r="H96" s="129">
        <v>0.02</v>
      </c>
      <c r="I96" s="129">
        <v>0.02</v>
      </c>
      <c r="J96" s="129">
        <v>0.02</v>
      </c>
      <c r="K96" s="129">
        <v>0.02</v>
      </c>
      <c r="L96" s="129">
        <v>0.02</v>
      </c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2.75" customHeight="1" x14ac:dyDescent="0.15">
      <c r="A97" s="27"/>
      <c r="B97" s="51" t="s">
        <v>95</v>
      </c>
      <c r="C97" s="86">
        <f t="shared" ref="C97:E97" si="71">C6</f>
        <v>427.5</v>
      </c>
      <c r="D97" s="86">
        <f t="shared" si="71"/>
        <v>452.4</v>
      </c>
      <c r="E97" s="86">
        <f t="shared" si="71"/>
        <v>441.5</v>
      </c>
      <c r="F97" s="86">
        <f t="shared" ref="F97:L97" si="72">F93*F95</f>
        <v>459.35948879999995</v>
      </c>
      <c r="G97" s="86">
        <f t="shared" si="72"/>
        <v>477.91761214752</v>
      </c>
      <c r="H97" s="86">
        <f t="shared" si="72"/>
        <v>497.22548367827983</v>
      </c>
      <c r="I97" s="86">
        <f t="shared" si="72"/>
        <v>517.31339321888231</v>
      </c>
      <c r="J97" s="86">
        <f t="shared" si="72"/>
        <v>538.21285430492514</v>
      </c>
      <c r="K97" s="86">
        <f t="shared" si="72"/>
        <v>559.95665361884426</v>
      </c>
      <c r="L97" s="86">
        <f t="shared" si="72"/>
        <v>582.5789024250455</v>
      </c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2.75" customHeight="1" x14ac:dyDescent="0.15">
      <c r="A98" s="27"/>
      <c r="B98" s="137"/>
      <c r="C98" s="136"/>
      <c r="D98" s="136"/>
      <c r="E98" s="136"/>
      <c r="F98" s="136"/>
      <c r="G98" s="136"/>
      <c r="H98" s="136"/>
      <c r="I98" s="136"/>
      <c r="J98" s="136"/>
      <c r="K98" s="136"/>
      <c r="L98" s="136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2.75" customHeight="1" x14ac:dyDescent="0.15">
      <c r="A99" s="27"/>
      <c r="B99" s="74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2.75" customHeight="1" x14ac:dyDescent="0.15">
      <c r="A100" s="27"/>
      <c r="B100" s="34" t="s">
        <v>96</v>
      </c>
      <c r="C100" s="100"/>
      <c r="D100" s="100"/>
      <c r="E100" s="100"/>
      <c r="F100" s="100"/>
      <c r="G100" s="138"/>
      <c r="H100" s="138"/>
      <c r="I100" s="138"/>
      <c r="J100" s="138"/>
      <c r="K100" s="138"/>
      <c r="L100" s="138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2.75" customHeight="1" x14ac:dyDescent="0.15">
      <c r="A101" s="27"/>
      <c r="B101" s="53" t="s">
        <v>44</v>
      </c>
      <c r="C101" s="83">
        <v>69.524000000000015</v>
      </c>
      <c r="D101" s="83">
        <v>109.6</v>
      </c>
      <c r="E101" s="83">
        <v>114.39999999999999</v>
      </c>
      <c r="F101" s="84">
        <f t="shared" ref="F101:L101" si="73">E101+E4*F82*0.5+E4*F80*E111</f>
        <v>140.23499999999999</v>
      </c>
      <c r="G101" s="84">
        <f t="shared" si="73"/>
        <v>157.55257625339999</v>
      </c>
      <c r="H101" s="84">
        <f t="shared" si="73"/>
        <v>179.94501386399969</v>
      </c>
      <c r="I101" s="84">
        <f t="shared" si="73"/>
        <v>204.58536174404051</v>
      </c>
      <c r="J101" s="84">
        <f t="shared" si="73"/>
        <v>231.67931393013174</v>
      </c>
      <c r="K101" s="84">
        <f t="shared" si="73"/>
        <v>261.45078249028421</v>
      </c>
      <c r="L101" s="84">
        <f t="shared" si="73"/>
        <v>294.14349103071493</v>
      </c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2.75" customHeight="1" x14ac:dyDescent="0.15">
      <c r="A102" s="27"/>
      <c r="B102" s="53" t="s">
        <v>45</v>
      </c>
      <c r="C102" s="83">
        <v>85.939499999999995</v>
      </c>
      <c r="D102" s="83">
        <v>101.30000000000001</v>
      </c>
      <c r="E102" s="83">
        <v>105.9</v>
      </c>
      <c r="F102" s="84">
        <f t="shared" ref="F102:L102" si="74">E102+E5*F89*0.5+E5*F87*E112</f>
        <v>141.34950000000001</v>
      </c>
      <c r="G102" s="84">
        <f t="shared" si="74"/>
        <v>154.94314383540001</v>
      </c>
      <c r="H102" s="84">
        <f t="shared" si="74"/>
        <v>170.71301554557465</v>
      </c>
      <c r="I102" s="84">
        <f t="shared" si="74"/>
        <v>187.43943773692618</v>
      </c>
      <c r="J102" s="84">
        <f t="shared" si="74"/>
        <v>205.17398376325499</v>
      </c>
      <c r="K102" s="84">
        <f t="shared" si="74"/>
        <v>223.97090002805288</v>
      </c>
      <c r="L102" s="84">
        <f t="shared" si="74"/>
        <v>243.88724250957708</v>
      </c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2.75" customHeight="1" x14ac:dyDescent="0.15">
      <c r="A103" s="27"/>
      <c r="B103" s="53" t="s">
        <v>46</v>
      </c>
      <c r="C103" s="83">
        <v>41.895000000000003</v>
      </c>
      <c r="D103" s="83">
        <v>61.599999999999994</v>
      </c>
      <c r="E103" s="83">
        <v>68.2</v>
      </c>
      <c r="F103" s="84">
        <f t="shared" ref="F103:L103" si="75">E103+E6*F96*0.2+E6*F94*E113</f>
        <v>71.330000000000013</v>
      </c>
      <c r="G103" s="84">
        <f t="shared" si="75"/>
        <v>74.594037955200008</v>
      </c>
      <c r="H103" s="84">
        <f t="shared" si="75"/>
        <v>77.997589162894101</v>
      </c>
      <c r="I103" s="84">
        <f t="shared" si="75"/>
        <v>81.546442880865101</v>
      </c>
      <c r="J103" s="84">
        <f t="shared" si="75"/>
        <v>85.246625311357931</v>
      </c>
      <c r="K103" s="84">
        <f t="shared" si="75"/>
        <v>89.104409234804791</v>
      </c>
      <c r="L103" s="84">
        <f t="shared" si="75"/>
        <v>93.12632403397626</v>
      </c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2.75" customHeight="1" x14ac:dyDescent="0.15">
      <c r="A104" s="27"/>
      <c r="B104" s="53" t="s">
        <v>47</v>
      </c>
      <c r="C104" s="83">
        <v>25.4</v>
      </c>
      <c r="D104" s="83">
        <v>69.7</v>
      </c>
      <c r="E104" s="83">
        <v>51.5</v>
      </c>
      <c r="F104" s="84">
        <f t="shared" ref="F104:L104" si="76">F7*F114</f>
        <v>55.902600000000007</v>
      </c>
      <c r="G104" s="84">
        <f t="shared" si="76"/>
        <v>58.138704000000004</v>
      </c>
      <c r="H104" s="84">
        <f t="shared" si="76"/>
        <v>60.464252160000008</v>
      </c>
      <c r="I104" s="84">
        <f t="shared" si="76"/>
        <v>62.882822246400004</v>
      </c>
      <c r="J104" s="84">
        <f t="shared" si="76"/>
        <v>65.398135136256016</v>
      </c>
      <c r="K104" s="84">
        <f t="shared" si="76"/>
        <v>68.014060541706257</v>
      </c>
      <c r="L104" s="84">
        <f t="shared" si="76"/>
        <v>70.734622963374505</v>
      </c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2.75" customHeight="1" x14ac:dyDescent="0.15">
      <c r="A105" s="27"/>
      <c r="B105" s="57" t="s">
        <v>48</v>
      </c>
      <c r="C105" s="91">
        <v>63.538800000000002</v>
      </c>
      <c r="D105" s="91">
        <v>47.9</v>
      </c>
      <c r="E105" s="91">
        <v>53.400000000000006</v>
      </c>
      <c r="F105" s="139">
        <f t="shared" ref="F105:L105" si="77">F8*F115</f>
        <v>56.349600000000009</v>
      </c>
      <c r="G105" s="139">
        <f t="shared" si="77"/>
        <v>59.730576000000013</v>
      </c>
      <c r="H105" s="139">
        <f t="shared" si="77"/>
        <v>63.314410560000013</v>
      </c>
      <c r="I105" s="139">
        <f t="shared" si="77"/>
        <v>67.113275193600018</v>
      </c>
      <c r="J105" s="139">
        <f t="shared" si="77"/>
        <v>71.140071705216016</v>
      </c>
      <c r="K105" s="139">
        <f t="shared" si="77"/>
        <v>75.408476007528975</v>
      </c>
      <c r="L105" s="139">
        <f t="shared" si="77"/>
        <v>79.932984567980725</v>
      </c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2.75" customHeight="1" x14ac:dyDescent="0.15">
      <c r="A106" s="27"/>
      <c r="B106" s="51" t="s">
        <v>97</v>
      </c>
      <c r="C106" s="86">
        <f t="shared" ref="C106:L106" si="78">SUM(C101:C105)</f>
        <v>286.29730000000001</v>
      </c>
      <c r="D106" s="86">
        <f t="shared" si="78"/>
        <v>390.09999999999997</v>
      </c>
      <c r="E106" s="86">
        <f t="shared" si="78"/>
        <v>393.4</v>
      </c>
      <c r="F106" s="86">
        <f t="shared" si="78"/>
        <v>465.16669999999999</v>
      </c>
      <c r="G106" s="86">
        <f t="shared" si="78"/>
        <v>504.95903804400007</v>
      </c>
      <c r="H106" s="86">
        <f t="shared" si="78"/>
        <v>552.43428129246843</v>
      </c>
      <c r="I106" s="86">
        <f t="shared" si="78"/>
        <v>603.56733980183174</v>
      </c>
      <c r="J106" s="86">
        <f t="shared" si="78"/>
        <v>658.63812984621654</v>
      </c>
      <c r="K106" s="86">
        <f t="shared" si="78"/>
        <v>717.94862830237707</v>
      </c>
      <c r="L106" s="86">
        <f t="shared" si="78"/>
        <v>781.82466510562347</v>
      </c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.75" customHeight="1" x14ac:dyDescent="0.15">
      <c r="A107" s="27"/>
      <c r="B107" s="57" t="s">
        <v>51</v>
      </c>
      <c r="C107" s="91">
        <v>99.766800000000003</v>
      </c>
      <c r="D107" s="91">
        <v>148.91700000000003</v>
      </c>
      <c r="E107" s="91">
        <v>176.39999999999998</v>
      </c>
      <c r="F107" s="139">
        <f t="shared" ref="F107:L107" si="79">F11*F116</f>
        <v>192.45694000000003</v>
      </c>
      <c r="G107" s="139">
        <f t="shared" si="79"/>
        <v>203.23452864000004</v>
      </c>
      <c r="H107" s="139">
        <f t="shared" si="79"/>
        <v>214.56639326720006</v>
      </c>
      <c r="I107" s="139">
        <f t="shared" si="79"/>
        <v>226.47963181875207</v>
      </c>
      <c r="J107" s="139">
        <f t="shared" si="79"/>
        <v>239.00262322520072</v>
      </c>
      <c r="K107" s="139">
        <f t="shared" si="79"/>
        <v>252.16508653325528</v>
      </c>
      <c r="L107" s="139">
        <f t="shared" si="79"/>
        <v>265.99814270879386</v>
      </c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2.75" customHeight="1" x14ac:dyDescent="0.15">
      <c r="A108" s="27"/>
      <c r="B108" s="51" t="s">
        <v>98</v>
      </c>
      <c r="C108" s="86">
        <f t="shared" ref="C108:L108" si="80">C107+C106</f>
        <v>386.0641</v>
      </c>
      <c r="D108" s="86">
        <f t="shared" si="80"/>
        <v>539.01700000000005</v>
      </c>
      <c r="E108" s="86">
        <f t="shared" si="80"/>
        <v>569.79999999999995</v>
      </c>
      <c r="F108" s="86">
        <f t="shared" si="80"/>
        <v>657.62364000000002</v>
      </c>
      <c r="G108" s="86">
        <f t="shared" si="80"/>
        <v>708.19356668400007</v>
      </c>
      <c r="H108" s="86">
        <f t="shared" si="80"/>
        <v>767.00067455966848</v>
      </c>
      <c r="I108" s="86">
        <f t="shared" si="80"/>
        <v>830.0469716205838</v>
      </c>
      <c r="J108" s="86">
        <f t="shared" si="80"/>
        <v>897.64075307141729</v>
      </c>
      <c r="K108" s="86">
        <f t="shared" si="80"/>
        <v>970.11371483563232</v>
      </c>
      <c r="L108" s="86">
        <f t="shared" si="80"/>
        <v>1047.8228078144173</v>
      </c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2.75" customHeight="1" x14ac:dyDescent="0.15">
      <c r="A109" s="27"/>
      <c r="B109" s="53" t="s">
        <v>99</v>
      </c>
      <c r="C109" s="52"/>
      <c r="D109" s="55"/>
      <c r="E109" s="55"/>
      <c r="F109" s="55"/>
      <c r="G109" s="55"/>
      <c r="H109" s="55"/>
      <c r="I109" s="55"/>
      <c r="J109" s="55"/>
      <c r="K109" s="55"/>
      <c r="L109" s="55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2.75" customHeight="1" x14ac:dyDescent="0.15">
      <c r="A110" s="27"/>
      <c r="B110" s="140" t="s">
        <v>100</v>
      </c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2.75" customHeight="1" x14ac:dyDescent="0.15">
      <c r="A111" s="27"/>
      <c r="B111" s="53" t="s">
        <v>44</v>
      </c>
      <c r="C111" s="75">
        <f t="shared" ref="C111:L111" si="81">C101/C4</f>
        <v>0.14000000000000001</v>
      </c>
      <c r="D111" s="75">
        <f t="shared" si="81"/>
        <v>0.20003650301149845</v>
      </c>
      <c r="E111" s="75">
        <f t="shared" si="81"/>
        <v>0.20571839597194747</v>
      </c>
      <c r="F111" s="75">
        <f t="shared" si="81"/>
        <v>0.22028433301418088</v>
      </c>
      <c r="G111" s="75">
        <f t="shared" si="81"/>
        <v>0.23336838882067204</v>
      </c>
      <c r="H111" s="75">
        <f t="shared" si="81"/>
        <v>0.2452599792310978</v>
      </c>
      <c r="I111" s="75">
        <f t="shared" si="81"/>
        <v>0.25658530343150332</v>
      </c>
      <c r="J111" s="75">
        <f t="shared" si="81"/>
        <v>0.26737132647950862</v>
      </c>
      <c r="K111" s="75">
        <f t="shared" si="81"/>
        <v>0.27764372938237075</v>
      </c>
      <c r="L111" s="75">
        <f t="shared" si="81"/>
        <v>0.28742697024223945</v>
      </c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2.75" customHeight="1" x14ac:dyDescent="0.15">
      <c r="A112" s="27"/>
      <c r="B112" s="53" t="s">
        <v>45</v>
      </c>
      <c r="C112" s="75">
        <f t="shared" ref="C112:L112" si="82">C102/C5</f>
        <v>0.14099999999999999</v>
      </c>
      <c r="D112" s="75">
        <f t="shared" si="82"/>
        <v>0.15491665392261816</v>
      </c>
      <c r="E112" s="75">
        <f t="shared" si="82"/>
        <v>0.16155606407322656</v>
      </c>
      <c r="F112" s="75">
        <f t="shared" si="82"/>
        <v>0.17407361179674538</v>
      </c>
      <c r="G112" s="75">
        <f t="shared" si="82"/>
        <v>0.18342242421869923</v>
      </c>
      <c r="H112" s="75">
        <f t="shared" si="82"/>
        <v>0.19235757919576738</v>
      </c>
      <c r="I112" s="75">
        <f t="shared" si="82"/>
        <v>0.20103248694049375</v>
      </c>
      <c r="J112" s="75">
        <f t="shared" si="82"/>
        <v>0.20945472746935426</v>
      </c>
      <c r="K112" s="75">
        <f t="shared" si="82"/>
        <v>0.21763166002164605</v>
      </c>
      <c r="L112" s="75">
        <f t="shared" si="82"/>
        <v>0.22557042948989051</v>
      </c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2.75" customHeight="1" x14ac:dyDescent="0.15">
      <c r="A113" s="27"/>
      <c r="B113" s="53" t="s">
        <v>46</v>
      </c>
      <c r="C113" s="75">
        <f t="shared" ref="C113:L113" si="83">C103/C6</f>
        <v>9.8000000000000004E-2</v>
      </c>
      <c r="D113" s="75">
        <f t="shared" si="83"/>
        <v>0.13616268788682581</v>
      </c>
      <c r="E113" s="75">
        <f t="shared" si="83"/>
        <v>0.15447338618346546</v>
      </c>
      <c r="F113" s="75">
        <f t="shared" si="83"/>
        <v>0.15528143369006644</v>
      </c>
      <c r="G113" s="75">
        <f t="shared" si="83"/>
        <v>0.15608137482109549</v>
      </c>
      <c r="H113" s="75">
        <f t="shared" si="83"/>
        <v>0.15686563083190833</v>
      </c>
      <c r="I113" s="75">
        <f t="shared" si="83"/>
        <v>0.15763450927388167</v>
      </c>
      <c r="J113" s="75">
        <f t="shared" si="83"/>
        <v>0.15838831166797318</v>
      </c>
      <c r="K113" s="75">
        <f t="shared" si="83"/>
        <v>0.15912733362296483</v>
      </c>
      <c r="L113" s="75">
        <f t="shared" si="83"/>
        <v>0.15985186495138806</v>
      </c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2.75" customHeight="1" x14ac:dyDescent="0.15">
      <c r="A114" s="27"/>
      <c r="B114" s="53" t="s">
        <v>47</v>
      </c>
      <c r="C114" s="75">
        <f t="shared" ref="C114:E114" si="84">C104/C7</f>
        <v>0.12240963855421685</v>
      </c>
      <c r="D114" s="75">
        <f t="shared" si="84"/>
        <v>0.27527646129541866</v>
      </c>
      <c r="E114" s="75">
        <f t="shared" si="84"/>
        <v>0.21557136877354541</v>
      </c>
      <c r="F114" s="129">
        <v>0.22500000000000001</v>
      </c>
      <c r="G114" s="129">
        <v>0.22500000000000001</v>
      </c>
      <c r="H114" s="129">
        <v>0.22500000000000001</v>
      </c>
      <c r="I114" s="129">
        <v>0.22500000000000001</v>
      </c>
      <c r="J114" s="129">
        <v>0.22500000000000001</v>
      </c>
      <c r="K114" s="129">
        <v>0.22500000000000001</v>
      </c>
      <c r="L114" s="129">
        <v>0.22500000000000001</v>
      </c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2.75" customHeight="1" x14ac:dyDescent="0.15">
      <c r="A115" s="27"/>
      <c r="B115" s="53" t="s">
        <v>48</v>
      </c>
      <c r="C115" s="75">
        <f t="shared" ref="C115:E115" si="85">C105/C8</f>
        <v>0.31801201201201201</v>
      </c>
      <c r="D115" s="75">
        <f t="shared" si="85"/>
        <v>0.19236947791164657</v>
      </c>
      <c r="E115" s="75">
        <f t="shared" si="85"/>
        <v>0.20090293453724606</v>
      </c>
      <c r="F115" s="129">
        <v>0.2</v>
      </c>
      <c r="G115" s="129">
        <v>0.2</v>
      </c>
      <c r="H115" s="129">
        <v>0.2</v>
      </c>
      <c r="I115" s="129">
        <v>0.2</v>
      </c>
      <c r="J115" s="129">
        <v>0.2</v>
      </c>
      <c r="K115" s="129">
        <v>0.2</v>
      </c>
      <c r="L115" s="129">
        <v>0.2</v>
      </c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2.75" customHeight="1" x14ac:dyDescent="0.15">
      <c r="A116" s="27"/>
      <c r="B116" s="57" t="s">
        <v>51</v>
      </c>
      <c r="C116" s="141">
        <f t="shared" ref="C116:E116" si="86">C107/C11</f>
        <v>8.4000000000000005E-2</v>
      </c>
      <c r="D116" s="141">
        <f t="shared" si="86"/>
        <v>0.11391187944618682</v>
      </c>
      <c r="E116" s="141">
        <f t="shared" si="86"/>
        <v>0.12987777941393019</v>
      </c>
      <c r="F116" s="129">
        <v>0.13</v>
      </c>
      <c r="G116" s="129">
        <f t="shared" ref="G116:L116" si="87">F116+0.2%</f>
        <v>0.13200000000000001</v>
      </c>
      <c r="H116" s="129">
        <f t="shared" si="87"/>
        <v>0.13400000000000001</v>
      </c>
      <c r="I116" s="129">
        <f t="shared" si="87"/>
        <v>0.13600000000000001</v>
      </c>
      <c r="J116" s="129">
        <f t="shared" si="87"/>
        <v>0.13800000000000001</v>
      </c>
      <c r="K116" s="129">
        <f t="shared" si="87"/>
        <v>0.14000000000000001</v>
      </c>
      <c r="L116" s="129">
        <f t="shared" si="87"/>
        <v>0.14200000000000002</v>
      </c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2.75" customHeight="1" x14ac:dyDescent="0.15">
      <c r="A117" s="27"/>
      <c r="B117" s="51" t="s">
        <v>101</v>
      </c>
      <c r="C117" s="142">
        <f t="shared" ref="C117:L117" si="88">C108/C12</f>
        <v>0.15231155560815876</v>
      </c>
      <c r="D117" s="142">
        <f t="shared" si="88"/>
        <v>0.1904451824894888</v>
      </c>
      <c r="E117" s="142">
        <f t="shared" si="88"/>
        <v>0.19655053466712658</v>
      </c>
      <c r="F117" s="142">
        <f t="shared" si="88"/>
        <v>0.20413914023068391</v>
      </c>
      <c r="G117" s="142">
        <f t="shared" si="88"/>
        <v>0.21052417251905881</v>
      </c>
      <c r="H117" s="142">
        <f t="shared" si="88"/>
        <v>0.21716716961188193</v>
      </c>
      <c r="I117" s="142">
        <f t="shared" si="88"/>
        <v>0.22379320150494553</v>
      </c>
      <c r="J117" s="142">
        <f t="shared" si="88"/>
        <v>0.23040267535876846</v>
      </c>
      <c r="K117" s="142">
        <f t="shared" si="88"/>
        <v>0.23699590558071851</v>
      </c>
      <c r="L117" s="142">
        <f t="shared" si="88"/>
        <v>0.24357311182797339</v>
      </c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2.75" customHeight="1" x14ac:dyDescent="0.15">
      <c r="A118" s="27"/>
      <c r="B118" s="74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2.75" customHeight="1" x14ac:dyDescent="0.15">
      <c r="A119" s="27"/>
      <c r="B119" s="143" t="s">
        <v>102</v>
      </c>
      <c r="C119" s="125">
        <f t="shared" ref="C119:L119" si="89">C2</f>
        <v>2022</v>
      </c>
      <c r="D119" s="125">
        <f t="shared" si="89"/>
        <v>2023</v>
      </c>
      <c r="E119" s="125">
        <f t="shared" si="89"/>
        <v>2024</v>
      </c>
      <c r="F119" s="125" t="str">
        <f t="shared" si="89"/>
        <v>2025E</v>
      </c>
      <c r="G119" s="125" t="str">
        <f t="shared" si="89"/>
        <v>2026E</v>
      </c>
      <c r="H119" s="125" t="str">
        <f t="shared" si="89"/>
        <v>2027E</v>
      </c>
      <c r="I119" s="125" t="str">
        <f t="shared" si="89"/>
        <v>2028E</v>
      </c>
      <c r="J119" s="125" t="str">
        <f t="shared" si="89"/>
        <v>2029E</v>
      </c>
      <c r="K119" s="125" t="str">
        <f t="shared" si="89"/>
        <v>2030E</v>
      </c>
      <c r="L119" s="125" t="str">
        <f t="shared" si="89"/>
        <v>2031E</v>
      </c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2.75" customHeight="1" x14ac:dyDescent="0.15">
      <c r="A120" s="27"/>
      <c r="B120" s="74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2.75" customHeight="1" x14ac:dyDescent="0.15">
      <c r="A121" s="27"/>
      <c r="B121" s="51" t="s">
        <v>103</v>
      </c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2.75" customHeight="1" x14ac:dyDescent="0.15">
      <c r="A122" s="27"/>
      <c r="B122" s="53" t="s">
        <v>44</v>
      </c>
      <c r="C122" s="64">
        <f t="shared" ref="C122:L122" si="90">C4/(C$4+C$5+C$6+C$7+C$8+C$11)</f>
        <v>0.15872914402608196</v>
      </c>
      <c r="D122" s="64">
        <f t="shared" si="90"/>
        <v>0.15818344544850882</v>
      </c>
      <c r="E122" s="64">
        <f t="shared" si="90"/>
        <v>0.15816268486916951</v>
      </c>
      <c r="F122" s="64">
        <f t="shared" si="90"/>
        <v>0.16245744042418825</v>
      </c>
      <c r="G122" s="64">
        <f t="shared" si="90"/>
        <v>0.16488643626599378</v>
      </c>
      <c r="H122" s="64">
        <f t="shared" si="90"/>
        <v>0.17043008677802177</v>
      </c>
      <c r="I122" s="64">
        <f t="shared" si="90"/>
        <v>0.17611507119320369</v>
      </c>
      <c r="J122" s="64">
        <f t="shared" si="90"/>
        <v>0.1819421631172555</v>
      </c>
      <c r="K122" s="64">
        <f t="shared" si="90"/>
        <v>0.18791195275126443</v>
      </c>
      <c r="L122" s="64">
        <f t="shared" si="90"/>
        <v>0.1940248368917854</v>
      </c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2.75" customHeight="1" x14ac:dyDescent="0.15">
      <c r="A123" s="27"/>
      <c r="B123" s="53" t="s">
        <v>45</v>
      </c>
      <c r="C123" s="64">
        <f t="shared" ref="C123:L123" si="91">C5/(C$4+C$5+C$6+C$7+C$8+C$11)</f>
        <v>0.19481557246052547</v>
      </c>
      <c r="D123" s="64">
        <f t="shared" si="91"/>
        <v>0.18878655772728586</v>
      </c>
      <c r="E123" s="64">
        <f t="shared" si="91"/>
        <v>0.18643344709897611</v>
      </c>
      <c r="F123" s="64">
        <f t="shared" si="91"/>
        <v>0.20721831327636284</v>
      </c>
      <c r="G123" s="64">
        <f t="shared" si="91"/>
        <v>0.20631052538733313</v>
      </c>
      <c r="H123" s="64">
        <f t="shared" si="91"/>
        <v>0.2061533830753311</v>
      </c>
      <c r="I123" s="64">
        <f t="shared" si="91"/>
        <v>0.20594368116337577</v>
      </c>
      <c r="J123" s="64">
        <f t="shared" si="91"/>
        <v>0.20568046714158014</v>
      </c>
      <c r="K123" s="64">
        <f t="shared" si="91"/>
        <v>0.20536283428392177</v>
      </c>
      <c r="L123" s="64">
        <f t="shared" si="91"/>
        <v>0.20498992591327186</v>
      </c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2.75" customHeight="1" x14ac:dyDescent="0.15">
      <c r="A124" s="27"/>
      <c r="B124" s="53" t="s">
        <v>46</v>
      </c>
      <c r="C124" s="64">
        <f t="shared" ref="C124:L124" si="92">C6/(C$4+C$5+C$6+C$7+C$8+C$11)</f>
        <v>0.13664258773892476</v>
      </c>
      <c r="D124" s="64">
        <f t="shared" si="92"/>
        <v>0.13061177353696915</v>
      </c>
      <c r="E124" s="64">
        <f t="shared" si="92"/>
        <v>0.12556882821387941</v>
      </c>
      <c r="F124" s="64">
        <f t="shared" si="92"/>
        <v>0.11722479717979031</v>
      </c>
      <c r="G124" s="64">
        <f t="shared" si="92"/>
        <v>0.1167224744492255</v>
      </c>
      <c r="H124" s="64">
        <f t="shared" si="92"/>
        <v>0.11550120468654888</v>
      </c>
      <c r="I124" s="64">
        <f t="shared" si="92"/>
        <v>0.11426348510748105</v>
      </c>
      <c r="J124" s="64">
        <f t="shared" si="92"/>
        <v>0.11300951001541053</v>
      </c>
      <c r="K124" s="64">
        <f t="shared" si="92"/>
        <v>0.11173950381611063</v>
      </c>
      <c r="L124" s="64">
        <f t="shared" si="92"/>
        <v>0.11045372186613825</v>
      </c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2.75" customHeight="1" x14ac:dyDescent="0.15">
      <c r="A125" s="27"/>
      <c r="B125" s="53" t="s">
        <v>47</v>
      </c>
      <c r="C125" s="64">
        <f t="shared" ref="C125:L125" si="93">C7/(C$4+C$5+C$6+C$7+C$8+C$11)</f>
        <v>6.6323595218308509E-2</v>
      </c>
      <c r="D125" s="64">
        <f t="shared" si="93"/>
        <v>7.3101019141380605E-2</v>
      </c>
      <c r="E125" s="64">
        <f t="shared" si="93"/>
        <v>6.794653014789534E-2</v>
      </c>
      <c r="F125" s="64">
        <f t="shared" si="93"/>
        <v>6.3403945968737302E-2</v>
      </c>
      <c r="G125" s="64">
        <f t="shared" si="93"/>
        <v>6.3107979931313674E-2</v>
      </c>
      <c r="H125" s="64">
        <f t="shared" si="93"/>
        <v>6.2423670674753275E-2</v>
      </c>
      <c r="I125" s="64">
        <f t="shared" si="93"/>
        <v>6.173099124527312E-2</v>
      </c>
      <c r="J125" s="64">
        <f t="shared" si="93"/>
        <v>6.1030056529210487E-2</v>
      </c>
      <c r="K125" s="64">
        <f t="shared" si="93"/>
        <v>6.0320997494148466E-2</v>
      </c>
      <c r="L125" s="64">
        <f t="shared" si="93"/>
        <v>5.9603961615657564E-2</v>
      </c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2.75" customHeight="1" x14ac:dyDescent="0.15">
      <c r="A126" s="27"/>
      <c r="B126" s="53" t="s">
        <v>104</v>
      </c>
      <c r="C126" s="64">
        <f t="shared" ref="C126:L126" si="94">C8/(C$4+C$5+C$6+C$7+C$8+C$11)</f>
        <v>6.386243048008694E-2</v>
      </c>
      <c r="D126" s="64">
        <f t="shared" si="94"/>
        <v>7.1888442994485671E-2</v>
      </c>
      <c r="E126" s="64">
        <f t="shared" si="94"/>
        <v>7.5597269624573388E-2</v>
      </c>
      <c r="F126" s="64">
        <f t="shared" si="94"/>
        <v>7.1899792996747106E-2</v>
      </c>
      <c r="G126" s="64">
        <f t="shared" si="94"/>
        <v>7.2940402841290233E-2</v>
      </c>
      <c r="H126" s="64">
        <f t="shared" si="94"/>
        <v>7.3536965961608067E-2</v>
      </c>
      <c r="I126" s="64">
        <f t="shared" si="94"/>
        <v>7.4119448878771865E-2</v>
      </c>
      <c r="J126" s="64">
        <f t="shared" si="94"/>
        <v>7.4687036751010405E-2</v>
      </c>
      <c r="K126" s="64">
        <f t="shared" si="94"/>
        <v>7.5238910352745977E-2</v>
      </c>
      <c r="L126" s="64">
        <f t="shared" si="94"/>
        <v>7.5774247991566998E-2</v>
      </c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2.75" customHeight="1" x14ac:dyDescent="0.15">
      <c r="A127" s="27"/>
      <c r="B127" s="57" t="s">
        <v>51</v>
      </c>
      <c r="C127" s="68">
        <f t="shared" ref="C127:L127" si="95">C11/(C$4+C$5+C$6+C$7+C$8+C$11)</f>
        <v>0.37962667007607237</v>
      </c>
      <c r="D127" s="68">
        <f t="shared" si="95"/>
        <v>0.37742876115136992</v>
      </c>
      <c r="E127" s="68">
        <f t="shared" si="95"/>
        <v>0.38629124004550625</v>
      </c>
      <c r="F127" s="68">
        <f t="shared" si="95"/>
        <v>0.37779571015417424</v>
      </c>
      <c r="G127" s="68">
        <f t="shared" si="95"/>
        <v>0.37603218112484366</v>
      </c>
      <c r="H127" s="68">
        <f t="shared" si="95"/>
        <v>0.371954688823737</v>
      </c>
      <c r="I127" s="68">
        <f t="shared" si="95"/>
        <v>0.36782732241189453</v>
      </c>
      <c r="J127" s="68">
        <f t="shared" si="95"/>
        <v>0.3636507664455329</v>
      </c>
      <c r="K127" s="68">
        <f t="shared" si="95"/>
        <v>0.35942580130180873</v>
      </c>
      <c r="L127" s="68">
        <f t="shared" si="95"/>
        <v>0.35515330572157994</v>
      </c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2.75" customHeight="1" x14ac:dyDescent="0.15">
      <c r="A128" s="34"/>
      <c r="B128" s="51" t="s">
        <v>2</v>
      </c>
      <c r="C128" s="72">
        <f t="shared" ref="C128:L128" si="96">SUM(C122:C127)</f>
        <v>1.0000000000000002</v>
      </c>
      <c r="D128" s="72">
        <f t="shared" si="96"/>
        <v>1</v>
      </c>
      <c r="E128" s="72">
        <f t="shared" si="96"/>
        <v>1</v>
      </c>
      <c r="F128" s="72">
        <f t="shared" si="96"/>
        <v>1</v>
      </c>
      <c r="G128" s="72">
        <f t="shared" si="96"/>
        <v>1</v>
      </c>
      <c r="H128" s="72">
        <f t="shared" si="96"/>
        <v>1.0000000000000002</v>
      </c>
      <c r="I128" s="72">
        <f t="shared" si="96"/>
        <v>1</v>
      </c>
      <c r="J128" s="72">
        <f t="shared" si="96"/>
        <v>1</v>
      </c>
      <c r="K128" s="72">
        <f t="shared" si="96"/>
        <v>1</v>
      </c>
      <c r="L128" s="72">
        <f t="shared" si="96"/>
        <v>1</v>
      </c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2.75" customHeight="1" x14ac:dyDescent="0.15">
      <c r="A129" s="27"/>
      <c r="B129" s="53" t="s">
        <v>99</v>
      </c>
      <c r="C129" s="49"/>
      <c r="D129" s="49"/>
      <c r="E129" s="49"/>
      <c r="F129" s="49"/>
      <c r="G129" s="52"/>
      <c r="H129" s="52"/>
      <c r="I129" s="52"/>
      <c r="J129" s="52"/>
      <c r="K129" s="52"/>
      <c r="L129" s="52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2.75" customHeight="1" x14ac:dyDescent="0.15">
      <c r="A130" s="27"/>
      <c r="B130" s="140" t="s">
        <v>105</v>
      </c>
      <c r="C130" s="100"/>
      <c r="D130" s="100"/>
      <c r="E130" s="100"/>
      <c r="F130" s="100"/>
      <c r="G130" s="138"/>
      <c r="H130" s="138"/>
      <c r="I130" s="138"/>
      <c r="J130" s="138"/>
      <c r="K130" s="138"/>
      <c r="L130" s="138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2.75" customHeight="1" x14ac:dyDescent="0.15">
      <c r="A131" s="27"/>
      <c r="B131" s="53" t="s">
        <v>106</v>
      </c>
      <c r="C131" s="83">
        <v>418.1</v>
      </c>
      <c r="D131" s="83">
        <v>462.20000000000005</v>
      </c>
      <c r="E131" s="83">
        <v>493.1</v>
      </c>
      <c r="F131" s="55"/>
      <c r="G131" s="55"/>
      <c r="H131" s="55"/>
      <c r="I131" s="55"/>
      <c r="J131" s="55"/>
      <c r="K131" s="55"/>
      <c r="L131" s="55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2.75" customHeight="1" x14ac:dyDescent="0.15">
      <c r="A132" s="27"/>
      <c r="B132" s="53" t="s">
        <v>107</v>
      </c>
      <c r="C132" s="83">
        <v>600.20000000000005</v>
      </c>
      <c r="D132" s="83">
        <v>666.09999999999991</v>
      </c>
      <c r="E132" s="83">
        <v>692.3</v>
      </c>
      <c r="F132" s="55"/>
      <c r="G132" s="55"/>
      <c r="H132" s="77"/>
      <c r="I132" s="77"/>
      <c r="J132" s="77"/>
      <c r="K132" s="77"/>
      <c r="L132" s="7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2.75" customHeight="1" x14ac:dyDescent="0.15">
      <c r="A133" s="27"/>
      <c r="B133" s="53" t="s">
        <v>108</v>
      </c>
      <c r="C133" s="55">
        <f t="shared" ref="C133:E133" si="97">SUM(C131:C132)</f>
        <v>1018.3000000000001</v>
      </c>
      <c r="D133" s="55">
        <f t="shared" si="97"/>
        <v>1128.3</v>
      </c>
      <c r="E133" s="55">
        <f t="shared" si="97"/>
        <v>1185.4000000000001</v>
      </c>
      <c r="F133" s="55"/>
      <c r="G133" s="55"/>
      <c r="H133" s="77"/>
      <c r="I133" s="77"/>
      <c r="J133" s="77"/>
      <c r="K133" s="77"/>
      <c r="L133" s="7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2.75" customHeight="1" x14ac:dyDescent="0.15">
      <c r="A134" s="27"/>
      <c r="B134" s="53" t="s">
        <v>109</v>
      </c>
      <c r="C134" s="83">
        <v>542</v>
      </c>
      <c r="D134" s="83">
        <v>634</v>
      </c>
      <c r="E134" s="83">
        <v>663.10000000000014</v>
      </c>
      <c r="F134" s="55"/>
      <c r="G134" s="55"/>
      <c r="H134" s="77"/>
      <c r="I134" s="77"/>
      <c r="J134" s="77"/>
      <c r="K134" s="77"/>
      <c r="L134" s="7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2.75" customHeight="1" x14ac:dyDescent="0.15">
      <c r="A135" s="27"/>
      <c r="B135" s="53" t="s">
        <v>110</v>
      </c>
      <c r="C135" s="83">
        <v>779.8</v>
      </c>
      <c r="D135" s="83">
        <v>824.9</v>
      </c>
      <c r="E135" s="83">
        <v>818.09999999999991</v>
      </c>
      <c r="F135" s="55"/>
      <c r="G135" s="55"/>
      <c r="H135" s="77"/>
      <c r="I135" s="77"/>
      <c r="J135" s="77"/>
      <c r="K135" s="77"/>
      <c r="L135" s="7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2.75" customHeight="1" x14ac:dyDescent="0.15">
      <c r="A136" s="27"/>
      <c r="B136" s="57" t="s">
        <v>111</v>
      </c>
      <c r="C136" s="91">
        <v>238.4</v>
      </c>
      <c r="D136" s="91">
        <v>292.39999999999998</v>
      </c>
      <c r="E136" s="91">
        <v>275.7</v>
      </c>
      <c r="F136" s="144"/>
      <c r="G136" s="144"/>
      <c r="H136" s="145"/>
      <c r="I136" s="145"/>
      <c r="J136" s="145"/>
      <c r="K136" s="145"/>
      <c r="L136" s="145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2.75" customHeight="1" x14ac:dyDescent="0.15">
      <c r="A137" s="27"/>
      <c r="B137" s="51" t="s">
        <v>112</v>
      </c>
      <c r="C137" s="77">
        <f t="shared" ref="C137:E137" si="98">SUM(C133:C136)</f>
        <v>2578.5000000000005</v>
      </c>
      <c r="D137" s="77">
        <f t="shared" si="98"/>
        <v>2879.6</v>
      </c>
      <c r="E137" s="77">
        <f t="shared" si="98"/>
        <v>2942.3</v>
      </c>
      <c r="F137" s="55"/>
      <c r="G137" s="55"/>
      <c r="H137" s="77"/>
      <c r="I137" s="77"/>
      <c r="J137" s="77"/>
      <c r="K137" s="77"/>
      <c r="L137" s="7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2.75" customHeight="1" x14ac:dyDescent="0.15">
      <c r="A138" s="27"/>
      <c r="B138" s="57" t="s">
        <v>113</v>
      </c>
      <c r="C138" s="91">
        <v>-43.8</v>
      </c>
      <c r="D138" s="91">
        <v>-49.2</v>
      </c>
      <c r="E138" s="91">
        <v>-43.3</v>
      </c>
      <c r="F138" s="144"/>
      <c r="G138" s="144"/>
      <c r="H138" s="144"/>
      <c r="I138" s="144"/>
      <c r="J138" s="144"/>
      <c r="K138" s="144"/>
      <c r="L138" s="144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2.75" customHeight="1" x14ac:dyDescent="0.15">
      <c r="A139" s="27"/>
      <c r="B139" s="51" t="s">
        <v>114</v>
      </c>
      <c r="C139" s="77">
        <f t="shared" ref="C139:E139" si="99">SUM(C137:C138)</f>
        <v>2534.7000000000003</v>
      </c>
      <c r="D139" s="77">
        <f t="shared" si="99"/>
        <v>2830.4</v>
      </c>
      <c r="E139" s="77">
        <f t="shared" si="99"/>
        <v>2899</v>
      </c>
      <c r="F139" s="52"/>
      <c r="G139" s="52"/>
      <c r="H139" s="49"/>
      <c r="I139" s="49"/>
      <c r="J139" s="49"/>
      <c r="K139" s="49"/>
      <c r="L139" s="49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.75" customHeight="1" x14ac:dyDescent="0.15">
      <c r="A140" s="27"/>
      <c r="B140" s="53" t="s">
        <v>99</v>
      </c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2.75" customHeight="1" x14ac:dyDescent="0.15">
      <c r="A141" s="27"/>
      <c r="B141" s="140" t="s">
        <v>115</v>
      </c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2.75" customHeight="1" x14ac:dyDescent="0.15">
      <c r="A142" s="27"/>
      <c r="B142" s="63" t="s">
        <v>106</v>
      </c>
      <c r="C142" s="146"/>
      <c r="D142" s="146">
        <f t="shared" ref="D142:E142" si="100">D131/C131-1</f>
        <v>0.10547715857450379</v>
      </c>
      <c r="E142" s="146">
        <f t="shared" si="100"/>
        <v>6.6854175681523076E-2</v>
      </c>
      <c r="F142" s="146"/>
      <c r="G142" s="146"/>
      <c r="H142" s="147"/>
      <c r="I142" s="147"/>
      <c r="J142" s="147"/>
      <c r="K142" s="147"/>
      <c r="L142" s="14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2.75" customHeight="1" x14ac:dyDescent="0.15">
      <c r="A143" s="27"/>
      <c r="B143" s="63" t="s">
        <v>107</v>
      </c>
      <c r="C143" s="146"/>
      <c r="D143" s="146">
        <f t="shared" ref="D143:E143" si="101">D132/C132-1</f>
        <v>0.10979673442185911</v>
      </c>
      <c r="E143" s="146">
        <f t="shared" si="101"/>
        <v>3.9333433418405672E-2</v>
      </c>
      <c r="F143" s="146"/>
      <c r="G143" s="146"/>
      <c r="H143" s="147"/>
      <c r="I143" s="147"/>
      <c r="J143" s="147"/>
      <c r="K143" s="147"/>
      <c r="L143" s="14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2.75" customHeight="1" x14ac:dyDescent="0.15">
      <c r="A144" s="27"/>
      <c r="B144" s="63" t="s">
        <v>108</v>
      </c>
      <c r="C144" s="146"/>
      <c r="D144" s="146">
        <f t="shared" ref="D144:E144" si="102">D133/C133-1</f>
        <v>0.10802317588137078</v>
      </c>
      <c r="E144" s="146">
        <f t="shared" si="102"/>
        <v>5.0607108038642323E-2</v>
      </c>
      <c r="F144" s="146"/>
      <c r="G144" s="146"/>
      <c r="H144" s="147"/>
      <c r="I144" s="147"/>
      <c r="J144" s="147"/>
      <c r="K144" s="147"/>
      <c r="L144" s="14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2.75" customHeight="1" x14ac:dyDescent="0.15">
      <c r="A145" s="27"/>
      <c r="B145" s="63" t="s">
        <v>109</v>
      </c>
      <c r="C145" s="146"/>
      <c r="D145" s="146">
        <f t="shared" ref="D145:E145" si="103">D134/C134-1</f>
        <v>0.16974169741697409</v>
      </c>
      <c r="E145" s="146">
        <f t="shared" si="103"/>
        <v>4.5899053627760367E-2</v>
      </c>
      <c r="F145" s="146"/>
      <c r="G145" s="146"/>
      <c r="H145" s="147"/>
      <c r="I145" s="147"/>
      <c r="J145" s="147"/>
      <c r="K145" s="147"/>
      <c r="L145" s="14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2.75" customHeight="1" x14ac:dyDescent="0.15">
      <c r="A146" s="27"/>
      <c r="B146" s="63" t="s">
        <v>110</v>
      </c>
      <c r="C146" s="146"/>
      <c r="D146" s="146">
        <f t="shared" ref="D146:E146" si="104">D135/C135-1</f>
        <v>5.7835342395486045E-2</v>
      </c>
      <c r="E146" s="146">
        <f t="shared" si="104"/>
        <v>-8.2434234452661848E-3</v>
      </c>
      <c r="F146" s="146"/>
      <c r="G146" s="146"/>
      <c r="H146" s="147"/>
      <c r="I146" s="147"/>
      <c r="J146" s="147"/>
      <c r="K146" s="147"/>
      <c r="L146" s="14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2.75" customHeight="1" x14ac:dyDescent="0.15">
      <c r="A147" s="27"/>
      <c r="B147" s="67" t="s">
        <v>111</v>
      </c>
      <c r="C147" s="148"/>
      <c r="D147" s="148">
        <f t="shared" ref="D147:E147" si="105">D136/C136-1</f>
        <v>0.22651006711409383</v>
      </c>
      <c r="E147" s="148">
        <f t="shared" si="105"/>
        <v>-5.7113543091655283E-2</v>
      </c>
      <c r="F147" s="148"/>
      <c r="G147" s="148"/>
      <c r="H147" s="149"/>
      <c r="I147" s="149"/>
      <c r="J147" s="149"/>
      <c r="K147" s="149"/>
      <c r="L147" s="149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2.75" customHeight="1" x14ac:dyDescent="0.15">
      <c r="A148" s="27"/>
      <c r="B148" s="70" t="s">
        <v>112</v>
      </c>
      <c r="C148" s="146"/>
      <c r="D148" s="147">
        <f t="shared" ref="D148:E148" si="106">D137/C137-1</f>
        <v>0.11677331782043798</v>
      </c>
      <c r="E148" s="147">
        <f t="shared" si="106"/>
        <v>2.1773857480205772E-2</v>
      </c>
      <c r="F148" s="146"/>
      <c r="G148" s="146"/>
      <c r="H148" s="147"/>
      <c r="I148" s="147"/>
      <c r="J148" s="147"/>
      <c r="K148" s="147"/>
      <c r="L148" s="14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2.75" customHeight="1" x14ac:dyDescent="0.15">
      <c r="A149" s="27"/>
      <c r="B149" s="67" t="s">
        <v>116</v>
      </c>
      <c r="C149" s="148"/>
      <c r="D149" s="148">
        <f t="shared" ref="D149:E149" si="107">D138/C138-1</f>
        <v>0.12328767123287676</v>
      </c>
      <c r="E149" s="148">
        <f t="shared" si="107"/>
        <v>-0.11991869918699194</v>
      </c>
      <c r="F149" s="148"/>
      <c r="G149" s="148"/>
      <c r="H149" s="148"/>
      <c r="I149" s="148"/>
      <c r="J149" s="148"/>
      <c r="K149" s="148"/>
      <c r="L149" s="148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2.75" customHeight="1" x14ac:dyDescent="0.15">
      <c r="A150" s="27"/>
      <c r="B150" s="70" t="s">
        <v>114</v>
      </c>
      <c r="C150" s="146"/>
      <c r="D150" s="147">
        <f t="shared" ref="D150:E150" si="108">D139/C139-1</f>
        <v>0.11666074880656474</v>
      </c>
      <c r="E150" s="147">
        <f t="shared" si="108"/>
        <v>2.4236856981345367E-2</v>
      </c>
      <c r="F150" s="146"/>
      <c r="G150" s="146"/>
      <c r="H150" s="147"/>
      <c r="I150" s="147"/>
      <c r="J150" s="147"/>
      <c r="K150" s="147"/>
      <c r="L150" s="14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2.75" customHeight="1" x14ac:dyDescent="0.15">
      <c r="A151" s="64"/>
      <c r="B151" s="53" t="s">
        <v>99</v>
      </c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2.75" customHeight="1" x14ac:dyDescent="0.15">
      <c r="A152" s="64"/>
      <c r="B152" s="150" t="s">
        <v>80</v>
      </c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2.75" customHeight="1" x14ac:dyDescent="0.15">
      <c r="A153" s="27"/>
      <c r="B153" s="53" t="s">
        <v>106</v>
      </c>
      <c r="C153" s="83">
        <v>44</v>
      </c>
      <c r="D153" s="83">
        <v>56.1</v>
      </c>
      <c r="E153" s="83">
        <v>60</v>
      </c>
      <c r="F153" s="55"/>
      <c r="G153" s="55"/>
      <c r="H153" s="77"/>
      <c r="I153" s="77"/>
      <c r="J153" s="77"/>
      <c r="K153" s="77"/>
      <c r="L153" s="7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2.75" customHeight="1" x14ac:dyDescent="0.15">
      <c r="A154" s="27"/>
      <c r="B154" s="53" t="s">
        <v>107</v>
      </c>
      <c r="C154" s="83">
        <v>103.9</v>
      </c>
      <c r="D154" s="83">
        <v>119.80000000000001</v>
      </c>
      <c r="E154" s="83">
        <v>149.60000000000002</v>
      </c>
      <c r="F154" s="55"/>
      <c r="G154" s="55"/>
      <c r="H154" s="77"/>
      <c r="I154" s="77"/>
      <c r="J154" s="77"/>
      <c r="K154" s="77"/>
      <c r="L154" s="7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2.75" customHeight="1" x14ac:dyDescent="0.15">
      <c r="A155" s="27"/>
      <c r="B155" s="53" t="s">
        <v>108</v>
      </c>
      <c r="C155" s="55">
        <f t="shared" ref="C155:E155" si="109">SUM(C153:C154)</f>
        <v>147.9</v>
      </c>
      <c r="D155" s="55">
        <f t="shared" si="109"/>
        <v>175.9</v>
      </c>
      <c r="E155" s="55">
        <f t="shared" si="109"/>
        <v>209.60000000000002</v>
      </c>
      <c r="F155" s="55"/>
      <c r="G155" s="55"/>
      <c r="H155" s="77"/>
      <c r="I155" s="77"/>
      <c r="J155" s="77"/>
      <c r="K155" s="77"/>
      <c r="L155" s="7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2.75" customHeight="1" x14ac:dyDescent="0.15">
      <c r="A156" s="27"/>
      <c r="B156" s="53" t="s">
        <v>109</v>
      </c>
      <c r="C156" s="83">
        <v>72.599999999999994</v>
      </c>
      <c r="D156" s="83">
        <v>102.60000000000001</v>
      </c>
      <c r="E156" s="83">
        <v>113.4</v>
      </c>
      <c r="F156" s="55"/>
      <c r="G156" s="55"/>
      <c r="H156" s="77"/>
      <c r="I156" s="77"/>
      <c r="J156" s="77"/>
      <c r="K156" s="77"/>
      <c r="L156" s="7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2.75" customHeight="1" x14ac:dyDescent="0.15">
      <c r="A157" s="27"/>
      <c r="B157" s="53" t="s">
        <v>110</v>
      </c>
      <c r="C157" s="83">
        <v>86.6</v>
      </c>
      <c r="D157" s="83">
        <v>115.6</v>
      </c>
      <c r="E157" s="83">
        <v>131.6</v>
      </c>
      <c r="F157" s="55"/>
      <c r="G157" s="55"/>
      <c r="H157" s="77"/>
      <c r="I157" s="77"/>
      <c r="J157" s="77"/>
      <c r="K157" s="77"/>
      <c r="L157" s="7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2.75" customHeight="1" x14ac:dyDescent="0.15">
      <c r="A158" s="27"/>
      <c r="B158" s="57" t="s">
        <v>111</v>
      </c>
      <c r="C158" s="91">
        <v>28.3</v>
      </c>
      <c r="D158" s="91">
        <v>78.099999999999994</v>
      </c>
      <c r="E158" s="91">
        <v>60.2</v>
      </c>
      <c r="F158" s="144"/>
      <c r="G158" s="144"/>
      <c r="H158" s="145"/>
      <c r="I158" s="145"/>
      <c r="J158" s="145"/>
      <c r="K158" s="145"/>
      <c r="L158" s="145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2.75" customHeight="1" x14ac:dyDescent="0.15">
      <c r="A159" s="27"/>
      <c r="B159" s="51" t="s">
        <v>117</v>
      </c>
      <c r="C159" s="77">
        <f t="shared" ref="C159:E159" si="110">SUM(C155:C158)</f>
        <v>335.40000000000003</v>
      </c>
      <c r="D159" s="77">
        <f t="shared" si="110"/>
        <v>472.20000000000005</v>
      </c>
      <c r="E159" s="77">
        <f t="shared" si="110"/>
        <v>514.80000000000007</v>
      </c>
      <c r="F159" s="55"/>
      <c r="G159" s="55"/>
      <c r="H159" s="77"/>
      <c r="I159" s="77"/>
      <c r="J159" s="77"/>
      <c r="K159" s="77"/>
      <c r="L159" s="7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2.75" customHeight="1" x14ac:dyDescent="0.15">
      <c r="A160" s="27"/>
      <c r="B160" s="57" t="s">
        <v>118</v>
      </c>
      <c r="C160" s="91">
        <v>-28.7</v>
      </c>
      <c r="D160" s="91">
        <v>-50.199999999999996</v>
      </c>
      <c r="E160" s="91">
        <v>-60.6</v>
      </c>
      <c r="F160" s="144"/>
      <c r="G160" s="144"/>
      <c r="H160" s="144"/>
      <c r="I160" s="144"/>
      <c r="J160" s="144"/>
      <c r="K160" s="144"/>
      <c r="L160" s="144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2.75" customHeight="1" x14ac:dyDescent="0.15">
      <c r="A161" s="27"/>
      <c r="B161" s="51" t="s">
        <v>119</v>
      </c>
      <c r="C161" s="77">
        <f t="shared" ref="C161:E161" si="111">SUM(C159:C160)</f>
        <v>306.70000000000005</v>
      </c>
      <c r="D161" s="77">
        <f t="shared" si="111"/>
        <v>422.00000000000006</v>
      </c>
      <c r="E161" s="77">
        <f t="shared" si="111"/>
        <v>454.20000000000005</v>
      </c>
      <c r="F161" s="52"/>
      <c r="G161" s="52"/>
      <c r="H161" s="49"/>
      <c r="I161" s="49"/>
      <c r="J161" s="49"/>
      <c r="K161" s="49"/>
      <c r="L161" s="49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2.75" customHeight="1" x14ac:dyDescent="0.15">
      <c r="A162" s="27"/>
      <c r="B162" s="53" t="s">
        <v>99</v>
      </c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2.75" customHeight="1" x14ac:dyDescent="0.15">
      <c r="A163" s="27"/>
      <c r="B163" s="140" t="s">
        <v>120</v>
      </c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2.75" customHeight="1" x14ac:dyDescent="0.15">
      <c r="A164" s="27"/>
      <c r="B164" s="53" t="s">
        <v>106</v>
      </c>
      <c r="C164" s="64">
        <f t="shared" ref="C164:E164" si="112">C153/C131</f>
        <v>0.10523798134417603</v>
      </c>
      <c r="D164" s="64">
        <f t="shared" si="112"/>
        <v>0.1213760276936391</v>
      </c>
      <c r="E164" s="64">
        <f t="shared" si="112"/>
        <v>0.12167917258162644</v>
      </c>
      <c r="F164" s="64"/>
      <c r="G164" s="64"/>
      <c r="H164" s="64"/>
      <c r="I164" s="64"/>
      <c r="J164" s="64"/>
      <c r="K164" s="64"/>
      <c r="L164" s="64"/>
      <c r="M164" s="64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2.75" customHeight="1" x14ac:dyDescent="0.15">
      <c r="A165" s="27"/>
      <c r="B165" s="53" t="s">
        <v>107</v>
      </c>
      <c r="C165" s="64">
        <f t="shared" ref="C165:E165" si="113">C154/C132</f>
        <v>0.17310896367877374</v>
      </c>
      <c r="D165" s="64">
        <f t="shared" si="113"/>
        <v>0.1798528749437022</v>
      </c>
      <c r="E165" s="64">
        <f t="shared" si="113"/>
        <v>0.21609128990322118</v>
      </c>
      <c r="F165" s="64"/>
      <c r="G165" s="64"/>
      <c r="H165" s="64"/>
      <c r="I165" s="64"/>
      <c r="J165" s="64"/>
      <c r="K165" s="64"/>
      <c r="L165" s="64"/>
      <c r="M165" s="64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2.75" customHeight="1" x14ac:dyDescent="0.15">
      <c r="A166" s="27"/>
      <c r="B166" s="53" t="s">
        <v>108</v>
      </c>
      <c r="C166" s="64">
        <f t="shared" ref="C166:E166" si="114">C155/C133</f>
        <v>0.14524207011686144</v>
      </c>
      <c r="D166" s="64">
        <f t="shared" si="114"/>
        <v>0.15589825401045823</v>
      </c>
      <c r="E166" s="64">
        <f t="shared" si="114"/>
        <v>0.17681795174624601</v>
      </c>
      <c r="F166" s="64"/>
      <c r="G166" s="64"/>
      <c r="H166" s="64"/>
      <c r="I166" s="64"/>
      <c r="J166" s="64"/>
      <c r="K166" s="64"/>
      <c r="L166" s="64"/>
      <c r="M166" s="64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2.75" customHeight="1" x14ac:dyDescent="0.15">
      <c r="A167" s="27"/>
      <c r="B167" s="53" t="s">
        <v>109</v>
      </c>
      <c r="C167" s="64">
        <f t="shared" ref="C167:E167" si="115">C156/C134</f>
        <v>0.13394833948339482</v>
      </c>
      <c r="D167" s="64">
        <f t="shared" si="115"/>
        <v>0.16182965299684543</v>
      </c>
      <c r="E167" s="64">
        <f t="shared" si="115"/>
        <v>0.17101492987483033</v>
      </c>
      <c r="F167" s="64"/>
      <c r="G167" s="64"/>
      <c r="H167" s="64"/>
      <c r="I167" s="64"/>
      <c r="J167" s="64"/>
      <c r="K167" s="64"/>
      <c r="L167" s="64"/>
      <c r="M167" s="64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2.75" customHeight="1" x14ac:dyDescent="0.15">
      <c r="A168" s="27"/>
      <c r="B168" s="53" t="s">
        <v>110</v>
      </c>
      <c r="C168" s="64">
        <f t="shared" ref="C168:E168" si="116">C157/C135</f>
        <v>0.11105411644011284</v>
      </c>
      <c r="D168" s="64">
        <f t="shared" si="116"/>
        <v>0.14013819856952359</v>
      </c>
      <c r="E168" s="64">
        <f t="shared" si="116"/>
        <v>0.16086053049749421</v>
      </c>
      <c r="F168" s="64"/>
      <c r="G168" s="64"/>
      <c r="H168" s="64"/>
      <c r="I168" s="64"/>
      <c r="J168" s="64"/>
      <c r="K168" s="64"/>
      <c r="L168" s="64"/>
      <c r="M168" s="64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2.75" customHeight="1" x14ac:dyDescent="0.15">
      <c r="A169" s="27"/>
      <c r="B169" s="53" t="s">
        <v>111</v>
      </c>
      <c r="C169" s="64">
        <f t="shared" ref="C169:E169" si="117">C158/C136</f>
        <v>0.11870805369127517</v>
      </c>
      <c r="D169" s="64">
        <f t="shared" si="117"/>
        <v>0.26709986320109441</v>
      </c>
      <c r="E169" s="64">
        <f t="shared" si="117"/>
        <v>0.2183532825535002</v>
      </c>
      <c r="F169" s="64"/>
      <c r="G169" s="64"/>
      <c r="H169" s="64"/>
      <c r="I169" s="64"/>
      <c r="J169" s="64"/>
      <c r="K169" s="64"/>
      <c r="L169" s="64"/>
      <c r="M169" s="64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2.75" customHeight="1" x14ac:dyDescent="0.15">
      <c r="A170" s="34"/>
      <c r="B170" s="51" t="s">
        <v>121</v>
      </c>
      <c r="C170" s="72">
        <f t="shared" ref="C170:E170" si="118">C159/C137</f>
        <v>0.13007562536358347</v>
      </c>
      <c r="D170" s="72">
        <f t="shared" si="118"/>
        <v>0.16398110848728992</v>
      </c>
      <c r="E170" s="72">
        <f t="shared" si="118"/>
        <v>0.17496516330761649</v>
      </c>
      <c r="F170" s="72"/>
      <c r="G170" s="72"/>
      <c r="H170" s="72"/>
      <c r="I170" s="72"/>
      <c r="J170" s="72"/>
      <c r="K170" s="72"/>
      <c r="L170" s="72"/>
      <c r="M170" s="64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2.75" customHeight="1" x14ac:dyDescent="0.15">
      <c r="A171" s="34"/>
      <c r="B171" s="51" t="s">
        <v>122</v>
      </c>
      <c r="C171" s="72">
        <f t="shared" ref="C171:E171" si="119">C161/C139</f>
        <v>0.12100051288120883</v>
      </c>
      <c r="D171" s="72">
        <f t="shared" si="119"/>
        <v>0.14909553420011307</v>
      </c>
      <c r="E171" s="72">
        <f t="shared" si="119"/>
        <v>0.15667471541911004</v>
      </c>
      <c r="F171" s="72"/>
      <c r="G171" s="72"/>
      <c r="H171" s="72"/>
      <c r="I171" s="72"/>
      <c r="J171" s="72"/>
      <c r="K171" s="72"/>
      <c r="L171" s="72"/>
      <c r="M171" s="64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2.75" customHeight="1" x14ac:dyDescent="0.15">
      <c r="A172" s="27"/>
      <c r="B172" s="53" t="s">
        <v>99</v>
      </c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2.75" customHeight="1" x14ac:dyDescent="0.15">
      <c r="A173" s="27"/>
      <c r="B173" s="140" t="s">
        <v>123</v>
      </c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2.75" customHeight="1" x14ac:dyDescent="0.15">
      <c r="A174" s="27"/>
      <c r="B174" s="53" t="s">
        <v>106</v>
      </c>
      <c r="C174" s="83">
        <v>72.2</v>
      </c>
      <c r="D174" s="83">
        <v>51.2</v>
      </c>
      <c r="E174" s="151">
        <v>100.9</v>
      </c>
      <c r="F174" s="55"/>
      <c r="G174" s="55"/>
      <c r="H174" s="77"/>
      <c r="I174" s="77"/>
      <c r="J174" s="77"/>
      <c r="K174" s="77"/>
      <c r="L174" s="7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2.75" customHeight="1" x14ac:dyDescent="0.15">
      <c r="A175" s="27"/>
      <c r="B175" s="53" t="s">
        <v>107</v>
      </c>
      <c r="C175" s="83">
        <v>210.7</v>
      </c>
      <c r="D175" s="83">
        <v>196.2</v>
      </c>
      <c r="E175" s="151">
        <v>129.30000000000001</v>
      </c>
      <c r="F175" s="55"/>
      <c r="G175" s="55"/>
      <c r="H175" s="77"/>
      <c r="I175" s="77"/>
      <c r="J175" s="77"/>
      <c r="K175" s="77"/>
      <c r="L175" s="7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2.75" customHeight="1" x14ac:dyDescent="0.15">
      <c r="A176" s="152"/>
      <c r="B176" s="53" t="s">
        <v>108</v>
      </c>
      <c r="C176" s="153">
        <f>SUM(C174:C175)</f>
        <v>282.89999999999998</v>
      </c>
      <c r="D176" s="153">
        <f t="shared" ref="D176:E176" si="120">SUM(D174:D175)</f>
        <v>247.39999999999998</v>
      </c>
      <c r="E176" s="153">
        <f t="shared" si="120"/>
        <v>230.20000000000002</v>
      </c>
      <c r="F176" s="154"/>
      <c r="G176" s="154"/>
      <c r="H176" s="155"/>
      <c r="I176" s="155"/>
      <c r="J176" s="155"/>
      <c r="K176" s="155"/>
      <c r="L176" s="155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2.75" customHeight="1" x14ac:dyDescent="0.15">
      <c r="A177" s="152"/>
      <c r="B177" s="53" t="s">
        <v>109</v>
      </c>
      <c r="C177" s="151">
        <v>313.5</v>
      </c>
      <c r="D177" s="151">
        <v>256.7</v>
      </c>
      <c r="E177" s="151">
        <v>339.9</v>
      </c>
      <c r="F177" s="154"/>
      <c r="G177" s="154"/>
      <c r="H177" s="155"/>
      <c r="I177" s="155"/>
      <c r="J177" s="155"/>
      <c r="K177" s="155"/>
      <c r="L177" s="155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2.75" customHeight="1" x14ac:dyDescent="0.15">
      <c r="A178" s="152"/>
      <c r="B178" s="57" t="s">
        <v>110</v>
      </c>
      <c r="C178" s="156">
        <v>222.5</v>
      </c>
      <c r="D178" s="156">
        <v>158.1</v>
      </c>
      <c r="E178" s="156">
        <v>175.5</v>
      </c>
      <c r="F178" s="157"/>
      <c r="G178" s="157"/>
      <c r="H178" s="158"/>
      <c r="I178" s="158"/>
      <c r="J178" s="158"/>
      <c r="K178" s="158"/>
      <c r="L178" s="158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2.75" customHeight="1" x14ac:dyDescent="0.15">
      <c r="A179" s="159"/>
      <c r="B179" s="140" t="s">
        <v>2</v>
      </c>
      <c r="C179" s="160">
        <f t="shared" ref="C179:E179" si="121">SUM(C176:C178)</f>
        <v>818.9</v>
      </c>
      <c r="D179" s="160">
        <f t="shared" si="121"/>
        <v>662.19999999999993</v>
      </c>
      <c r="E179" s="160">
        <f t="shared" si="121"/>
        <v>745.6</v>
      </c>
      <c r="F179" s="155"/>
      <c r="G179" s="155"/>
      <c r="H179" s="155"/>
      <c r="I179" s="155"/>
      <c r="J179" s="155"/>
      <c r="K179" s="155"/>
      <c r="L179" s="155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2.75" customHeight="1" x14ac:dyDescent="0.15">
      <c r="A180" s="27"/>
      <c r="B180" s="53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2.75" customHeight="1" x14ac:dyDescent="0.15">
      <c r="A181" s="27"/>
      <c r="B181" s="140" t="s">
        <v>124</v>
      </c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2.75" customHeight="1" x14ac:dyDescent="0.15">
      <c r="A182" s="27"/>
      <c r="B182" s="63" t="s">
        <v>106</v>
      </c>
      <c r="C182" s="161"/>
      <c r="D182" s="146">
        <f>+D174/C174-1</f>
        <v>-0.29085872576177285</v>
      </c>
      <c r="E182" s="146">
        <f>+E174/D174-1</f>
        <v>0.970703125</v>
      </c>
      <c r="F182" s="161"/>
      <c r="G182" s="161"/>
      <c r="H182" s="161"/>
      <c r="I182" s="161"/>
      <c r="J182" s="161"/>
      <c r="K182" s="161"/>
      <c r="L182" s="161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2.75" customHeight="1" x14ac:dyDescent="0.15">
      <c r="A183" s="27"/>
      <c r="B183" s="63" t="s">
        <v>107</v>
      </c>
      <c r="C183" s="161"/>
      <c r="D183" s="146">
        <f t="shared" ref="D183:E183" si="122">+D175/C175-1</f>
        <v>-6.8818224964404373E-2</v>
      </c>
      <c r="E183" s="146">
        <f t="shared" si="122"/>
        <v>-0.34097859327217117</v>
      </c>
      <c r="F183" s="161"/>
      <c r="G183" s="161"/>
      <c r="H183" s="161"/>
      <c r="I183" s="161"/>
      <c r="J183" s="161"/>
      <c r="K183" s="161"/>
      <c r="L183" s="161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15">
      <c r="A184" s="27"/>
      <c r="B184" s="63" t="s">
        <v>108</v>
      </c>
      <c r="C184" s="161"/>
      <c r="D184" s="146">
        <f t="shared" ref="D184:E184" si="123">+D176/C176-1</f>
        <v>-0.12548603746907039</v>
      </c>
      <c r="E184" s="146">
        <f t="shared" si="123"/>
        <v>-6.9523039611964266E-2</v>
      </c>
      <c r="F184" s="161"/>
      <c r="G184" s="161"/>
      <c r="H184" s="161"/>
      <c r="I184" s="161"/>
      <c r="J184" s="161"/>
      <c r="K184" s="161"/>
      <c r="L184" s="161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15">
      <c r="A185" s="27"/>
      <c r="B185" s="63" t="s">
        <v>109</v>
      </c>
      <c r="C185" s="161"/>
      <c r="D185" s="146">
        <f t="shared" ref="D185:E187" si="124">+D177/C177-1</f>
        <v>-0.18118022328548644</v>
      </c>
      <c r="E185" s="146">
        <f t="shared" si="124"/>
        <v>0.3241137514608492</v>
      </c>
      <c r="F185" s="161"/>
      <c r="G185" s="161"/>
      <c r="H185" s="161"/>
      <c r="I185" s="161"/>
      <c r="J185" s="161"/>
      <c r="K185" s="161"/>
      <c r="L185" s="161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15">
      <c r="A186" s="27"/>
      <c r="B186" s="67" t="s">
        <v>110</v>
      </c>
      <c r="C186" s="162"/>
      <c r="D186" s="229">
        <f t="shared" si="124"/>
        <v>-0.28943820224719108</v>
      </c>
      <c r="E186" s="229">
        <f t="shared" si="124"/>
        <v>0.11005692599620498</v>
      </c>
      <c r="F186" s="162"/>
      <c r="G186" s="162"/>
      <c r="H186" s="162"/>
      <c r="I186" s="162"/>
      <c r="J186" s="162"/>
      <c r="K186" s="162"/>
      <c r="L186" s="162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15">
      <c r="A187" s="27"/>
      <c r="B187" s="163" t="s">
        <v>125</v>
      </c>
      <c r="C187" s="161"/>
      <c r="D187" s="147">
        <f t="shared" si="124"/>
        <v>-0.19135425570887787</v>
      </c>
      <c r="E187" s="147">
        <f t="shared" si="124"/>
        <v>0.12594382361824241</v>
      </c>
      <c r="F187" s="161"/>
      <c r="G187" s="161"/>
      <c r="H187" s="161"/>
      <c r="I187" s="161"/>
      <c r="J187" s="161"/>
      <c r="K187" s="161"/>
      <c r="L187" s="161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15">
      <c r="A188" s="27"/>
      <c r="B188" s="27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15">
      <c r="A189" s="27"/>
      <c r="B189" s="27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15">
      <c r="A190" s="27"/>
      <c r="B190" s="27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15">
      <c r="A191" s="27"/>
      <c r="B191" s="27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15">
      <c r="A192" s="27"/>
      <c r="B192" s="27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15">
      <c r="A193" s="27"/>
      <c r="B193" s="27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15">
      <c r="A194" s="27"/>
      <c r="B194" s="27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15">
      <c r="A195" s="27"/>
      <c r="B195" s="27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15">
      <c r="A196" s="27"/>
      <c r="B196" s="27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15">
      <c r="A197" s="27"/>
      <c r="B197" s="27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15">
      <c r="A198" s="27"/>
      <c r="B198" s="27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15">
      <c r="A199" s="27"/>
      <c r="B199" s="27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15">
      <c r="A200" s="27"/>
      <c r="B200" s="27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15">
      <c r="A201" s="27"/>
      <c r="B201" s="27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15">
      <c r="A202" s="27"/>
      <c r="B202" s="27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15">
      <c r="A203" s="27"/>
      <c r="B203" s="27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15">
      <c r="A204" s="27"/>
      <c r="B204" s="27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15">
      <c r="A205" s="27"/>
      <c r="B205" s="27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15">
      <c r="A206" s="27"/>
      <c r="B206" s="27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15">
      <c r="A207" s="27"/>
      <c r="B207" s="27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15">
      <c r="A208" s="27"/>
      <c r="B208" s="27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15">
      <c r="A209" s="27"/>
      <c r="B209" s="27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15">
      <c r="A210" s="27"/>
      <c r="B210" s="27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15">
      <c r="A211" s="27"/>
      <c r="B211" s="27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15">
      <c r="A212" s="27"/>
      <c r="B212" s="27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15">
      <c r="A213" s="27"/>
      <c r="B213" s="27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15">
      <c r="A214" s="27"/>
      <c r="B214" s="27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15">
      <c r="A215" s="27"/>
      <c r="B215" s="27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15">
      <c r="A216" s="27"/>
      <c r="B216" s="27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15">
      <c r="A217" s="27"/>
      <c r="B217" s="27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15">
      <c r="A218" s="27"/>
      <c r="B218" s="27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15">
      <c r="A219" s="27"/>
      <c r="B219" s="27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 x14ac:dyDescent="0.15">
      <c r="A220" s="27"/>
      <c r="B220" s="27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 x14ac:dyDescent="0.15">
      <c r="A221" s="27"/>
      <c r="B221" s="27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.75" customHeight="1" x14ac:dyDescent="0.15">
      <c r="A222" s="27"/>
      <c r="B222" s="27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.75" customHeight="1" x14ac:dyDescent="0.15">
      <c r="A223" s="27"/>
      <c r="B223" s="27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.75" customHeight="1" x14ac:dyDescent="0.15">
      <c r="A224" s="27"/>
      <c r="B224" s="27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.75" customHeight="1" x14ac:dyDescent="0.15">
      <c r="A225" s="27"/>
      <c r="B225" s="27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.75" customHeight="1" x14ac:dyDescent="0.15">
      <c r="A226" s="27"/>
      <c r="B226" s="27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.75" customHeight="1" x14ac:dyDescent="0.15">
      <c r="A227" s="27"/>
      <c r="B227" s="27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.75" customHeight="1" x14ac:dyDescent="0.15">
      <c r="A228" s="27"/>
      <c r="B228" s="27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.75" customHeight="1" x14ac:dyDescent="0.15">
      <c r="A229" s="27"/>
      <c r="B229" s="27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.75" customHeight="1" x14ac:dyDescent="0.15">
      <c r="A230" s="27"/>
      <c r="B230" s="27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.75" customHeight="1" x14ac:dyDescent="0.15">
      <c r="A231" s="27"/>
      <c r="B231" s="27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.75" customHeight="1" x14ac:dyDescent="0.15">
      <c r="A232" s="27"/>
      <c r="B232" s="27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.75" customHeight="1" x14ac:dyDescent="0.15">
      <c r="A233" s="27"/>
      <c r="B233" s="27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.75" customHeight="1" x14ac:dyDescent="0.15">
      <c r="A234" s="27"/>
      <c r="B234" s="27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.75" customHeight="1" x14ac:dyDescent="0.15">
      <c r="A235" s="27"/>
      <c r="B235" s="27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.75" customHeight="1" x14ac:dyDescent="0.15">
      <c r="A236" s="27"/>
      <c r="B236" s="27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.75" customHeight="1" x14ac:dyDescent="0.15">
      <c r="A237" s="27"/>
      <c r="B237" s="27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.75" customHeight="1" x14ac:dyDescent="0.15">
      <c r="A238" s="27"/>
      <c r="B238" s="27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2.75" customHeight="1" x14ac:dyDescent="0.15">
      <c r="A239" s="27"/>
      <c r="B239" s="27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.75" customHeight="1" x14ac:dyDescent="0.15">
      <c r="A240" s="27"/>
      <c r="B240" s="27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.75" customHeight="1" x14ac:dyDescent="0.15">
      <c r="A241" s="27"/>
      <c r="B241" s="27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.75" customHeight="1" x14ac:dyDescent="0.15">
      <c r="A242" s="27"/>
      <c r="B242" s="27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.75" customHeight="1" x14ac:dyDescent="0.15">
      <c r="A243" s="27"/>
      <c r="B243" s="27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.75" customHeight="1" x14ac:dyDescent="0.15">
      <c r="A244" s="27"/>
      <c r="B244" s="27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.75" customHeight="1" x14ac:dyDescent="0.15">
      <c r="A245" s="27"/>
      <c r="B245" s="27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.75" customHeight="1" x14ac:dyDescent="0.15">
      <c r="A246" s="27"/>
      <c r="B246" s="27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.75" customHeight="1" x14ac:dyDescent="0.15">
      <c r="A247" s="27"/>
      <c r="B247" s="27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 x14ac:dyDescent="0.15">
      <c r="A248" s="27"/>
      <c r="B248" s="27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 x14ac:dyDescent="0.15">
      <c r="A249" s="27"/>
      <c r="B249" s="27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 x14ac:dyDescent="0.15">
      <c r="A250" s="27"/>
      <c r="B250" s="27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 x14ac:dyDescent="0.15">
      <c r="A251" s="27"/>
      <c r="B251" s="27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 x14ac:dyDescent="0.15">
      <c r="A252" s="27"/>
      <c r="B252" s="27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 x14ac:dyDescent="0.15">
      <c r="A253" s="27"/>
      <c r="B253" s="27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 x14ac:dyDescent="0.15">
      <c r="A254" s="27"/>
      <c r="B254" s="27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 x14ac:dyDescent="0.15">
      <c r="A255" s="27"/>
      <c r="B255" s="27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 x14ac:dyDescent="0.15">
      <c r="A256" s="27"/>
      <c r="B256" s="27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 x14ac:dyDescent="0.15">
      <c r="A257" s="27"/>
      <c r="B257" s="27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 x14ac:dyDescent="0.15">
      <c r="A258" s="27"/>
      <c r="B258" s="27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 x14ac:dyDescent="0.15">
      <c r="A259" s="27"/>
      <c r="B259" s="27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 x14ac:dyDescent="0.15">
      <c r="A260" s="27"/>
      <c r="B260" s="27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 x14ac:dyDescent="0.15">
      <c r="A261" s="27"/>
      <c r="B261" s="27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 x14ac:dyDescent="0.15">
      <c r="A262" s="27"/>
      <c r="B262" s="27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 x14ac:dyDescent="0.15">
      <c r="A263" s="27"/>
      <c r="B263" s="27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 x14ac:dyDescent="0.15">
      <c r="A264" s="27"/>
      <c r="B264" s="27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 x14ac:dyDescent="0.15">
      <c r="A265" s="27"/>
      <c r="B265" s="27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 x14ac:dyDescent="0.15">
      <c r="A266" s="27"/>
      <c r="B266" s="27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 x14ac:dyDescent="0.15">
      <c r="A267" s="27"/>
      <c r="B267" s="27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 x14ac:dyDescent="0.15">
      <c r="A268" s="27"/>
      <c r="B268" s="27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 x14ac:dyDescent="0.15">
      <c r="A269" s="27"/>
      <c r="B269" s="27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 x14ac:dyDescent="0.15">
      <c r="A270" s="27"/>
      <c r="B270" s="27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 x14ac:dyDescent="0.15">
      <c r="A271" s="27"/>
      <c r="B271" s="27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 x14ac:dyDescent="0.15">
      <c r="A272" s="27"/>
      <c r="B272" s="27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 x14ac:dyDescent="0.15">
      <c r="A273" s="27"/>
      <c r="B273" s="27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 x14ac:dyDescent="0.15">
      <c r="A274" s="27"/>
      <c r="B274" s="27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 x14ac:dyDescent="0.15">
      <c r="A275" s="27"/>
      <c r="B275" s="27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 x14ac:dyDescent="0.15">
      <c r="A276" s="27"/>
      <c r="B276" s="27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 x14ac:dyDescent="0.15">
      <c r="A277" s="27"/>
      <c r="B277" s="27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 x14ac:dyDescent="0.15">
      <c r="A278" s="27"/>
      <c r="B278" s="27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 x14ac:dyDescent="0.15">
      <c r="A279" s="27"/>
      <c r="B279" s="27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 x14ac:dyDescent="0.15">
      <c r="A280" s="27"/>
      <c r="B280" s="27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 x14ac:dyDescent="0.15">
      <c r="A281" s="27"/>
      <c r="B281" s="27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 x14ac:dyDescent="0.15">
      <c r="A282" s="27"/>
      <c r="B282" s="27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 x14ac:dyDescent="0.15">
      <c r="A283" s="27"/>
      <c r="B283" s="27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 x14ac:dyDescent="0.15">
      <c r="A284" s="27"/>
      <c r="B284" s="27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 x14ac:dyDescent="0.15">
      <c r="A285" s="27"/>
      <c r="B285" s="27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 x14ac:dyDescent="0.15">
      <c r="A286" s="27"/>
      <c r="B286" s="27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 x14ac:dyDescent="0.15">
      <c r="A287" s="27"/>
      <c r="B287" s="27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 x14ac:dyDescent="0.15">
      <c r="A288" s="27"/>
      <c r="B288" s="27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 x14ac:dyDescent="0.15">
      <c r="A289" s="27"/>
      <c r="B289" s="27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 x14ac:dyDescent="0.15">
      <c r="A290" s="27"/>
      <c r="B290" s="27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 x14ac:dyDescent="0.15">
      <c r="A291" s="27"/>
      <c r="B291" s="27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 x14ac:dyDescent="0.15">
      <c r="A292" s="27"/>
      <c r="B292" s="27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 x14ac:dyDescent="0.15">
      <c r="A293" s="27"/>
      <c r="B293" s="27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 x14ac:dyDescent="0.15">
      <c r="A294" s="27"/>
      <c r="B294" s="27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 x14ac:dyDescent="0.15">
      <c r="A295" s="27"/>
      <c r="B295" s="27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 x14ac:dyDescent="0.15">
      <c r="A296" s="27"/>
      <c r="B296" s="27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 x14ac:dyDescent="0.15">
      <c r="A297" s="27"/>
      <c r="B297" s="27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 x14ac:dyDescent="0.15">
      <c r="A298" s="27"/>
      <c r="B298" s="27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 x14ac:dyDescent="0.15">
      <c r="A299" s="27"/>
      <c r="B299" s="27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 x14ac:dyDescent="0.15">
      <c r="A300" s="27"/>
      <c r="B300" s="27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 x14ac:dyDescent="0.15">
      <c r="A301" s="27"/>
      <c r="B301" s="27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 x14ac:dyDescent="0.15">
      <c r="A302" s="27"/>
      <c r="B302" s="27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 x14ac:dyDescent="0.15">
      <c r="A303" s="27"/>
      <c r="B303" s="27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 x14ac:dyDescent="0.15">
      <c r="A304" s="27"/>
      <c r="B304" s="27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 x14ac:dyDescent="0.15">
      <c r="A305" s="27"/>
      <c r="B305" s="27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 x14ac:dyDescent="0.15">
      <c r="A306" s="27"/>
      <c r="B306" s="27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 x14ac:dyDescent="0.15">
      <c r="A307" s="27"/>
      <c r="B307" s="27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 x14ac:dyDescent="0.15">
      <c r="A308" s="27"/>
      <c r="B308" s="27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 x14ac:dyDescent="0.15">
      <c r="A309" s="27"/>
      <c r="B309" s="27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 x14ac:dyDescent="0.15">
      <c r="A310" s="27"/>
      <c r="B310" s="27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 x14ac:dyDescent="0.15">
      <c r="A311" s="27"/>
      <c r="B311" s="27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 x14ac:dyDescent="0.15">
      <c r="A312" s="27"/>
      <c r="B312" s="27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 x14ac:dyDescent="0.15">
      <c r="A313" s="27"/>
      <c r="B313" s="27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 x14ac:dyDescent="0.15">
      <c r="A314" s="27"/>
      <c r="B314" s="27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 x14ac:dyDescent="0.15">
      <c r="A315" s="27"/>
      <c r="B315" s="27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 x14ac:dyDescent="0.15">
      <c r="A316" s="27"/>
      <c r="B316" s="27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 x14ac:dyDescent="0.15">
      <c r="A317" s="27"/>
      <c r="B317" s="27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 x14ac:dyDescent="0.15">
      <c r="A318" s="27"/>
      <c r="B318" s="27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 x14ac:dyDescent="0.15">
      <c r="A319" s="27"/>
      <c r="B319" s="27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 x14ac:dyDescent="0.15">
      <c r="A320" s="27"/>
      <c r="B320" s="27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 x14ac:dyDescent="0.15">
      <c r="A321" s="27"/>
      <c r="B321" s="27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 x14ac:dyDescent="0.15">
      <c r="A322" s="27"/>
      <c r="B322" s="27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 x14ac:dyDescent="0.15">
      <c r="A323" s="27"/>
      <c r="B323" s="27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 x14ac:dyDescent="0.15">
      <c r="A324" s="27"/>
      <c r="B324" s="27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 x14ac:dyDescent="0.15">
      <c r="A325" s="27"/>
      <c r="B325" s="27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 x14ac:dyDescent="0.15">
      <c r="A326" s="27"/>
      <c r="B326" s="27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 x14ac:dyDescent="0.15">
      <c r="A327" s="27"/>
      <c r="B327" s="27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 x14ac:dyDescent="0.15">
      <c r="A328" s="27"/>
      <c r="B328" s="27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 x14ac:dyDescent="0.15">
      <c r="A329" s="27"/>
      <c r="B329" s="27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 x14ac:dyDescent="0.15">
      <c r="A330" s="27"/>
      <c r="B330" s="27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 x14ac:dyDescent="0.15">
      <c r="A331" s="27"/>
      <c r="B331" s="27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 x14ac:dyDescent="0.15">
      <c r="A332" s="27"/>
      <c r="B332" s="27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 x14ac:dyDescent="0.15">
      <c r="A333" s="27"/>
      <c r="B333" s="27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 x14ac:dyDescent="0.15">
      <c r="A334" s="27"/>
      <c r="B334" s="27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 x14ac:dyDescent="0.15">
      <c r="A335" s="27"/>
      <c r="B335" s="27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 x14ac:dyDescent="0.15">
      <c r="A336" s="27"/>
      <c r="B336" s="27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 x14ac:dyDescent="0.15">
      <c r="A337" s="27"/>
      <c r="B337" s="27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 x14ac:dyDescent="0.15">
      <c r="A338" s="27"/>
      <c r="B338" s="27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 x14ac:dyDescent="0.15">
      <c r="A339" s="27"/>
      <c r="B339" s="27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 x14ac:dyDescent="0.15">
      <c r="A340" s="27"/>
      <c r="B340" s="27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 x14ac:dyDescent="0.15">
      <c r="A341" s="27"/>
      <c r="B341" s="27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 x14ac:dyDescent="0.15">
      <c r="A342" s="27"/>
      <c r="B342" s="27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 x14ac:dyDescent="0.15">
      <c r="A343" s="27"/>
      <c r="B343" s="27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 x14ac:dyDescent="0.15">
      <c r="A344" s="27"/>
      <c r="B344" s="27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 x14ac:dyDescent="0.15">
      <c r="A345" s="27"/>
      <c r="B345" s="27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 x14ac:dyDescent="0.15">
      <c r="A346" s="27"/>
      <c r="B346" s="27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 x14ac:dyDescent="0.15">
      <c r="A347" s="27"/>
      <c r="B347" s="27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 x14ac:dyDescent="0.15">
      <c r="A348" s="27"/>
      <c r="B348" s="27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 x14ac:dyDescent="0.15">
      <c r="A349" s="27"/>
      <c r="B349" s="27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 x14ac:dyDescent="0.15">
      <c r="A350" s="27"/>
      <c r="B350" s="27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 x14ac:dyDescent="0.15">
      <c r="A351" s="27"/>
      <c r="B351" s="27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 x14ac:dyDescent="0.15">
      <c r="A352" s="27"/>
      <c r="B352" s="27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 x14ac:dyDescent="0.15">
      <c r="A353" s="27"/>
      <c r="B353" s="27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 x14ac:dyDescent="0.15">
      <c r="A354" s="27"/>
      <c r="B354" s="27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 x14ac:dyDescent="0.15">
      <c r="A355" s="27"/>
      <c r="B355" s="27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 x14ac:dyDescent="0.15">
      <c r="A356" s="27"/>
      <c r="B356" s="27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 x14ac:dyDescent="0.15">
      <c r="A357" s="27"/>
      <c r="B357" s="27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 x14ac:dyDescent="0.15">
      <c r="A358" s="27"/>
      <c r="B358" s="27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 x14ac:dyDescent="0.15">
      <c r="A359" s="27"/>
      <c r="B359" s="27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 x14ac:dyDescent="0.15">
      <c r="A360" s="27"/>
      <c r="B360" s="27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 x14ac:dyDescent="0.15">
      <c r="A361" s="27"/>
      <c r="B361" s="27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 x14ac:dyDescent="0.15">
      <c r="A362" s="27"/>
      <c r="B362" s="27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 x14ac:dyDescent="0.15">
      <c r="A363" s="27"/>
      <c r="B363" s="27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 x14ac:dyDescent="0.15">
      <c r="A364" s="27"/>
      <c r="B364" s="27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 x14ac:dyDescent="0.15">
      <c r="A365" s="27"/>
      <c r="B365" s="27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 x14ac:dyDescent="0.15">
      <c r="A366" s="27"/>
      <c r="B366" s="27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 x14ac:dyDescent="0.15">
      <c r="A367" s="27"/>
      <c r="B367" s="27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 x14ac:dyDescent="0.15">
      <c r="A368" s="27"/>
      <c r="B368" s="27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 x14ac:dyDescent="0.15">
      <c r="A369" s="27"/>
      <c r="B369" s="27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 x14ac:dyDescent="0.15">
      <c r="A370" s="27"/>
      <c r="B370" s="27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 x14ac:dyDescent="0.15">
      <c r="A371" s="27"/>
      <c r="B371" s="27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 x14ac:dyDescent="0.15">
      <c r="A372" s="27"/>
      <c r="B372" s="27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 x14ac:dyDescent="0.15">
      <c r="A373" s="27"/>
      <c r="B373" s="27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 x14ac:dyDescent="0.15">
      <c r="A374" s="27"/>
      <c r="B374" s="27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 x14ac:dyDescent="0.15">
      <c r="A375" s="27"/>
      <c r="B375" s="27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 x14ac:dyDescent="0.15">
      <c r="A376" s="27"/>
      <c r="B376" s="27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 x14ac:dyDescent="0.15">
      <c r="A377" s="27"/>
      <c r="B377" s="27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 x14ac:dyDescent="0.15">
      <c r="A378" s="27"/>
      <c r="B378" s="27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 x14ac:dyDescent="0.15">
      <c r="A379" s="27"/>
      <c r="B379" s="27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 x14ac:dyDescent="0.15">
      <c r="A380" s="27"/>
      <c r="B380" s="27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 x14ac:dyDescent="0.15">
      <c r="A381" s="27"/>
      <c r="B381" s="27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 x14ac:dyDescent="0.15">
      <c r="A382" s="27"/>
      <c r="B382" s="27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 x14ac:dyDescent="0.15">
      <c r="A383" s="27"/>
      <c r="B383" s="27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 x14ac:dyDescent="0.15">
      <c r="A384" s="27"/>
      <c r="B384" s="27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 x14ac:dyDescent="0.15">
      <c r="A385" s="27"/>
      <c r="B385" s="27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 x14ac:dyDescent="0.15">
      <c r="A386" s="27"/>
      <c r="B386" s="27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 x14ac:dyDescent="0.15">
      <c r="A387" s="27"/>
      <c r="B387" s="27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 x14ac:dyDescent="0.15">
      <c r="A388" s="27"/>
      <c r="B388" s="27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 x14ac:dyDescent="0.15">
      <c r="A389" s="27"/>
      <c r="B389" s="27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 x14ac:dyDescent="0.15">
      <c r="A390" s="27"/>
      <c r="B390" s="27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 x14ac:dyDescent="0.15">
      <c r="A391" s="27"/>
      <c r="B391" s="27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 x14ac:dyDescent="0.15">
      <c r="A392" s="27"/>
      <c r="B392" s="27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 x14ac:dyDescent="0.15">
      <c r="A393" s="27"/>
      <c r="B393" s="27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 x14ac:dyDescent="0.15">
      <c r="A394" s="27"/>
      <c r="B394" s="27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 x14ac:dyDescent="0.15">
      <c r="A395" s="27"/>
      <c r="B395" s="27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 x14ac:dyDescent="0.15">
      <c r="A396" s="27"/>
      <c r="B396" s="27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 x14ac:dyDescent="0.15">
      <c r="A397" s="27"/>
      <c r="B397" s="27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 x14ac:dyDescent="0.15">
      <c r="A398" s="27"/>
      <c r="B398" s="27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 x14ac:dyDescent="0.15">
      <c r="A399" s="27"/>
      <c r="B399" s="27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 x14ac:dyDescent="0.15">
      <c r="A400" s="27"/>
      <c r="B400" s="27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 x14ac:dyDescent="0.15">
      <c r="A401" s="27"/>
      <c r="B401" s="27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 x14ac:dyDescent="0.15">
      <c r="A402" s="27"/>
      <c r="B402" s="27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 x14ac:dyDescent="0.15">
      <c r="A403" s="27"/>
      <c r="B403" s="27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 x14ac:dyDescent="0.15">
      <c r="A404" s="27"/>
      <c r="B404" s="27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 x14ac:dyDescent="0.15">
      <c r="A405" s="27"/>
      <c r="B405" s="27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 x14ac:dyDescent="0.15">
      <c r="A406" s="27"/>
      <c r="B406" s="27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 x14ac:dyDescent="0.15">
      <c r="A407" s="27"/>
      <c r="B407" s="27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 x14ac:dyDescent="0.15">
      <c r="A408" s="27"/>
      <c r="B408" s="27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 x14ac:dyDescent="0.15">
      <c r="A409" s="27"/>
      <c r="B409" s="27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 x14ac:dyDescent="0.15">
      <c r="A410" s="27"/>
      <c r="B410" s="27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 x14ac:dyDescent="0.15">
      <c r="A411" s="27"/>
      <c r="B411" s="27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 x14ac:dyDescent="0.15">
      <c r="A412" s="27"/>
      <c r="B412" s="27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 x14ac:dyDescent="0.15">
      <c r="A413" s="27"/>
      <c r="B413" s="27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 x14ac:dyDescent="0.15">
      <c r="A414" s="27"/>
      <c r="B414" s="27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 x14ac:dyDescent="0.15">
      <c r="A415" s="27"/>
      <c r="B415" s="27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 x14ac:dyDescent="0.15">
      <c r="A416" s="27"/>
      <c r="B416" s="27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 x14ac:dyDescent="0.15">
      <c r="A417" s="27"/>
      <c r="B417" s="27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 x14ac:dyDescent="0.15">
      <c r="A418" s="27"/>
      <c r="B418" s="27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 x14ac:dyDescent="0.15">
      <c r="A419" s="27"/>
      <c r="B419" s="27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 x14ac:dyDescent="0.15">
      <c r="A420" s="27"/>
      <c r="B420" s="27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 x14ac:dyDescent="0.15">
      <c r="A421" s="27"/>
      <c r="B421" s="27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 x14ac:dyDescent="0.15">
      <c r="A422" s="27"/>
      <c r="B422" s="27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 x14ac:dyDescent="0.15">
      <c r="A423" s="27"/>
      <c r="B423" s="27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 x14ac:dyDescent="0.15">
      <c r="A424" s="27"/>
      <c r="B424" s="27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 x14ac:dyDescent="0.15">
      <c r="A425" s="27"/>
      <c r="B425" s="27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 x14ac:dyDescent="0.15">
      <c r="A426" s="27"/>
      <c r="B426" s="27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 x14ac:dyDescent="0.15">
      <c r="A427" s="27"/>
      <c r="B427" s="27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 x14ac:dyDescent="0.15">
      <c r="A428" s="27"/>
      <c r="B428" s="27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 x14ac:dyDescent="0.15">
      <c r="A429" s="27"/>
      <c r="B429" s="27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 x14ac:dyDescent="0.15">
      <c r="A430" s="27"/>
      <c r="B430" s="27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 x14ac:dyDescent="0.15">
      <c r="A431" s="27"/>
      <c r="B431" s="27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 x14ac:dyDescent="0.15">
      <c r="A432" s="27"/>
      <c r="B432" s="27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 x14ac:dyDescent="0.15">
      <c r="A433" s="27"/>
      <c r="B433" s="27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 x14ac:dyDescent="0.15">
      <c r="A434" s="27"/>
      <c r="B434" s="27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 x14ac:dyDescent="0.15">
      <c r="A435" s="27"/>
      <c r="B435" s="27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 x14ac:dyDescent="0.15">
      <c r="A436" s="27"/>
      <c r="B436" s="27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 x14ac:dyDescent="0.15">
      <c r="A437" s="27"/>
      <c r="B437" s="27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 x14ac:dyDescent="0.15">
      <c r="A438" s="27"/>
      <c r="B438" s="27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 x14ac:dyDescent="0.15">
      <c r="A439" s="27"/>
      <c r="B439" s="27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 x14ac:dyDescent="0.15">
      <c r="A440" s="27"/>
      <c r="B440" s="27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 x14ac:dyDescent="0.15">
      <c r="A441" s="27"/>
      <c r="B441" s="27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 x14ac:dyDescent="0.15">
      <c r="A442" s="27"/>
      <c r="B442" s="27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 x14ac:dyDescent="0.15">
      <c r="A443" s="27"/>
      <c r="B443" s="27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 x14ac:dyDescent="0.15">
      <c r="A444" s="27"/>
      <c r="B444" s="27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 x14ac:dyDescent="0.15">
      <c r="A445" s="27"/>
      <c r="B445" s="27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 x14ac:dyDescent="0.15">
      <c r="A446" s="27"/>
      <c r="B446" s="27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 x14ac:dyDescent="0.15">
      <c r="A447" s="27"/>
      <c r="B447" s="27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 x14ac:dyDescent="0.15">
      <c r="A448" s="27"/>
      <c r="B448" s="27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 x14ac:dyDescent="0.15">
      <c r="A449" s="27"/>
      <c r="B449" s="27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 x14ac:dyDescent="0.15">
      <c r="A450" s="27"/>
      <c r="B450" s="27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 x14ac:dyDescent="0.15">
      <c r="A451" s="27"/>
      <c r="B451" s="27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 x14ac:dyDescent="0.15">
      <c r="A452" s="27"/>
      <c r="B452" s="27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 x14ac:dyDescent="0.15">
      <c r="A453" s="27"/>
      <c r="B453" s="27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 x14ac:dyDescent="0.15">
      <c r="A454" s="27"/>
      <c r="B454" s="27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 x14ac:dyDescent="0.15">
      <c r="A455" s="27"/>
      <c r="B455" s="27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 x14ac:dyDescent="0.15">
      <c r="A456" s="27"/>
      <c r="B456" s="27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 x14ac:dyDescent="0.15">
      <c r="A457" s="27"/>
      <c r="B457" s="27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 x14ac:dyDescent="0.15">
      <c r="A458" s="27"/>
      <c r="B458" s="27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 x14ac:dyDescent="0.15">
      <c r="A459" s="27"/>
      <c r="B459" s="27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 x14ac:dyDescent="0.15">
      <c r="A460" s="27"/>
      <c r="B460" s="27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 x14ac:dyDescent="0.15">
      <c r="A461" s="27"/>
      <c r="B461" s="27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 x14ac:dyDescent="0.15">
      <c r="A462" s="27"/>
      <c r="B462" s="27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 x14ac:dyDescent="0.15">
      <c r="A463" s="27"/>
      <c r="B463" s="27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 x14ac:dyDescent="0.15">
      <c r="A464" s="27"/>
      <c r="B464" s="27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 x14ac:dyDescent="0.15">
      <c r="A465" s="27"/>
      <c r="B465" s="27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 x14ac:dyDescent="0.15">
      <c r="A466" s="27"/>
      <c r="B466" s="27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 x14ac:dyDescent="0.15">
      <c r="A467" s="27"/>
      <c r="B467" s="27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 x14ac:dyDescent="0.15">
      <c r="A468" s="27"/>
      <c r="B468" s="27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 x14ac:dyDescent="0.15">
      <c r="A469" s="27"/>
      <c r="B469" s="27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 x14ac:dyDescent="0.15">
      <c r="A470" s="27"/>
      <c r="B470" s="27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 x14ac:dyDescent="0.15">
      <c r="A471" s="27"/>
      <c r="B471" s="27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 x14ac:dyDescent="0.15">
      <c r="A472" s="27"/>
      <c r="B472" s="27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 x14ac:dyDescent="0.15">
      <c r="A473" s="27"/>
      <c r="B473" s="27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 x14ac:dyDescent="0.15">
      <c r="A474" s="27"/>
      <c r="B474" s="27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 x14ac:dyDescent="0.15">
      <c r="A475" s="27"/>
      <c r="B475" s="27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 x14ac:dyDescent="0.15">
      <c r="A476" s="27"/>
      <c r="B476" s="27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 x14ac:dyDescent="0.15">
      <c r="A477" s="27"/>
      <c r="B477" s="27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 x14ac:dyDescent="0.15">
      <c r="A478" s="27"/>
      <c r="B478" s="27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 x14ac:dyDescent="0.15">
      <c r="A479" s="27"/>
      <c r="B479" s="27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 x14ac:dyDescent="0.15">
      <c r="A480" s="27"/>
      <c r="B480" s="27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 x14ac:dyDescent="0.15">
      <c r="A481" s="27"/>
      <c r="B481" s="27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 x14ac:dyDescent="0.15">
      <c r="A482" s="27"/>
      <c r="B482" s="27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 x14ac:dyDescent="0.15">
      <c r="A483" s="27"/>
      <c r="B483" s="27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 x14ac:dyDescent="0.15">
      <c r="A484" s="27"/>
      <c r="B484" s="27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 x14ac:dyDescent="0.15">
      <c r="A485" s="27"/>
      <c r="B485" s="27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 x14ac:dyDescent="0.15">
      <c r="A486" s="27"/>
      <c r="B486" s="27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 x14ac:dyDescent="0.15">
      <c r="A487" s="27"/>
      <c r="B487" s="27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 x14ac:dyDescent="0.15">
      <c r="A488" s="27"/>
      <c r="B488" s="27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 x14ac:dyDescent="0.15">
      <c r="A489" s="27"/>
      <c r="B489" s="27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 x14ac:dyDescent="0.15">
      <c r="A490" s="27"/>
      <c r="B490" s="27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 x14ac:dyDescent="0.15">
      <c r="A491" s="27"/>
      <c r="B491" s="27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 x14ac:dyDescent="0.15">
      <c r="A492" s="27"/>
      <c r="B492" s="27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 x14ac:dyDescent="0.15">
      <c r="A493" s="27"/>
      <c r="B493" s="27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 x14ac:dyDescent="0.15">
      <c r="A494" s="27"/>
      <c r="B494" s="27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 x14ac:dyDescent="0.15">
      <c r="A495" s="27"/>
      <c r="B495" s="27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 x14ac:dyDescent="0.15">
      <c r="A496" s="27"/>
      <c r="B496" s="27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 x14ac:dyDescent="0.15">
      <c r="A497" s="27"/>
      <c r="B497" s="27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 x14ac:dyDescent="0.15">
      <c r="A498" s="27"/>
      <c r="B498" s="27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 x14ac:dyDescent="0.15">
      <c r="A499" s="27"/>
      <c r="B499" s="27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 x14ac:dyDescent="0.15">
      <c r="A500" s="27"/>
      <c r="B500" s="27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 x14ac:dyDescent="0.15">
      <c r="A501" s="27"/>
      <c r="B501" s="27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 x14ac:dyDescent="0.15">
      <c r="A502" s="27"/>
      <c r="B502" s="27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 x14ac:dyDescent="0.15">
      <c r="A503" s="27"/>
      <c r="B503" s="27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 x14ac:dyDescent="0.15">
      <c r="A504" s="27"/>
      <c r="B504" s="27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 x14ac:dyDescent="0.15">
      <c r="A505" s="27"/>
      <c r="B505" s="27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 x14ac:dyDescent="0.15">
      <c r="A506" s="27"/>
      <c r="B506" s="27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 x14ac:dyDescent="0.15">
      <c r="A507" s="27"/>
      <c r="B507" s="27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 x14ac:dyDescent="0.15">
      <c r="A508" s="27"/>
      <c r="B508" s="27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 x14ac:dyDescent="0.15">
      <c r="A509" s="27"/>
      <c r="B509" s="27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 x14ac:dyDescent="0.15">
      <c r="A510" s="27"/>
      <c r="B510" s="27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 x14ac:dyDescent="0.15">
      <c r="A511" s="27"/>
      <c r="B511" s="27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 x14ac:dyDescent="0.15">
      <c r="A512" s="27"/>
      <c r="B512" s="27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 x14ac:dyDescent="0.15">
      <c r="A513" s="27"/>
      <c r="B513" s="27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 x14ac:dyDescent="0.15">
      <c r="A514" s="27"/>
      <c r="B514" s="27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 x14ac:dyDescent="0.15">
      <c r="A515" s="27"/>
      <c r="B515" s="27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 x14ac:dyDescent="0.15">
      <c r="A516" s="27"/>
      <c r="B516" s="27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 x14ac:dyDescent="0.15">
      <c r="A517" s="27"/>
      <c r="B517" s="27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 x14ac:dyDescent="0.15">
      <c r="A518" s="27"/>
      <c r="B518" s="27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 x14ac:dyDescent="0.15">
      <c r="A519" s="27"/>
      <c r="B519" s="27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 x14ac:dyDescent="0.15">
      <c r="A520" s="27"/>
      <c r="B520" s="27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 x14ac:dyDescent="0.15">
      <c r="A521" s="27"/>
      <c r="B521" s="27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 x14ac:dyDescent="0.15">
      <c r="A522" s="27"/>
      <c r="B522" s="27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 x14ac:dyDescent="0.15">
      <c r="A523" s="27"/>
      <c r="B523" s="27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 x14ac:dyDescent="0.15">
      <c r="A524" s="27"/>
      <c r="B524" s="27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 x14ac:dyDescent="0.15">
      <c r="A525" s="27"/>
      <c r="B525" s="27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 x14ac:dyDescent="0.15">
      <c r="A526" s="27"/>
      <c r="B526" s="27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 x14ac:dyDescent="0.15">
      <c r="A527" s="27"/>
      <c r="B527" s="27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 x14ac:dyDescent="0.15">
      <c r="A528" s="27"/>
      <c r="B528" s="27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 x14ac:dyDescent="0.15">
      <c r="A529" s="27"/>
      <c r="B529" s="27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 x14ac:dyDescent="0.15">
      <c r="A530" s="27"/>
      <c r="B530" s="27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 x14ac:dyDescent="0.15">
      <c r="A531" s="27"/>
      <c r="B531" s="27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 x14ac:dyDescent="0.15">
      <c r="A532" s="27"/>
      <c r="B532" s="27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 x14ac:dyDescent="0.15">
      <c r="A533" s="27"/>
      <c r="B533" s="27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 x14ac:dyDescent="0.15">
      <c r="A534" s="27"/>
      <c r="B534" s="27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 x14ac:dyDescent="0.15">
      <c r="A535" s="27"/>
      <c r="B535" s="27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 x14ac:dyDescent="0.15">
      <c r="A536" s="27"/>
      <c r="B536" s="27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 x14ac:dyDescent="0.15">
      <c r="A537" s="27"/>
      <c r="B537" s="27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 x14ac:dyDescent="0.15">
      <c r="A538" s="27"/>
      <c r="B538" s="27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 x14ac:dyDescent="0.15">
      <c r="A539" s="27"/>
      <c r="B539" s="27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 x14ac:dyDescent="0.15">
      <c r="A540" s="27"/>
      <c r="B540" s="27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 x14ac:dyDescent="0.15">
      <c r="A541" s="27"/>
      <c r="B541" s="27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 x14ac:dyDescent="0.15">
      <c r="A542" s="27"/>
      <c r="B542" s="27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 x14ac:dyDescent="0.15">
      <c r="A543" s="27"/>
      <c r="B543" s="27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 x14ac:dyDescent="0.15">
      <c r="A544" s="27"/>
      <c r="B544" s="27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 x14ac:dyDescent="0.15">
      <c r="A545" s="27"/>
      <c r="B545" s="27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 x14ac:dyDescent="0.15">
      <c r="A546" s="27"/>
      <c r="B546" s="27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 x14ac:dyDescent="0.15">
      <c r="A547" s="27"/>
      <c r="B547" s="27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 x14ac:dyDescent="0.15">
      <c r="A548" s="27"/>
      <c r="B548" s="27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 x14ac:dyDescent="0.15">
      <c r="A549" s="27"/>
      <c r="B549" s="27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 x14ac:dyDescent="0.15">
      <c r="A550" s="27"/>
      <c r="B550" s="27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 x14ac:dyDescent="0.15">
      <c r="A551" s="27"/>
      <c r="B551" s="27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 x14ac:dyDescent="0.15">
      <c r="A552" s="27"/>
      <c r="B552" s="27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 x14ac:dyDescent="0.15">
      <c r="A553" s="27"/>
      <c r="B553" s="27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 x14ac:dyDescent="0.15">
      <c r="A554" s="27"/>
      <c r="B554" s="27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 x14ac:dyDescent="0.15">
      <c r="A555" s="27"/>
      <c r="B555" s="27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 x14ac:dyDescent="0.15">
      <c r="A556" s="27"/>
      <c r="B556" s="27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 x14ac:dyDescent="0.15">
      <c r="A557" s="27"/>
      <c r="B557" s="27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 x14ac:dyDescent="0.15">
      <c r="A558" s="27"/>
      <c r="B558" s="27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 x14ac:dyDescent="0.15">
      <c r="A559" s="27"/>
      <c r="B559" s="27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 x14ac:dyDescent="0.15">
      <c r="A560" s="27"/>
      <c r="B560" s="27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 x14ac:dyDescent="0.15">
      <c r="A561" s="27"/>
      <c r="B561" s="27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 x14ac:dyDescent="0.15">
      <c r="A562" s="27"/>
      <c r="B562" s="27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 x14ac:dyDescent="0.15">
      <c r="A563" s="27"/>
      <c r="B563" s="27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 x14ac:dyDescent="0.15">
      <c r="A564" s="27"/>
      <c r="B564" s="27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 x14ac:dyDescent="0.15">
      <c r="A565" s="27"/>
      <c r="B565" s="27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 x14ac:dyDescent="0.15">
      <c r="A566" s="27"/>
      <c r="B566" s="27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 x14ac:dyDescent="0.15">
      <c r="A567" s="27"/>
      <c r="B567" s="27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 x14ac:dyDescent="0.15">
      <c r="A568" s="27"/>
      <c r="B568" s="27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 x14ac:dyDescent="0.15">
      <c r="A569" s="27"/>
      <c r="B569" s="27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 x14ac:dyDescent="0.15">
      <c r="A570" s="27"/>
      <c r="B570" s="27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 x14ac:dyDescent="0.15">
      <c r="A571" s="27"/>
      <c r="B571" s="27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 x14ac:dyDescent="0.15">
      <c r="A572" s="27"/>
      <c r="B572" s="27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 x14ac:dyDescent="0.15">
      <c r="A573" s="27"/>
      <c r="B573" s="27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 x14ac:dyDescent="0.15">
      <c r="A574" s="27"/>
      <c r="B574" s="27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 x14ac:dyDescent="0.15">
      <c r="A575" s="27"/>
      <c r="B575" s="27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 x14ac:dyDescent="0.15">
      <c r="A576" s="27"/>
      <c r="B576" s="27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 x14ac:dyDescent="0.15">
      <c r="A577" s="27"/>
      <c r="B577" s="27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 x14ac:dyDescent="0.15">
      <c r="A578" s="27"/>
      <c r="B578" s="27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 x14ac:dyDescent="0.15">
      <c r="A579" s="27"/>
      <c r="B579" s="27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 x14ac:dyDescent="0.15">
      <c r="A580" s="27"/>
      <c r="B580" s="27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 x14ac:dyDescent="0.15">
      <c r="A581" s="27"/>
      <c r="B581" s="27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 x14ac:dyDescent="0.15">
      <c r="A582" s="27"/>
      <c r="B582" s="27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 x14ac:dyDescent="0.15">
      <c r="A583" s="27"/>
      <c r="B583" s="27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 x14ac:dyDescent="0.15">
      <c r="A584" s="27"/>
      <c r="B584" s="27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 x14ac:dyDescent="0.15">
      <c r="A585" s="27"/>
      <c r="B585" s="27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 x14ac:dyDescent="0.15">
      <c r="A586" s="27"/>
      <c r="B586" s="27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 x14ac:dyDescent="0.15">
      <c r="A587" s="27"/>
      <c r="B587" s="27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 x14ac:dyDescent="0.15">
      <c r="A588" s="27"/>
      <c r="B588" s="27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 x14ac:dyDescent="0.15">
      <c r="A589" s="27"/>
      <c r="B589" s="27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 x14ac:dyDescent="0.15">
      <c r="A590" s="27"/>
      <c r="B590" s="27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 x14ac:dyDescent="0.15">
      <c r="A591" s="27"/>
      <c r="B591" s="27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 x14ac:dyDescent="0.15">
      <c r="A592" s="27"/>
      <c r="B592" s="27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 x14ac:dyDescent="0.15">
      <c r="A593" s="27"/>
      <c r="B593" s="27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 x14ac:dyDescent="0.15">
      <c r="A594" s="27"/>
      <c r="B594" s="27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 x14ac:dyDescent="0.15">
      <c r="A595" s="27"/>
      <c r="B595" s="27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 x14ac:dyDescent="0.15">
      <c r="A596" s="27"/>
      <c r="B596" s="27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 x14ac:dyDescent="0.15">
      <c r="A597" s="27"/>
      <c r="B597" s="27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 x14ac:dyDescent="0.15">
      <c r="A598" s="27"/>
      <c r="B598" s="27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 x14ac:dyDescent="0.15">
      <c r="A599" s="27"/>
      <c r="B599" s="27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 x14ac:dyDescent="0.15">
      <c r="A600" s="27"/>
      <c r="B600" s="27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 x14ac:dyDescent="0.15">
      <c r="A601" s="27"/>
      <c r="B601" s="27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 x14ac:dyDescent="0.15">
      <c r="A602" s="27"/>
      <c r="B602" s="27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 x14ac:dyDescent="0.15">
      <c r="A603" s="27"/>
      <c r="B603" s="27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 x14ac:dyDescent="0.15">
      <c r="A604" s="27"/>
      <c r="B604" s="27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 x14ac:dyDescent="0.15">
      <c r="A605" s="27"/>
      <c r="B605" s="27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 x14ac:dyDescent="0.15">
      <c r="A606" s="27"/>
      <c r="B606" s="27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 x14ac:dyDescent="0.15">
      <c r="A607" s="27"/>
      <c r="B607" s="27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 x14ac:dyDescent="0.15">
      <c r="A608" s="27"/>
      <c r="B608" s="27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 x14ac:dyDescent="0.15">
      <c r="A609" s="27"/>
      <c r="B609" s="27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 x14ac:dyDescent="0.15">
      <c r="A610" s="27"/>
      <c r="B610" s="27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 x14ac:dyDescent="0.15">
      <c r="A611" s="27"/>
      <c r="B611" s="27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 x14ac:dyDescent="0.15">
      <c r="A612" s="27"/>
      <c r="B612" s="27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 x14ac:dyDescent="0.15">
      <c r="A613" s="27"/>
      <c r="B613" s="27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 x14ac:dyDescent="0.15">
      <c r="A614" s="27"/>
      <c r="B614" s="27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 x14ac:dyDescent="0.15">
      <c r="A615" s="27"/>
      <c r="B615" s="27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 x14ac:dyDescent="0.15">
      <c r="A616" s="27"/>
      <c r="B616" s="27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 x14ac:dyDescent="0.15">
      <c r="A617" s="27"/>
      <c r="B617" s="27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 x14ac:dyDescent="0.15">
      <c r="A618" s="27"/>
      <c r="B618" s="27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 x14ac:dyDescent="0.15">
      <c r="A619" s="27"/>
      <c r="B619" s="27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 x14ac:dyDescent="0.15">
      <c r="A620" s="27"/>
      <c r="B620" s="27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 x14ac:dyDescent="0.15">
      <c r="A621" s="27"/>
      <c r="B621" s="27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 x14ac:dyDescent="0.15">
      <c r="A622" s="27"/>
      <c r="B622" s="27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 x14ac:dyDescent="0.15">
      <c r="A623" s="27"/>
      <c r="B623" s="27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 x14ac:dyDescent="0.15">
      <c r="A624" s="27"/>
      <c r="B624" s="27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 x14ac:dyDescent="0.15">
      <c r="A625" s="27"/>
      <c r="B625" s="27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 x14ac:dyDescent="0.15">
      <c r="A626" s="27"/>
      <c r="B626" s="27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 x14ac:dyDescent="0.15">
      <c r="A627" s="27"/>
      <c r="B627" s="27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 x14ac:dyDescent="0.15">
      <c r="A628" s="27"/>
      <c r="B628" s="27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 x14ac:dyDescent="0.15">
      <c r="A629" s="27"/>
      <c r="B629" s="27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 x14ac:dyDescent="0.15">
      <c r="A630" s="27"/>
      <c r="B630" s="27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 x14ac:dyDescent="0.15">
      <c r="A631" s="27"/>
      <c r="B631" s="27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 x14ac:dyDescent="0.15">
      <c r="A632" s="27"/>
      <c r="B632" s="27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 x14ac:dyDescent="0.15">
      <c r="A633" s="27"/>
      <c r="B633" s="27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 x14ac:dyDescent="0.15">
      <c r="A634" s="27"/>
      <c r="B634" s="27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 x14ac:dyDescent="0.15">
      <c r="A635" s="27"/>
      <c r="B635" s="27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 x14ac:dyDescent="0.15">
      <c r="A636" s="27"/>
      <c r="B636" s="27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 x14ac:dyDescent="0.15">
      <c r="A637" s="27"/>
      <c r="B637" s="27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 x14ac:dyDescent="0.15">
      <c r="A638" s="27"/>
      <c r="B638" s="27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 x14ac:dyDescent="0.15">
      <c r="A639" s="27"/>
      <c r="B639" s="27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 x14ac:dyDescent="0.15">
      <c r="A640" s="27"/>
      <c r="B640" s="27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 x14ac:dyDescent="0.15">
      <c r="A641" s="27"/>
      <c r="B641" s="27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 x14ac:dyDescent="0.15">
      <c r="A642" s="27"/>
      <c r="B642" s="27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 x14ac:dyDescent="0.15">
      <c r="A643" s="27"/>
      <c r="B643" s="27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 x14ac:dyDescent="0.15">
      <c r="A644" s="27"/>
      <c r="B644" s="27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 x14ac:dyDescent="0.15">
      <c r="A645" s="27"/>
      <c r="B645" s="27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 x14ac:dyDescent="0.15">
      <c r="A646" s="27"/>
      <c r="B646" s="27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 x14ac:dyDescent="0.15">
      <c r="A647" s="27"/>
      <c r="B647" s="27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 x14ac:dyDescent="0.15">
      <c r="A648" s="27"/>
      <c r="B648" s="27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 x14ac:dyDescent="0.15">
      <c r="A649" s="27"/>
      <c r="B649" s="27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 x14ac:dyDescent="0.15">
      <c r="A650" s="27"/>
      <c r="B650" s="27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 x14ac:dyDescent="0.15">
      <c r="A651" s="27"/>
      <c r="B651" s="27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 x14ac:dyDescent="0.15">
      <c r="A652" s="27"/>
      <c r="B652" s="27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 x14ac:dyDescent="0.15">
      <c r="A653" s="27"/>
      <c r="B653" s="27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 x14ac:dyDescent="0.15">
      <c r="A654" s="27"/>
      <c r="B654" s="27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 x14ac:dyDescent="0.15">
      <c r="A655" s="27"/>
      <c r="B655" s="27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 x14ac:dyDescent="0.15">
      <c r="A656" s="27"/>
      <c r="B656" s="27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 x14ac:dyDescent="0.15">
      <c r="A657" s="27"/>
      <c r="B657" s="27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 x14ac:dyDescent="0.15">
      <c r="A658" s="27"/>
      <c r="B658" s="27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 x14ac:dyDescent="0.15">
      <c r="A659" s="27"/>
      <c r="B659" s="27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 x14ac:dyDescent="0.15">
      <c r="A660" s="27"/>
      <c r="B660" s="27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 x14ac:dyDescent="0.15">
      <c r="A661" s="27"/>
      <c r="B661" s="27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 x14ac:dyDescent="0.15">
      <c r="A662" s="27"/>
      <c r="B662" s="27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 x14ac:dyDescent="0.15">
      <c r="A663" s="27"/>
      <c r="B663" s="27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 x14ac:dyDescent="0.15">
      <c r="A664" s="27"/>
      <c r="B664" s="27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 x14ac:dyDescent="0.15">
      <c r="A665" s="27"/>
      <c r="B665" s="27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 x14ac:dyDescent="0.15">
      <c r="A666" s="27"/>
      <c r="B666" s="27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 x14ac:dyDescent="0.15">
      <c r="A667" s="27"/>
      <c r="B667" s="27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 x14ac:dyDescent="0.15">
      <c r="A668" s="27"/>
      <c r="B668" s="27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 x14ac:dyDescent="0.15">
      <c r="A669" s="27"/>
      <c r="B669" s="27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 x14ac:dyDescent="0.15">
      <c r="A670" s="27"/>
      <c r="B670" s="27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 x14ac:dyDescent="0.15">
      <c r="A671" s="27"/>
      <c r="B671" s="27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 x14ac:dyDescent="0.15">
      <c r="A672" s="27"/>
      <c r="B672" s="27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 x14ac:dyDescent="0.15">
      <c r="A673" s="27"/>
      <c r="B673" s="27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 x14ac:dyDescent="0.15">
      <c r="A674" s="27"/>
      <c r="B674" s="27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 x14ac:dyDescent="0.15">
      <c r="A675" s="27"/>
      <c r="B675" s="27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 x14ac:dyDescent="0.15">
      <c r="A676" s="27"/>
      <c r="B676" s="27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 x14ac:dyDescent="0.15">
      <c r="A677" s="27"/>
      <c r="B677" s="27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 x14ac:dyDescent="0.15">
      <c r="A678" s="27"/>
      <c r="B678" s="27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 x14ac:dyDescent="0.15">
      <c r="A679" s="27"/>
      <c r="B679" s="27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 x14ac:dyDescent="0.15">
      <c r="A680" s="27"/>
      <c r="B680" s="27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 x14ac:dyDescent="0.15">
      <c r="A681" s="27"/>
      <c r="B681" s="27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 x14ac:dyDescent="0.15">
      <c r="A682" s="27"/>
      <c r="B682" s="27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 x14ac:dyDescent="0.15">
      <c r="A683" s="27"/>
      <c r="B683" s="27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 x14ac:dyDescent="0.15">
      <c r="A684" s="27"/>
      <c r="B684" s="27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 x14ac:dyDescent="0.15">
      <c r="A685" s="27"/>
      <c r="B685" s="27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 x14ac:dyDescent="0.15">
      <c r="A686" s="27"/>
      <c r="B686" s="27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 x14ac:dyDescent="0.15">
      <c r="A687" s="27"/>
      <c r="B687" s="27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 x14ac:dyDescent="0.15">
      <c r="A688" s="27"/>
      <c r="B688" s="27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 x14ac:dyDescent="0.15">
      <c r="A689" s="27"/>
      <c r="B689" s="27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 x14ac:dyDescent="0.15">
      <c r="A690" s="27"/>
      <c r="B690" s="27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 x14ac:dyDescent="0.15">
      <c r="A691" s="27"/>
      <c r="B691" s="27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 x14ac:dyDescent="0.15">
      <c r="A692" s="27"/>
      <c r="B692" s="27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 x14ac:dyDescent="0.15">
      <c r="A693" s="27"/>
      <c r="B693" s="27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 x14ac:dyDescent="0.15">
      <c r="A694" s="27"/>
      <c r="B694" s="27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 x14ac:dyDescent="0.15">
      <c r="A695" s="27"/>
      <c r="B695" s="27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 x14ac:dyDescent="0.15">
      <c r="A696" s="27"/>
      <c r="B696" s="27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 x14ac:dyDescent="0.15">
      <c r="A697" s="27"/>
      <c r="B697" s="27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 x14ac:dyDescent="0.15">
      <c r="A698" s="27"/>
      <c r="B698" s="27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 x14ac:dyDescent="0.15">
      <c r="A699" s="27"/>
      <c r="B699" s="27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 x14ac:dyDescent="0.15">
      <c r="A700" s="27"/>
      <c r="B700" s="27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 x14ac:dyDescent="0.15">
      <c r="A701" s="27"/>
      <c r="B701" s="27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 x14ac:dyDescent="0.15">
      <c r="A702" s="27"/>
      <c r="B702" s="27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 x14ac:dyDescent="0.15">
      <c r="A703" s="27"/>
      <c r="B703" s="27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 x14ac:dyDescent="0.15">
      <c r="A704" s="27"/>
      <c r="B704" s="27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 x14ac:dyDescent="0.15">
      <c r="A705" s="27"/>
      <c r="B705" s="27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 x14ac:dyDescent="0.15">
      <c r="A706" s="27"/>
      <c r="B706" s="27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 x14ac:dyDescent="0.15">
      <c r="A707" s="27"/>
      <c r="B707" s="27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 x14ac:dyDescent="0.15">
      <c r="A708" s="27"/>
      <c r="B708" s="27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 x14ac:dyDescent="0.15">
      <c r="A709" s="27"/>
      <c r="B709" s="27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 x14ac:dyDescent="0.15">
      <c r="A710" s="27"/>
      <c r="B710" s="27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 x14ac:dyDescent="0.15">
      <c r="A711" s="27"/>
      <c r="B711" s="27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 x14ac:dyDescent="0.15">
      <c r="A712" s="27"/>
      <c r="B712" s="27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 x14ac:dyDescent="0.15">
      <c r="A713" s="27"/>
      <c r="B713" s="27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 x14ac:dyDescent="0.15">
      <c r="A714" s="27"/>
      <c r="B714" s="27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 x14ac:dyDescent="0.15">
      <c r="A715" s="27"/>
      <c r="B715" s="27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 x14ac:dyDescent="0.15">
      <c r="A716" s="27"/>
      <c r="B716" s="27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 x14ac:dyDescent="0.15">
      <c r="A717" s="27"/>
      <c r="B717" s="27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 x14ac:dyDescent="0.15">
      <c r="A718" s="27"/>
      <c r="B718" s="27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 x14ac:dyDescent="0.15">
      <c r="A719" s="27"/>
      <c r="B719" s="27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 x14ac:dyDescent="0.15">
      <c r="A720" s="27"/>
      <c r="B720" s="27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 x14ac:dyDescent="0.15">
      <c r="A721" s="27"/>
      <c r="B721" s="27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 x14ac:dyDescent="0.15">
      <c r="A722" s="27"/>
      <c r="B722" s="27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 x14ac:dyDescent="0.15">
      <c r="A723" s="27"/>
      <c r="B723" s="27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 x14ac:dyDescent="0.15">
      <c r="A724" s="27"/>
      <c r="B724" s="27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 x14ac:dyDescent="0.15">
      <c r="A725" s="27"/>
      <c r="B725" s="27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 x14ac:dyDescent="0.15">
      <c r="A726" s="27"/>
      <c r="B726" s="27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 x14ac:dyDescent="0.15">
      <c r="A727" s="27"/>
      <c r="B727" s="27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 x14ac:dyDescent="0.15">
      <c r="A728" s="27"/>
      <c r="B728" s="27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 x14ac:dyDescent="0.15">
      <c r="A729" s="27"/>
      <c r="B729" s="27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 x14ac:dyDescent="0.15">
      <c r="A730" s="27"/>
      <c r="B730" s="27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 x14ac:dyDescent="0.15">
      <c r="A731" s="27"/>
      <c r="B731" s="27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 x14ac:dyDescent="0.15">
      <c r="A732" s="27"/>
      <c r="B732" s="27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 x14ac:dyDescent="0.15">
      <c r="A733" s="27"/>
      <c r="B733" s="27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 x14ac:dyDescent="0.15">
      <c r="A734" s="27"/>
      <c r="B734" s="27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 x14ac:dyDescent="0.15">
      <c r="A735" s="27"/>
      <c r="B735" s="27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 x14ac:dyDescent="0.15">
      <c r="A736" s="27"/>
      <c r="B736" s="27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 x14ac:dyDescent="0.15">
      <c r="A737" s="27"/>
      <c r="B737" s="27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 x14ac:dyDescent="0.15">
      <c r="A738" s="27"/>
      <c r="B738" s="27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 x14ac:dyDescent="0.15">
      <c r="A739" s="27"/>
      <c r="B739" s="27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 x14ac:dyDescent="0.15">
      <c r="A740" s="27"/>
      <c r="B740" s="27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 x14ac:dyDescent="0.15">
      <c r="A741" s="27"/>
      <c r="B741" s="27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 x14ac:dyDescent="0.15">
      <c r="A742" s="27"/>
      <c r="B742" s="27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 x14ac:dyDescent="0.15">
      <c r="A743" s="27"/>
      <c r="B743" s="27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 x14ac:dyDescent="0.15">
      <c r="A744" s="27"/>
      <c r="B744" s="27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 x14ac:dyDescent="0.15">
      <c r="A745" s="27"/>
      <c r="B745" s="27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 x14ac:dyDescent="0.15">
      <c r="A746" s="27"/>
      <c r="B746" s="27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 x14ac:dyDescent="0.15">
      <c r="A747" s="27"/>
      <c r="B747" s="27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 x14ac:dyDescent="0.15">
      <c r="A748" s="27"/>
      <c r="B748" s="27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 x14ac:dyDescent="0.15">
      <c r="A749" s="27"/>
      <c r="B749" s="27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 x14ac:dyDescent="0.15">
      <c r="A750" s="27"/>
      <c r="B750" s="27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 x14ac:dyDescent="0.15">
      <c r="A751" s="27"/>
      <c r="B751" s="27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 x14ac:dyDescent="0.15">
      <c r="A752" s="27"/>
      <c r="B752" s="27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 x14ac:dyDescent="0.15">
      <c r="A753" s="27"/>
      <c r="B753" s="27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 x14ac:dyDescent="0.15">
      <c r="A754" s="27"/>
      <c r="B754" s="27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 x14ac:dyDescent="0.15">
      <c r="A755" s="27"/>
      <c r="B755" s="27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 x14ac:dyDescent="0.15">
      <c r="A756" s="27"/>
      <c r="B756" s="27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 x14ac:dyDescent="0.15">
      <c r="A757" s="27"/>
      <c r="B757" s="27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 x14ac:dyDescent="0.15">
      <c r="A758" s="27"/>
      <c r="B758" s="27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 x14ac:dyDescent="0.15">
      <c r="A759" s="27"/>
      <c r="B759" s="27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 x14ac:dyDescent="0.15">
      <c r="A760" s="27"/>
      <c r="B760" s="27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 x14ac:dyDescent="0.15">
      <c r="A761" s="27"/>
      <c r="B761" s="27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 x14ac:dyDescent="0.15">
      <c r="A762" s="27"/>
      <c r="B762" s="27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 x14ac:dyDescent="0.15">
      <c r="A763" s="27"/>
      <c r="B763" s="27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 x14ac:dyDescent="0.15">
      <c r="A764" s="27"/>
      <c r="B764" s="27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 x14ac:dyDescent="0.15">
      <c r="A765" s="27"/>
      <c r="B765" s="27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 x14ac:dyDescent="0.15">
      <c r="A766" s="27"/>
      <c r="B766" s="27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 x14ac:dyDescent="0.15">
      <c r="A767" s="27"/>
      <c r="B767" s="27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 x14ac:dyDescent="0.15">
      <c r="A768" s="27"/>
      <c r="B768" s="27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 x14ac:dyDescent="0.15">
      <c r="A769" s="27"/>
      <c r="B769" s="27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 x14ac:dyDescent="0.15">
      <c r="A770" s="27"/>
      <c r="B770" s="27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 x14ac:dyDescent="0.15">
      <c r="A771" s="27"/>
      <c r="B771" s="27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 x14ac:dyDescent="0.15">
      <c r="A772" s="27"/>
      <c r="B772" s="27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 x14ac:dyDescent="0.15">
      <c r="A773" s="27"/>
      <c r="B773" s="27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 x14ac:dyDescent="0.15">
      <c r="A774" s="27"/>
      <c r="B774" s="27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 x14ac:dyDescent="0.15">
      <c r="A775" s="27"/>
      <c r="B775" s="27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 x14ac:dyDescent="0.15">
      <c r="A776" s="27"/>
      <c r="B776" s="27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 x14ac:dyDescent="0.15">
      <c r="A777" s="27"/>
      <c r="B777" s="27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 x14ac:dyDescent="0.15">
      <c r="A778" s="27"/>
      <c r="B778" s="27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 x14ac:dyDescent="0.15">
      <c r="A779" s="27"/>
      <c r="B779" s="27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 x14ac:dyDescent="0.15">
      <c r="A780" s="27"/>
      <c r="B780" s="27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 x14ac:dyDescent="0.15">
      <c r="A781" s="27"/>
      <c r="B781" s="27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 x14ac:dyDescent="0.15">
      <c r="A782" s="27"/>
      <c r="B782" s="27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 x14ac:dyDescent="0.15">
      <c r="A783" s="27"/>
      <c r="B783" s="27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 x14ac:dyDescent="0.15">
      <c r="A784" s="27"/>
      <c r="B784" s="27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 x14ac:dyDescent="0.15">
      <c r="A785" s="27"/>
      <c r="B785" s="27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 x14ac:dyDescent="0.15">
      <c r="A786" s="27"/>
      <c r="B786" s="27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 x14ac:dyDescent="0.15">
      <c r="A787" s="27"/>
      <c r="B787" s="27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 x14ac:dyDescent="0.15">
      <c r="A788" s="27"/>
      <c r="B788" s="27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 x14ac:dyDescent="0.15">
      <c r="A789" s="27"/>
      <c r="B789" s="27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 x14ac:dyDescent="0.15">
      <c r="A790" s="27"/>
      <c r="B790" s="27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 x14ac:dyDescent="0.15">
      <c r="A791" s="27"/>
      <c r="B791" s="27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 x14ac:dyDescent="0.15">
      <c r="A792" s="27"/>
      <c r="B792" s="27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 x14ac:dyDescent="0.15">
      <c r="A793" s="27"/>
      <c r="B793" s="27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 x14ac:dyDescent="0.15">
      <c r="A794" s="27"/>
      <c r="B794" s="27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 x14ac:dyDescent="0.15">
      <c r="A795" s="27"/>
      <c r="B795" s="27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 x14ac:dyDescent="0.15">
      <c r="A796" s="27"/>
      <c r="B796" s="27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 x14ac:dyDescent="0.15">
      <c r="A797" s="27"/>
      <c r="B797" s="27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 x14ac:dyDescent="0.15">
      <c r="A798" s="27"/>
      <c r="B798" s="27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 x14ac:dyDescent="0.15">
      <c r="A799" s="27"/>
      <c r="B799" s="27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 x14ac:dyDescent="0.15">
      <c r="A800" s="27"/>
      <c r="B800" s="27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 x14ac:dyDescent="0.15">
      <c r="A801" s="27"/>
      <c r="B801" s="27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 x14ac:dyDescent="0.15">
      <c r="A802" s="27"/>
      <c r="B802" s="27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 x14ac:dyDescent="0.15">
      <c r="A803" s="27"/>
      <c r="B803" s="27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 x14ac:dyDescent="0.15">
      <c r="A804" s="27"/>
      <c r="B804" s="27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 x14ac:dyDescent="0.15">
      <c r="A805" s="27"/>
      <c r="B805" s="27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 x14ac:dyDescent="0.15">
      <c r="A806" s="27"/>
      <c r="B806" s="27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 x14ac:dyDescent="0.15">
      <c r="A807" s="27"/>
      <c r="B807" s="27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 x14ac:dyDescent="0.15">
      <c r="A808" s="27"/>
      <c r="B808" s="27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 x14ac:dyDescent="0.15">
      <c r="A809" s="27"/>
      <c r="B809" s="27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 x14ac:dyDescent="0.15">
      <c r="A810" s="27"/>
      <c r="B810" s="27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 x14ac:dyDescent="0.15">
      <c r="A811" s="27"/>
      <c r="B811" s="27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 x14ac:dyDescent="0.15">
      <c r="A812" s="27"/>
      <c r="B812" s="27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 x14ac:dyDescent="0.15">
      <c r="A813" s="27"/>
      <c r="B813" s="27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 x14ac:dyDescent="0.15">
      <c r="A814" s="27"/>
      <c r="B814" s="27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 x14ac:dyDescent="0.15">
      <c r="A815" s="27"/>
      <c r="B815" s="27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 x14ac:dyDescent="0.15">
      <c r="A816" s="27"/>
      <c r="B816" s="27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 x14ac:dyDescent="0.15">
      <c r="A817" s="27"/>
      <c r="B817" s="27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 x14ac:dyDescent="0.15">
      <c r="A818" s="27"/>
      <c r="B818" s="27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 x14ac:dyDescent="0.15">
      <c r="A819" s="27"/>
      <c r="B819" s="27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 x14ac:dyDescent="0.15">
      <c r="A820" s="27"/>
      <c r="B820" s="27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 x14ac:dyDescent="0.15">
      <c r="A821" s="27"/>
      <c r="B821" s="27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 x14ac:dyDescent="0.15">
      <c r="A822" s="27"/>
      <c r="B822" s="27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 x14ac:dyDescent="0.15">
      <c r="A823" s="27"/>
      <c r="B823" s="27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 x14ac:dyDescent="0.15">
      <c r="A824" s="27"/>
      <c r="B824" s="27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 x14ac:dyDescent="0.15">
      <c r="A825" s="27"/>
      <c r="B825" s="27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 x14ac:dyDescent="0.15">
      <c r="A826" s="27"/>
      <c r="B826" s="27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 x14ac:dyDescent="0.15">
      <c r="A827" s="27"/>
      <c r="B827" s="27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 x14ac:dyDescent="0.15">
      <c r="A828" s="27"/>
      <c r="B828" s="27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 x14ac:dyDescent="0.15">
      <c r="A829" s="27"/>
      <c r="B829" s="27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 x14ac:dyDescent="0.15">
      <c r="A830" s="27"/>
      <c r="B830" s="27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 x14ac:dyDescent="0.15">
      <c r="A831" s="27"/>
      <c r="B831" s="27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 x14ac:dyDescent="0.15">
      <c r="A832" s="27"/>
      <c r="B832" s="27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 x14ac:dyDescent="0.15">
      <c r="A833" s="27"/>
      <c r="B833" s="27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 x14ac:dyDescent="0.15">
      <c r="A834" s="27"/>
      <c r="B834" s="27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 x14ac:dyDescent="0.15">
      <c r="A835" s="27"/>
      <c r="B835" s="27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 x14ac:dyDescent="0.15">
      <c r="A836" s="27"/>
      <c r="B836" s="27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 x14ac:dyDescent="0.15">
      <c r="A837" s="27"/>
      <c r="B837" s="27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 x14ac:dyDescent="0.15">
      <c r="A838" s="27"/>
      <c r="B838" s="27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 x14ac:dyDescent="0.15">
      <c r="A839" s="27"/>
      <c r="B839" s="27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 x14ac:dyDescent="0.15">
      <c r="A840" s="27"/>
      <c r="B840" s="27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 x14ac:dyDescent="0.15">
      <c r="A841" s="27"/>
      <c r="B841" s="27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 x14ac:dyDescent="0.15">
      <c r="A842" s="27"/>
      <c r="B842" s="27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 x14ac:dyDescent="0.15">
      <c r="A843" s="27"/>
      <c r="B843" s="27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 x14ac:dyDescent="0.15">
      <c r="A844" s="27"/>
      <c r="B844" s="27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 x14ac:dyDescent="0.15">
      <c r="A845" s="27"/>
      <c r="B845" s="27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 x14ac:dyDescent="0.15">
      <c r="A846" s="27"/>
      <c r="B846" s="27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 x14ac:dyDescent="0.15">
      <c r="A847" s="27"/>
      <c r="B847" s="27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 x14ac:dyDescent="0.15">
      <c r="A848" s="27"/>
      <c r="B848" s="27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 x14ac:dyDescent="0.15">
      <c r="A849" s="27"/>
      <c r="B849" s="27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 x14ac:dyDescent="0.15">
      <c r="A850" s="27"/>
      <c r="B850" s="27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 x14ac:dyDescent="0.15">
      <c r="A851" s="27"/>
      <c r="B851" s="27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 x14ac:dyDescent="0.15">
      <c r="A852" s="27"/>
      <c r="B852" s="27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 x14ac:dyDescent="0.15">
      <c r="A853" s="27"/>
      <c r="B853" s="27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 x14ac:dyDescent="0.15">
      <c r="A854" s="27"/>
      <c r="B854" s="27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 x14ac:dyDescent="0.15">
      <c r="A855" s="27"/>
      <c r="B855" s="27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 x14ac:dyDescent="0.15">
      <c r="A856" s="27"/>
      <c r="B856" s="27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 x14ac:dyDescent="0.15">
      <c r="A857" s="27"/>
      <c r="B857" s="27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 x14ac:dyDescent="0.15">
      <c r="A858" s="27"/>
      <c r="B858" s="27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 x14ac:dyDescent="0.15">
      <c r="A859" s="27"/>
      <c r="B859" s="27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 x14ac:dyDescent="0.15">
      <c r="A860" s="27"/>
      <c r="B860" s="27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 x14ac:dyDescent="0.15">
      <c r="A861" s="27"/>
      <c r="B861" s="27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 x14ac:dyDescent="0.15">
      <c r="A862" s="27"/>
      <c r="B862" s="27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 x14ac:dyDescent="0.15">
      <c r="A863" s="27"/>
      <c r="B863" s="27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 x14ac:dyDescent="0.15">
      <c r="A864" s="27"/>
      <c r="B864" s="27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 x14ac:dyDescent="0.15">
      <c r="A865" s="27"/>
      <c r="B865" s="27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 x14ac:dyDescent="0.15">
      <c r="A866" s="27"/>
      <c r="B866" s="27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 x14ac:dyDescent="0.15">
      <c r="A867" s="27"/>
      <c r="B867" s="27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 x14ac:dyDescent="0.15">
      <c r="A868" s="27"/>
      <c r="B868" s="27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 x14ac:dyDescent="0.15">
      <c r="A869" s="27"/>
      <c r="B869" s="27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 x14ac:dyDescent="0.15">
      <c r="A870" s="27"/>
      <c r="B870" s="27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 x14ac:dyDescent="0.15">
      <c r="A871" s="27"/>
      <c r="B871" s="27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 x14ac:dyDescent="0.15">
      <c r="A872" s="27"/>
      <c r="B872" s="27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 x14ac:dyDescent="0.15">
      <c r="A873" s="27"/>
      <c r="B873" s="27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 x14ac:dyDescent="0.15">
      <c r="A874" s="27"/>
      <c r="B874" s="27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 x14ac:dyDescent="0.15">
      <c r="A875" s="27"/>
      <c r="B875" s="27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 x14ac:dyDescent="0.15">
      <c r="A876" s="27"/>
      <c r="B876" s="27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 x14ac:dyDescent="0.15">
      <c r="A877" s="27"/>
      <c r="B877" s="27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 x14ac:dyDescent="0.15">
      <c r="A878" s="27"/>
      <c r="B878" s="27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 x14ac:dyDescent="0.15">
      <c r="A879" s="27"/>
      <c r="B879" s="27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 x14ac:dyDescent="0.15">
      <c r="A880" s="27"/>
      <c r="B880" s="27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 x14ac:dyDescent="0.15">
      <c r="A881" s="27"/>
      <c r="B881" s="27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 x14ac:dyDescent="0.15">
      <c r="A882" s="27"/>
      <c r="B882" s="27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 x14ac:dyDescent="0.15">
      <c r="A883" s="27"/>
      <c r="B883" s="27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 x14ac:dyDescent="0.15">
      <c r="A884" s="27"/>
      <c r="B884" s="27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 x14ac:dyDescent="0.15">
      <c r="A885" s="27"/>
      <c r="B885" s="27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 x14ac:dyDescent="0.15">
      <c r="A886" s="27"/>
      <c r="B886" s="27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 x14ac:dyDescent="0.15">
      <c r="A887" s="27"/>
      <c r="B887" s="27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 x14ac:dyDescent="0.15">
      <c r="A888" s="27"/>
      <c r="B888" s="27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 x14ac:dyDescent="0.15">
      <c r="A889" s="27"/>
      <c r="B889" s="27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 x14ac:dyDescent="0.15">
      <c r="A890" s="27"/>
      <c r="B890" s="27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 x14ac:dyDescent="0.15">
      <c r="A891" s="27"/>
      <c r="B891" s="27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 x14ac:dyDescent="0.15">
      <c r="A892" s="27"/>
      <c r="B892" s="27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 x14ac:dyDescent="0.15">
      <c r="A893" s="27"/>
      <c r="B893" s="27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 x14ac:dyDescent="0.15">
      <c r="A894" s="27"/>
      <c r="B894" s="27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 x14ac:dyDescent="0.15">
      <c r="A895" s="27"/>
      <c r="B895" s="27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 x14ac:dyDescent="0.15">
      <c r="A896" s="27"/>
      <c r="B896" s="27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 x14ac:dyDescent="0.15">
      <c r="A897" s="27"/>
      <c r="B897" s="27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 x14ac:dyDescent="0.15">
      <c r="A898" s="27"/>
      <c r="B898" s="27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 x14ac:dyDescent="0.15">
      <c r="A899" s="27"/>
      <c r="B899" s="27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 x14ac:dyDescent="0.15">
      <c r="A900" s="27"/>
      <c r="B900" s="27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 x14ac:dyDescent="0.15">
      <c r="A901" s="27"/>
      <c r="B901" s="27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 x14ac:dyDescent="0.15">
      <c r="A902" s="27"/>
      <c r="B902" s="27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 x14ac:dyDescent="0.15">
      <c r="A903" s="27"/>
      <c r="B903" s="27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 x14ac:dyDescent="0.15">
      <c r="A904" s="27"/>
      <c r="B904" s="27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 x14ac:dyDescent="0.15">
      <c r="A905" s="27"/>
      <c r="B905" s="27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 x14ac:dyDescent="0.15">
      <c r="A906" s="27"/>
      <c r="B906" s="27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 x14ac:dyDescent="0.15">
      <c r="A907" s="27"/>
      <c r="B907" s="27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 x14ac:dyDescent="0.15">
      <c r="A908" s="27"/>
      <c r="B908" s="27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 x14ac:dyDescent="0.15">
      <c r="A909" s="27"/>
      <c r="B909" s="27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 x14ac:dyDescent="0.15">
      <c r="A910" s="27"/>
      <c r="B910" s="27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 x14ac:dyDescent="0.15">
      <c r="A911" s="27"/>
      <c r="B911" s="27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 x14ac:dyDescent="0.15">
      <c r="A912" s="27"/>
      <c r="B912" s="27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 x14ac:dyDescent="0.15">
      <c r="A913" s="27"/>
      <c r="B913" s="27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 x14ac:dyDescent="0.15">
      <c r="A914" s="27"/>
      <c r="B914" s="27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 x14ac:dyDescent="0.15">
      <c r="A915" s="27"/>
      <c r="B915" s="27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 x14ac:dyDescent="0.15">
      <c r="A916" s="27"/>
      <c r="B916" s="27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 x14ac:dyDescent="0.15">
      <c r="A917" s="27"/>
      <c r="B917" s="27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 x14ac:dyDescent="0.15">
      <c r="A918" s="27"/>
      <c r="B918" s="27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 x14ac:dyDescent="0.15">
      <c r="A919" s="27"/>
      <c r="B919" s="27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 x14ac:dyDescent="0.15">
      <c r="A920" s="27"/>
      <c r="B920" s="27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 x14ac:dyDescent="0.15">
      <c r="A921" s="27"/>
      <c r="B921" s="27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 x14ac:dyDescent="0.15">
      <c r="A922" s="27"/>
      <c r="B922" s="27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 x14ac:dyDescent="0.15">
      <c r="A923" s="27"/>
      <c r="B923" s="27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 x14ac:dyDescent="0.15">
      <c r="A924" s="27"/>
      <c r="B924" s="27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 x14ac:dyDescent="0.15">
      <c r="A925" s="27"/>
      <c r="B925" s="27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 x14ac:dyDescent="0.15">
      <c r="A926" s="27"/>
      <c r="B926" s="27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 x14ac:dyDescent="0.15">
      <c r="A927" s="27"/>
      <c r="B927" s="27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 x14ac:dyDescent="0.15">
      <c r="A928" s="27"/>
      <c r="B928" s="27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 x14ac:dyDescent="0.15">
      <c r="A929" s="27"/>
      <c r="B929" s="27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 x14ac:dyDescent="0.15">
      <c r="A930" s="27"/>
      <c r="B930" s="27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 x14ac:dyDescent="0.15">
      <c r="A931" s="27"/>
      <c r="B931" s="27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 x14ac:dyDescent="0.15">
      <c r="A932" s="27"/>
      <c r="B932" s="27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 x14ac:dyDescent="0.15">
      <c r="A933" s="27"/>
      <c r="B933" s="27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 x14ac:dyDescent="0.15">
      <c r="A934" s="27"/>
      <c r="B934" s="27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 x14ac:dyDescent="0.15">
      <c r="A935" s="27"/>
      <c r="B935" s="27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 x14ac:dyDescent="0.15">
      <c r="A936" s="27"/>
      <c r="B936" s="27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 x14ac:dyDescent="0.15">
      <c r="A937" s="27"/>
      <c r="B937" s="27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 x14ac:dyDescent="0.15">
      <c r="A938" s="27"/>
      <c r="B938" s="27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 x14ac:dyDescent="0.15">
      <c r="A939" s="27"/>
      <c r="B939" s="27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 x14ac:dyDescent="0.15">
      <c r="A940" s="27"/>
      <c r="B940" s="27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 x14ac:dyDescent="0.15">
      <c r="A941" s="27"/>
      <c r="B941" s="27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 x14ac:dyDescent="0.15">
      <c r="A942" s="27"/>
      <c r="B942" s="27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 x14ac:dyDescent="0.15">
      <c r="A943" s="27"/>
      <c r="B943" s="27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 x14ac:dyDescent="0.15">
      <c r="A944" s="27"/>
      <c r="B944" s="27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 x14ac:dyDescent="0.15">
      <c r="A945" s="27"/>
      <c r="B945" s="27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 x14ac:dyDescent="0.15">
      <c r="A946" s="27"/>
      <c r="B946" s="27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 x14ac:dyDescent="0.15">
      <c r="A947" s="27"/>
      <c r="B947" s="27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 x14ac:dyDescent="0.15">
      <c r="A948" s="27"/>
      <c r="B948" s="27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 x14ac:dyDescent="0.15">
      <c r="A949" s="27"/>
      <c r="B949" s="27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 x14ac:dyDescent="0.15">
      <c r="A950" s="27"/>
      <c r="B950" s="27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 x14ac:dyDescent="0.15">
      <c r="A951" s="27"/>
      <c r="B951" s="27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 x14ac:dyDescent="0.15">
      <c r="A952" s="27"/>
      <c r="B952" s="27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 x14ac:dyDescent="0.15">
      <c r="A953" s="27"/>
      <c r="B953" s="27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 x14ac:dyDescent="0.15">
      <c r="A954" s="27"/>
      <c r="B954" s="27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 x14ac:dyDescent="0.15">
      <c r="A955" s="27"/>
      <c r="B955" s="27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 x14ac:dyDescent="0.15">
      <c r="A956" s="27"/>
      <c r="B956" s="27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 x14ac:dyDescent="0.15">
      <c r="A957" s="27"/>
      <c r="B957" s="27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 x14ac:dyDescent="0.15">
      <c r="A958" s="27"/>
      <c r="B958" s="27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 x14ac:dyDescent="0.15">
      <c r="A959" s="27"/>
      <c r="B959" s="27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 x14ac:dyDescent="0.15">
      <c r="A960" s="27"/>
      <c r="B960" s="27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 x14ac:dyDescent="0.15">
      <c r="A961" s="27"/>
      <c r="B961" s="27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 x14ac:dyDescent="0.15">
      <c r="A962" s="27"/>
      <c r="B962" s="27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 x14ac:dyDescent="0.15">
      <c r="A963" s="27"/>
      <c r="B963" s="27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 x14ac:dyDescent="0.15">
      <c r="A964" s="27"/>
      <c r="B964" s="27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 x14ac:dyDescent="0.15">
      <c r="A965" s="27"/>
      <c r="B965" s="27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 x14ac:dyDescent="0.15">
      <c r="A966" s="27"/>
      <c r="B966" s="27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 x14ac:dyDescent="0.15">
      <c r="A967" s="27"/>
      <c r="B967" s="27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 x14ac:dyDescent="0.15">
      <c r="A968" s="27"/>
      <c r="B968" s="27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 x14ac:dyDescent="0.15">
      <c r="A969" s="27"/>
      <c r="B969" s="27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 x14ac:dyDescent="0.15">
      <c r="A970" s="27"/>
      <c r="B970" s="27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 x14ac:dyDescent="0.15">
      <c r="A971" s="27"/>
      <c r="B971" s="27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 x14ac:dyDescent="0.15">
      <c r="A972" s="27"/>
      <c r="B972" s="27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 x14ac:dyDescent="0.15">
      <c r="A973" s="27"/>
      <c r="B973" s="27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 x14ac:dyDescent="0.15">
      <c r="A974" s="27"/>
      <c r="B974" s="27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 x14ac:dyDescent="0.15">
      <c r="A975" s="27"/>
      <c r="B975" s="27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 x14ac:dyDescent="0.15">
      <c r="A976" s="27"/>
      <c r="B976" s="27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 x14ac:dyDescent="0.15">
      <c r="A977" s="27"/>
      <c r="B977" s="27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 x14ac:dyDescent="0.15">
      <c r="A978" s="27"/>
      <c r="B978" s="27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 x14ac:dyDescent="0.15">
      <c r="A979" s="27"/>
      <c r="B979" s="27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 x14ac:dyDescent="0.15">
      <c r="A980" s="27"/>
      <c r="B980" s="27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 x14ac:dyDescent="0.15">
      <c r="A981" s="27"/>
      <c r="B981" s="27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 x14ac:dyDescent="0.15">
      <c r="A982" s="27"/>
      <c r="B982" s="27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 x14ac:dyDescent="0.15">
      <c r="A983" s="27"/>
      <c r="B983" s="27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 x14ac:dyDescent="0.15">
      <c r="A984" s="27"/>
      <c r="B984" s="27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 x14ac:dyDescent="0.15">
      <c r="A985" s="27"/>
      <c r="B985" s="27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 x14ac:dyDescent="0.15">
      <c r="A986" s="27"/>
      <c r="B986" s="27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 x14ac:dyDescent="0.15">
      <c r="A987" s="27"/>
      <c r="B987" s="27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 x14ac:dyDescent="0.15">
      <c r="A988" s="27"/>
      <c r="B988" s="27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 x14ac:dyDescent="0.15">
      <c r="A989" s="27"/>
      <c r="B989" s="27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 x14ac:dyDescent="0.15">
      <c r="A990" s="27"/>
      <c r="B990" s="27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 x14ac:dyDescent="0.15">
      <c r="A991" s="27"/>
      <c r="B991" s="27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 x14ac:dyDescent="0.15">
      <c r="A992" s="27"/>
      <c r="B992" s="27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 x14ac:dyDescent="0.15">
      <c r="A993" s="27"/>
      <c r="B993" s="27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 x14ac:dyDescent="0.15">
      <c r="A994" s="27"/>
      <c r="B994" s="27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 x14ac:dyDescent="0.15">
      <c r="A995" s="27"/>
      <c r="B995" s="27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 x14ac:dyDescent="0.15">
      <c r="A996" s="27"/>
      <c r="B996" s="27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 x14ac:dyDescent="0.15">
      <c r="A997" s="27"/>
      <c r="B997" s="27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 x14ac:dyDescent="0.15">
      <c r="A998" s="27"/>
      <c r="B998" s="27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 x14ac:dyDescent="0.15">
      <c r="A999" s="27"/>
      <c r="B999" s="27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 x14ac:dyDescent="0.15">
      <c r="A1000" s="27"/>
      <c r="B1000" s="27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pane xSplit="2" ySplit="2" topLeftCell="C50" activePane="bottomRight" state="frozen"/>
      <selection pane="topRight" activeCell="C1" sqref="C1"/>
      <selection pane="bottomLeft" activeCell="A3" sqref="A3"/>
      <selection pane="bottomRight" activeCell="L73" sqref="L73"/>
    </sheetView>
  </sheetViews>
  <sheetFormatPr baseColWidth="10" defaultColWidth="12.5" defaultRowHeight="15.75" customHeight="1" x14ac:dyDescent="0.15"/>
  <cols>
    <col min="1" max="1" width="2.5" customWidth="1"/>
    <col min="2" max="2" width="37.5" customWidth="1"/>
    <col min="3" max="13" width="9.6640625" customWidth="1"/>
    <col min="14" max="26" width="7.5" customWidth="1"/>
  </cols>
  <sheetData>
    <row r="1" spans="1:26" ht="12.75" customHeight="1" x14ac:dyDescent="0.15">
      <c r="A1" s="34"/>
      <c r="B1" s="28" t="s">
        <v>126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2.75" customHeight="1" x14ac:dyDescent="0.15">
      <c r="A2" s="49"/>
      <c r="B2" s="36" t="s">
        <v>35</v>
      </c>
      <c r="C2" s="49">
        <v>2022</v>
      </c>
      <c r="D2" s="49">
        <f>'IS - Gold Solution'!D2</f>
        <v>2023</v>
      </c>
      <c r="E2" s="49">
        <f>'IS - Gold Solution'!E2</f>
        <v>2024</v>
      </c>
      <c r="F2" s="49" t="str">
        <f>'IS - Gold Solution'!F2</f>
        <v>2025E</v>
      </c>
      <c r="G2" s="49" t="str">
        <f>'IS - Gold Solution'!G2</f>
        <v>2026E</v>
      </c>
      <c r="H2" s="49" t="str">
        <f>'IS - Gold Solution'!H2</f>
        <v>2027E</v>
      </c>
      <c r="I2" s="49" t="str">
        <f>'IS - Gold Solution'!I2</f>
        <v>2028E</v>
      </c>
      <c r="J2" s="49" t="str">
        <f>'IS - Gold Solution'!J2</f>
        <v>2029E</v>
      </c>
      <c r="K2" s="49" t="str">
        <f>'IS - Gold Solution'!K2</f>
        <v>2030E</v>
      </c>
      <c r="L2" s="49" t="str">
        <f>'IS - Gold Solution'!L2</f>
        <v>2031E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2.75" customHeight="1" x14ac:dyDescent="0.15">
      <c r="A3" s="52"/>
      <c r="B3" s="34" t="s">
        <v>127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2.75" customHeight="1" x14ac:dyDescent="0.15">
      <c r="A4" s="52"/>
      <c r="B4" s="53" t="s">
        <v>128</v>
      </c>
      <c r="C4" s="83">
        <v>10.1</v>
      </c>
      <c r="D4" s="83">
        <v>262.32</v>
      </c>
      <c r="E4" s="83">
        <v>281.13400000000001</v>
      </c>
      <c r="F4" s="55">
        <f ca="1">'CFS - Gold Solution'!F38</f>
        <v>260.30761016035518</v>
      </c>
      <c r="G4" s="55">
        <f ca="1">'CFS - Gold Solution'!G38</f>
        <v>255.5786783134908</v>
      </c>
      <c r="H4" s="55">
        <f ca="1">'CFS - Gold Solution'!H38</f>
        <v>288.4811863687043</v>
      </c>
      <c r="I4" s="55">
        <f ca="1">'CFS - Gold Solution'!I38</f>
        <v>361.9843453538976</v>
      </c>
      <c r="J4" s="55">
        <f ca="1">'CFS - Gold Solution'!J38</f>
        <v>479.36801167708376</v>
      </c>
      <c r="K4" s="55">
        <f ca="1">'CFS - Gold Solution'!K38</f>
        <v>388.68712342988789</v>
      </c>
      <c r="L4" s="55">
        <f ca="1">'CFS - Gold Solution'!L38</f>
        <v>206.48204907817041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2.75" customHeight="1" x14ac:dyDescent="0.15">
      <c r="A5" s="52"/>
      <c r="B5" s="53" t="s">
        <v>129</v>
      </c>
      <c r="C5" s="83">
        <v>210.2</v>
      </c>
      <c r="D5" s="83">
        <v>266.78500000000003</v>
      </c>
      <c r="E5" s="83">
        <v>267.24</v>
      </c>
      <c r="F5" s="55">
        <f>E5-'CFS - Gold Solution'!F14</f>
        <v>287.24</v>
      </c>
      <c r="G5" s="55">
        <f>F5-'CFS - Gold Solution'!G14</f>
        <v>307.24</v>
      </c>
      <c r="H5" s="55">
        <f>G5-'CFS - Gold Solution'!H14</f>
        <v>327.24</v>
      </c>
      <c r="I5" s="55">
        <f>H5-'CFS - Gold Solution'!I14</f>
        <v>347.24</v>
      </c>
      <c r="J5" s="55">
        <f>I5-'CFS - Gold Solution'!J14</f>
        <v>367.24</v>
      </c>
      <c r="K5" s="55">
        <f>J5-'CFS - Gold Solution'!K14</f>
        <v>387.24</v>
      </c>
      <c r="L5" s="55">
        <f>K5-'CFS - Gold Solution'!L14</f>
        <v>407.24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2.75" customHeight="1" x14ac:dyDescent="0.15">
      <c r="A6" s="52"/>
      <c r="B6" s="53" t="s">
        <v>130</v>
      </c>
      <c r="C6" s="83">
        <v>31.1</v>
      </c>
      <c r="D6" s="83">
        <v>27.292999999999999</v>
      </c>
      <c r="E6" s="83">
        <v>31.283000000000001</v>
      </c>
      <c r="F6" s="55">
        <f t="shared" ref="F6:L6" si="0">E6</f>
        <v>31.283000000000001</v>
      </c>
      <c r="G6" s="55">
        <f t="shared" si="0"/>
        <v>31.283000000000001</v>
      </c>
      <c r="H6" s="55">
        <f t="shared" si="0"/>
        <v>31.283000000000001</v>
      </c>
      <c r="I6" s="55">
        <f t="shared" si="0"/>
        <v>31.283000000000001</v>
      </c>
      <c r="J6" s="55">
        <f t="shared" si="0"/>
        <v>31.283000000000001</v>
      </c>
      <c r="K6" s="55">
        <f t="shared" si="0"/>
        <v>31.283000000000001</v>
      </c>
      <c r="L6" s="55">
        <f t="shared" si="0"/>
        <v>31.283000000000001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2.75" customHeight="1" x14ac:dyDescent="0.15">
      <c r="A7" s="52"/>
      <c r="B7" s="53" t="s">
        <v>131</v>
      </c>
      <c r="C7" s="83">
        <v>323.3</v>
      </c>
      <c r="D7" s="83">
        <v>319.62299999999999</v>
      </c>
      <c r="E7" s="83">
        <v>380.33600000000001</v>
      </c>
      <c r="F7" s="164">
        <f>E7-'CFS - Gold Solution'!F15</f>
        <v>390.33600000000001</v>
      </c>
      <c r="G7" s="164">
        <f>F7-'CFS - Gold Solution'!G15</f>
        <v>400.33600000000001</v>
      </c>
      <c r="H7" s="164">
        <f>G7-'CFS - Gold Solution'!H15</f>
        <v>410.33600000000001</v>
      </c>
      <c r="I7" s="164">
        <f>H7-'CFS - Gold Solution'!I15</f>
        <v>420.33600000000001</v>
      </c>
      <c r="J7" s="164">
        <f>I7-'CFS - Gold Solution'!J15</f>
        <v>430.33600000000001</v>
      </c>
      <c r="K7" s="164">
        <f>J7-'CFS - Gold Solution'!K15</f>
        <v>440.33600000000001</v>
      </c>
      <c r="L7" s="164">
        <f>K7-'CFS - Gold Solution'!L15</f>
        <v>450.33600000000001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2.75" customHeight="1" x14ac:dyDescent="0.15">
      <c r="A8" s="52"/>
      <c r="B8" s="57" t="s">
        <v>132</v>
      </c>
      <c r="C8" s="91">
        <v>33.900000000000006</v>
      </c>
      <c r="D8" s="91">
        <v>37.521999999999998</v>
      </c>
      <c r="E8" s="91">
        <v>27.675000000000001</v>
      </c>
      <c r="F8" s="144">
        <f t="shared" ref="F8:L8" si="1">E8</f>
        <v>27.675000000000001</v>
      </c>
      <c r="G8" s="144">
        <f t="shared" si="1"/>
        <v>27.675000000000001</v>
      </c>
      <c r="H8" s="144">
        <f t="shared" si="1"/>
        <v>27.675000000000001</v>
      </c>
      <c r="I8" s="144">
        <f t="shared" si="1"/>
        <v>27.675000000000001</v>
      </c>
      <c r="J8" s="144">
        <f t="shared" si="1"/>
        <v>27.675000000000001</v>
      </c>
      <c r="K8" s="144">
        <f t="shared" si="1"/>
        <v>27.675000000000001</v>
      </c>
      <c r="L8" s="144">
        <f t="shared" si="1"/>
        <v>27.675000000000001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2.75" customHeight="1" x14ac:dyDescent="0.15">
      <c r="A9" s="49"/>
      <c r="B9" s="51" t="s">
        <v>133</v>
      </c>
      <c r="C9" s="86">
        <f t="shared" ref="C9:L9" si="2">SUM(C4:C8)</f>
        <v>608.6</v>
      </c>
      <c r="D9" s="86">
        <f t="shared" si="2"/>
        <v>913.54300000000001</v>
      </c>
      <c r="E9" s="86">
        <f t="shared" si="2"/>
        <v>987.66800000000001</v>
      </c>
      <c r="F9" s="77">
        <f t="shared" ca="1" si="2"/>
        <v>996.84161016035512</v>
      </c>
      <c r="G9" s="77">
        <f t="shared" ca="1" si="2"/>
        <v>1022.1126783134908</v>
      </c>
      <c r="H9" s="77">
        <f t="shared" ca="1" si="2"/>
        <v>1085.0151863687045</v>
      </c>
      <c r="I9" s="77">
        <f t="shared" ca="1" si="2"/>
        <v>1188.5183453538978</v>
      </c>
      <c r="J9" s="77">
        <f t="shared" ca="1" si="2"/>
        <v>1335.9020116770837</v>
      </c>
      <c r="K9" s="77">
        <f t="shared" ca="1" si="2"/>
        <v>1275.2211234298877</v>
      </c>
      <c r="L9" s="77">
        <f t="shared" ca="1" si="2"/>
        <v>1123.0160490781702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2.75" customHeight="1" x14ac:dyDescent="0.15">
      <c r="A10" s="49"/>
      <c r="B10" s="51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2.75" customHeight="1" x14ac:dyDescent="0.15">
      <c r="A11" s="52"/>
      <c r="B11" s="53" t="s">
        <v>134</v>
      </c>
      <c r="C11" s="83">
        <v>1315.2</v>
      </c>
      <c r="D11" s="83">
        <v>1315.047</v>
      </c>
      <c r="E11" s="83">
        <v>1441.7</v>
      </c>
      <c r="F11" s="55">
        <f t="shared" ref="F11:L11" si="3">F46</f>
        <v>1518.9257500000001</v>
      </c>
      <c r="G11" s="55">
        <f t="shared" si="3"/>
        <v>1563.235860625</v>
      </c>
      <c r="H11" s="55">
        <f t="shared" si="3"/>
        <v>1603.0041849109375</v>
      </c>
      <c r="I11" s="55">
        <f t="shared" si="3"/>
        <v>1638.6962559575663</v>
      </c>
      <c r="J11" s="55">
        <f t="shared" si="3"/>
        <v>1670.7298897219157</v>
      </c>
      <c r="K11" s="55">
        <f t="shared" si="3"/>
        <v>1699.4800760254193</v>
      </c>
      <c r="L11" s="55">
        <f t="shared" si="3"/>
        <v>1725.2833682328137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2.75" customHeight="1" x14ac:dyDescent="0.15">
      <c r="A12" s="52"/>
      <c r="B12" s="53" t="s">
        <v>135</v>
      </c>
      <c r="C12" s="83">
        <v>274.5</v>
      </c>
      <c r="D12" s="83">
        <v>274.47800000000001</v>
      </c>
      <c r="E12" s="83">
        <v>297.22500000000002</v>
      </c>
      <c r="F12" s="164">
        <f>E12-'CFS - Gold Solution'!F22</f>
        <v>747.22500000000002</v>
      </c>
      <c r="G12" s="164">
        <f>F12-'CFS - Gold Solution'!G22</f>
        <v>747.22500000000002</v>
      </c>
      <c r="H12" s="164">
        <f>G12-'CFS - Gold Solution'!H22</f>
        <v>747.22500000000002</v>
      </c>
      <c r="I12" s="164">
        <f>H12-'CFS - Gold Solution'!I22</f>
        <v>747.22500000000002</v>
      </c>
      <c r="J12" s="164">
        <f>I12-'CFS - Gold Solution'!J22</f>
        <v>747.22500000000002</v>
      </c>
      <c r="K12" s="164">
        <f>J12-'CFS - Gold Solution'!K22</f>
        <v>747.22500000000002</v>
      </c>
      <c r="L12" s="164">
        <f>K12-'CFS - Gold Solution'!L22</f>
        <v>747.22500000000002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.75" customHeight="1" x14ac:dyDescent="0.15">
      <c r="A13" s="52"/>
      <c r="B13" s="53" t="s">
        <v>136</v>
      </c>
      <c r="C13" s="83">
        <v>13.4</v>
      </c>
      <c r="D13" s="83">
        <v>10.821</v>
      </c>
      <c r="E13" s="83">
        <v>29.414000000000001</v>
      </c>
      <c r="F13" s="55">
        <f t="shared" ref="F13:L13" si="4">E13</f>
        <v>29.414000000000001</v>
      </c>
      <c r="G13" s="55">
        <f t="shared" si="4"/>
        <v>29.414000000000001</v>
      </c>
      <c r="H13" s="55">
        <f t="shared" si="4"/>
        <v>29.414000000000001</v>
      </c>
      <c r="I13" s="55">
        <f t="shared" si="4"/>
        <v>29.414000000000001</v>
      </c>
      <c r="J13" s="55">
        <f t="shared" si="4"/>
        <v>29.414000000000001</v>
      </c>
      <c r="K13" s="55">
        <f t="shared" si="4"/>
        <v>29.414000000000001</v>
      </c>
      <c r="L13" s="55">
        <f t="shared" si="4"/>
        <v>29.414000000000001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x14ac:dyDescent="0.15">
      <c r="A14" s="52"/>
      <c r="B14" s="53" t="s">
        <v>137</v>
      </c>
      <c r="C14" s="83">
        <v>45.9</v>
      </c>
      <c r="D14" s="83">
        <v>44.706000000000003</v>
      </c>
      <c r="E14" s="83">
        <v>49.378</v>
      </c>
      <c r="F14" s="55">
        <f t="shared" ref="F14:L14" si="5">E14</f>
        <v>49.378</v>
      </c>
      <c r="G14" s="55">
        <f t="shared" si="5"/>
        <v>49.378</v>
      </c>
      <c r="H14" s="55">
        <f t="shared" si="5"/>
        <v>49.378</v>
      </c>
      <c r="I14" s="55">
        <f t="shared" si="5"/>
        <v>49.378</v>
      </c>
      <c r="J14" s="55">
        <f t="shared" si="5"/>
        <v>49.378</v>
      </c>
      <c r="K14" s="55">
        <f t="shared" si="5"/>
        <v>49.378</v>
      </c>
      <c r="L14" s="55">
        <f t="shared" si="5"/>
        <v>49.378</v>
      </c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x14ac:dyDescent="0.15">
      <c r="A15" s="52"/>
      <c r="B15" s="57" t="s">
        <v>138</v>
      </c>
      <c r="C15" s="91">
        <v>36.700000000000003</v>
      </c>
      <c r="D15" s="91">
        <v>41.218000000000004</v>
      </c>
      <c r="E15" s="91">
        <v>45.817</v>
      </c>
      <c r="F15" s="144">
        <f t="shared" ref="F15:L15" si="6">E15</f>
        <v>45.817</v>
      </c>
      <c r="G15" s="144">
        <f t="shared" si="6"/>
        <v>45.817</v>
      </c>
      <c r="H15" s="144">
        <f t="shared" si="6"/>
        <v>45.817</v>
      </c>
      <c r="I15" s="144">
        <f t="shared" si="6"/>
        <v>45.817</v>
      </c>
      <c r="J15" s="144">
        <f t="shared" si="6"/>
        <v>45.817</v>
      </c>
      <c r="K15" s="144">
        <f t="shared" si="6"/>
        <v>45.817</v>
      </c>
      <c r="L15" s="144">
        <f t="shared" si="6"/>
        <v>45.817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x14ac:dyDescent="0.15">
      <c r="A16" s="49"/>
      <c r="B16" s="165" t="s">
        <v>139</v>
      </c>
      <c r="C16" s="166">
        <f t="shared" ref="C16:L16" si="7">SUM(C9:C15)</f>
        <v>2294.3000000000002</v>
      </c>
      <c r="D16" s="166">
        <f t="shared" si="7"/>
        <v>2599.8130000000001</v>
      </c>
      <c r="E16" s="166">
        <f t="shared" si="7"/>
        <v>2851.2020000000002</v>
      </c>
      <c r="F16" s="145">
        <f t="shared" ca="1" si="7"/>
        <v>3387.6013601603554</v>
      </c>
      <c r="G16" s="145">
        <f t="shared" ca="1" si="7"/>
        <v>3457.1825389384912</v>
      </c>
      <c r="H16" s="145">
        <f t="shared" ca="1" si="7"/>
        <v>3559.853371279642</v>
      </c>
      <c r="I16" s="145">
        <f t="shared" ca="1" si="7"/>
        <v>3699.0486013114646</v>
      </c>
      <c r="J16" s="145">
        <f t="shared" ca="1" si="7"/>
        <v>3878.4659013989999</v>
      </c>
      <c r="K16" s="145">
        <f t="shared" ca="1" si="7"/>
        <v>3846.5351994553071</v>
      </c>
      <c r="L16" s="145">
        <f t="shared" ca="1" si="7"/>
        <v>3720.133417310984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2.75" customHeight="1" x14ac:dyDescent="0.15">
      <c r="A17" s="52"/>
      <c r="B17" s="51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15">
      <c r="A18" s="52"/>
      <c r="B18" s="34" t="s">
        <v>140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15">
      <c r="A19" s="52"/>
      <c r="B19" s="53" t="s">
        <v>141</v>
      </c>
      <c r="C19" s="83">
        <v>87.4</v>
      </c>
      <c r="D19" s="83">
        <v>7.0819999999999999</v>
      </c>
      <c r="E19" s="83">
        <v>10.475</v>
      </c>
      <c r="F19" s="164">
        <f>-'Debt - Gold Solution'!F10</f>
        <v>0</v>
      </c>
      <c r="G19" s="164">
        <f>-'Debt - Gold Solution'!G10</f>
        <v>0</v>
      </c>
      <c r="H19" s="164">
        <f>-'Debt - Gold Solution'!H10</f>
        <v>0</v>
      </c>
      <c r="I19" s="164">
        <f>-'Debt - Gold Solution'!I10</f>
        <v>0</v>
      </c>
      <c r="J19" s="164">
        <f>-'Debt - Gold Solution'!J10</f>
        <v>0</v>
      </c>
      <c r="K19" s="164">
        <f>-'Debt - Gold Solution'!K10</f>
        <v>0</v>
      </c>
      <c r="L19" s="164">
        <f>-'Debt - Gold Solution'!L10</f>
        <v>0</v>
      </c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15">
      <c r="A20" s="52"/>
      <c r="B20" s="53" t="s">
        <v>142</v>
      </c>
      <c r="C20" s="83">
        <v>39.799999999999997</v>
      </c>
      <c r="D20" s="83">
        <v>107.65600000000001</v>
      </c>
      <c r="E20" s="83">
        <v>140.834</v>
      </c>
      <c r="F20" s="164">
        <f>E20+'CFS - Gold Solution'!F16</f>
        <v>145.834</v>
      </c>
      <c r="G20" s="164">
        <f>F20+'CFS - Gold Solution'!G16</f>
        <v>150.834</v>
      </c>
      <c r="H20" s="164">
        <f>G20+'CFS - Gold Solution'!H16</f>
        <v>155.834</v>
      </c>
      <c r="I20" s="164">
        <f>H20+'CFS - Gold Solution'!I16</f>
        <v>160.834</v>
      </c>
      <c r="J20" s="164">
        <f>I20+'CFS - Gold Solution'!J16</f>
        <v>165.834</v>
      </c>
      <c r="K20" s="164">
        <f>J20+'CFS - Gold Solution'!K16</f>
        <v>170.834</v>
      </c>
      <c r="L20" s="164">
        <f>K20+'CFS - Gold Solution'!L16</f>
        <v>175.834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15">
      <c r="A21" s="52"/>
      <c r="B21" s="53" t="s">
        <v>143</v>
      </c>
      <c r="C21" s="83">
        <v>0</v>
      </c>
      <c r="D21" s="83">
        <v>51.375999999999998</v>
      </c>
      <c r="E21" s="83">
        <v>42.125999999999998</v>
      </c>
      <c r="F21" s="55">
        <f t="shared" ref="F21:L21" si="8">E21</f>
        <v>42.125999999999998</v>
      </c>
      <c r="G21" s="55">
        <f t="shared" si="8"/>
        <v>42.125999999999998</v>
      </c>
      <c r="H21" s="55">
        <f t="shared" si="8"/>
        <v>42.125999999999998</v>
      </c>
      <c r="I21" s="55">
        <f t="shared" si="8"/>
        <v>42.125999999999998</v>
      </c>
      <c r="J21" s="55">
        <f t="shared" si="8"/>
        <v>42.125999999999998</v>
      </c>
      <c r="K21" s="55">
        <f t="shared" si="8"/>
        <v>42.125999999999998</v>
      </c>
      <c r="L21" s="55">
        <f t="shared" si="8"/>
        <v>42.125999999999998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15">
      <c r="A22" s="52"/>
      <c r="B22" s="53" t="s">
        <v>144</v>
      </c>
      <c r="C22" s="83">
        <v>29.2</v>
      </c>
      <c r="D22" s="83">
        <v>48.097999999999999</v>
      </c>
      <c r="E22" s="83">
        <v>50.655000000000001</v>
      </c>
      <c r="F22" s="55">
        <f t="shared" ref="F22:L22" si="9">E22</f>
        <v>50.655000000000001</v>
      </c>
      <c r="G22" s="55">
        <f t="shared" si="9"/>
        <v>50.655000000000001</v>
      </c>
      <c r="H22" s="55">
        <f t="shared" si="9"/>
        <v>50.655000000000001</v>
      </c>
      <c r="I22" s="55">
        <f t="shared" si="9"/>
        <v>50.655000000000001</v>
      </c>
      <c r="J22" s="55">
        <f t="shared" si="9"/>
        <v>50.655000000000001</v>
      </c>
      <c r="K22" s="55">
        <f t="shared" si="9"/>
        <v>50.655000000000001</v>
      </c>
      <c r="L22" s="55">
        <f t="shared" si="9"/>
        <v>50.655000000000001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15">
      <c r="A23" s="52"/>
      <c r="B23" s="53" t="s">
        <v>145</v>
      </c>
      <c r="C23" s="83">
        <v>20.3</v>
      </c>
      <c r="D23" s="83">
        <v>12.948</v>
      </c>
      <c r="E23" s="83">
        <v>14.843999999999999</v>
      </c>
      <c r="F23" s="55">
        <f t="shared" ref="F23:L23" si="10">E23</f>
        <v>14.843999999999999</v>
      </c>
      <c r="G23" s="55">
        <f t="shared" si="10"/>
        <v>14.843999999999999</v>
      </c>
      <c r="H23" s="55">
        <f t="shared" si="10"/>
        <v>14.843999999999999</v>
      </c>
      <c r="I23" s="55">
        <f t="shared" si="10"/>
        <v>14.843999999999999</v>
      </c>
      <c r="J23" s="55">
        <f t="shared" si="10"/>
        <v>14.843999999999999</v>
      </c>
      <c r="K23" s="55">
        <f t="shared" si="10"/>
        <v>14.843999999999999</v>
      </c>
      <c r="L23" s="55">
        <f t="shared" si="10"/>
        <v>14.843999999999999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15">
      <c r="A24" s="52"/>
      <c r="B24" s="53" t="s">
        <v>146</v>
      </c>
      <c r="C24" s="83">
        <v>238.2</v>
      </c>
      <c r="D24" s="83">
        <v>9.3000000000000007</v>
      </c>
      <c r="E24" s="83">
        <v>8.2859999999999996</v>
      </c>
      <c r="F24" s="55">
        <f t="shared" ref="F24:L24" si="11">E24</f>
        <v>8.2859999999999996</v>
      </c>
      <c r="G24" s="55">
        <f t="shared" si="11"/>
        <v>8.2859999999999996</v>
      </c>
      <c r="H24" s="55">
        <f t="shared" si="11"/>
        <v>8.2859999999999996</v>
      </c>
      <c r="I24" s="55">
        <f t="shared" si="11"/>
        <v>8.2859999999999996</v>
      </c>
      <c r="J24" s="55">
        <f t="shared" si="11"/>
        <v>8.2859999999999996</v>
      </c>
      <c r="K24" s="55">
        <f t="shared" si="11"/>
        <v>8.2859999999999996</v>
      </c>
      <c r="L24" s="55">
        <f t="shared" si="11"/>
        <v>8.2859999999999996</v>
      </c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15">
      <c r="A25" s="52"/>
      <c r="B25" s="53" t="s">
        <v>147</v>
      </c>
      <c r="C25" s="83">
        <v>13.2</v>
      </c>
      <c r="D25" s="83">
        <v>7.2469999999999999</v>
      </c>
      <c r="E25" s="83">
        <v>5.5350000000000001</v>
      </c>
      <c r="F25" s="55">
        <f t="shared" ref="F25:L25" si="12">E25</f>
        <v>5.5350000000000001</v>
      </c>
      <c r="G25" s="55">
        <f t="shared" si="12"/>
        <v>5.5350000000000001</v>
      </c>
      <c r="H25" s="55">
        <f t="shared" si="12"/>
        <v>5.5350000000000001</v>
      </c>
      <c r="I25" s="55">
        <f t="shared" si="12"/>
        <v>5.5350000000000001</v>
      </c>
      <c r="J25" s="55">
        <f t="shared" si="12"/>
        <v>5.5350000000000001</v>
      </c>
      <c r="K25" s="55">
        <f t="shared" si="12"/>
        <v>5.5350000000000001</v>
      </c>
      <c r="L25" s="55">
        <f t="shared" si="12"/>
        <v>5.5350000000000001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15">
      <c r="A26" s="52"/>
      <c r="B26" s="57" t="s">
        <v>148</v>
      </c>
      <c r="C26" s="91">
        <v>88.8</v>
      </c>
      <c r="D26" s="91">
        <v>103.56399999999999</v>
      </c>
      <c r="E26" s="91">
        <v>97.281999999999996</v>
      </c>
      <c r="F26" s="167">
        <f>E26+'CFS - Gold Solution'!F17</f>
        <v>102.282</v>
      </c>
      <c r="G26" s="167">
        <f>F26+'CFS - Gold Solution'!G17</f>
        <v>107.282</v>
      </c>
      <c r="H26" s="167">
        <f>G26+'CFS - Gold Solution'!H17</f>
        <v>112.282</v>
      </c>
      <c r="I26" s="167">
        <f>H26+'CFS - Gold Solution'!I17</f>
        <v>117.282</v>
      </c>
      <c r="J26" s="167">
        <f>I26+'CFS - Gold Solution'!J17</f>
        <v>122.282</v>
      </c>
      <c r="K26" s="167">
        <f>J26+'CFS - Gold Solution'!K17</f>
        <v>127.282</v>
      </c>
      <c r="L26" s="167">
        <f>K26+'CFS - Gold Solution'!L17</f>
        <v>132.28199999999998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15">
      <c r="A27" s="52"/>
      <c r="B27" s="51" t="s">
        <v>149</v>
      </c>
      <c r="C27" s="86">
        <f t="shared" ref="C27:L27" si="13">SUM(C19:C26)</f>
        <v>516.9</v>
      </c>
      <c r="D27" s="86">
        <f t="shared" si="13"/>
        <v>347.27099999999996</v>
      </c>
      <c r="E27" s="86">
        <f t="shared" si="13"/>
        <v>370.03700000000003</v>
      </c>
      <c r="F27" s="77">
        <f t="shared" si="13"/>
        <v>369.56200000000001</v>
      </c>
      <c r="G27" s="77">
        <f t="shared" si="13"/>
        <v>379.56200000000001</v>
      </c>
      <c r="H27" s="77">
        <f t="shared" si="13"/>
        <v>389.56200000000001</v>
      </c>
      <c r="I27" s="77">
        <f t="shared" si="13"/>
        <v>399.56200000000001</v>
      </c>
      <c r="J27" s="77">
        <f t="shared" si="13"/>
        <v>409.56200000000001</v>
      </c>
      <c r="K27" s="77">
        <f t="shared" si="13"/>
        <v>419.56200000000001</v>
      </c>
      <c r="L27" s="77">
        <f t="shared" si="13"/>
        <v>429.56200000000001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15">
      <c r="A28" s="52"/>
      <c r="B28" s="51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15">
      <c r="A29" s="52"/>
      <c r="B29" s="53" t="s">
        <v>150</v>
      </c>
      <c r="C29" s="83">
        <v>0.4</v>
      </c>
      <c r="D29" s="83">
        <v>674.577</v>
      </c>
      <c r="E29" s="83">
        <v>666.91099999999994</v>
      </c>
      <c r="F29" s="164">
        <f>'Debt - Gold Solution'!F11</f>
        <v>1172.165</v>
      </c>
      <c r="G29" s="164">
        <f>'Debt - Gold Solution'!G11</f>
        <v>1172.165</v>
      </c>
      <c r="H29" s="164">
        <f>'Debt - Gold Solution'!H11</f>
        <v>1172.165</v>
      </c>
      <c r="I29" s="164">
        <f>'Debt - Gold Solution'!I11</f>
        <v>1172.165</v>
      </c>
      <c r="J29" s="164">
        <f>'Debt - Gold Solution'!J11</f>
        <v>1172.165</v>
      </c>
      <c r="K29" s="164">
        <f>'Debt - Gold Solution'!K11</f>
        <v>907.47700000000009</v>
      </c>
      <c r="L29" s="164">
        <f>'Debt - Gold Solution'!L11</f>
        <v>482.47699999999998</v>
      </c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15">
      <c r="A30" s="52"/>
      <c r="B30" s="53" t="s">
        <v>151</v>
      </c>
      <c r="C30" s="83">
        <v>446.4</v>
      </c>
      <c r="D30" s="83">
        <v>0</v>
      </c>
      <c r="E30" s="83">
        <v>0</v>
      </c>
      <c r="F30" s="55">
        <f t="shared" ref="F30:L30" si="14">E30</f>
        <v>0</v>
      </c>
      <c r="G30" s="55">
        <f t="shared" si="14"/>
        <v>0</v>
      </c>
      <c r="H30" s="55">
        <f t="shared" si="14"/>
        <v>0</v>
      </c>
      <c r="I30" s="55">
        <f t="shared" si="14"/>
        <v>0</v>
      </c>
      <c r="J30" s="55">
        <f t="shared" si="14"/>
        <v>0</v>
      </c>
      <c r="K30" s="55">
        <f t="shared" si="14"/>
        <v>0</v>
      </c>
      <c r="L30" s="55">
        <f t="shared" si="14"/>
        <v>0</v>
      </c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.75" customHeight="1" x14ac:dyDescent="0.15">
      <c r="A31" s="52"/>
      <c r="B31" s="53" t="s">
        <v>152</v>
      </c>
      <c r="C31" s="83">
        <v>175.8</v>
      </c>
      <c r="D31" s="83">
        <v>174.542</v>
      </c>
      <c r="E31" s="83">
        <v>174.727</v>
      </c>
      <c r="F31" s="55">
        <f t="shared" ref="F31:L31" si="15">E31</f>
        <v>174.727</v>
      </c>
      <c r="G31" s="55">
        <f t="shared" si="15"/>
        <v>174.727</v>
      </c>
      <c r="H31" s="55">
        <f t="shared" si="15"/>
        <v>174.727</v>
      </c>
      <c r="I31" s="55">
        <f t="shared" si="15"/>
        <v>174.727</v>
      </c>
      <c r="J31" s="55">
        <f t="shared" si="15"/>
        <v>174.727</v>
      </c>
      <c r="K31" s="55">
        <f t="shared" si="15"/>
        <v>174.727</v>
      </c>
      <c r="L31" s="55">
        <f t="shared" si="15"/>
        <v>174.727</v>
      </c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.75" customHeight="1" x14ac:dyDescent="0.15">
      <c r="A32" s="52"/>
      <c r="B32" s="53" t="s">
        <v>153</v>
      </c>
      <c r="C32" s="83">
        <v>32.700000000000003</v>
      </c>
      <c r="D32" s="83">
        <v>31.757999999999999</v>
      </c>
      <c r="E32" s="83">
        <v>34.533999999999999</v>
      </c>
      <c r="F32" s="55">
        <f t="shared" ref="F32:L32" si="16">E32</f>
        <v>34.533999999999999</v>
      </c>
      <c r="G32" s="55">
        <f t="shared" si="16"/>
        <v>34.533999999999999</v>
      </c>
      <c r="H32" s="55">
        <f t="shared" si="16"/>
        <v>34.533999999999999</v>
      </c>
      <c r="I32" s="55">
        <f t="shared" si="16"/>
        <v>34.533999999999999</v>
      </c>
      <c r="J32" s="55">
        <f t="shared" si="16"/>
        <v>34.533999999999999</v>
      </c>
      <c r="K32" s="55">
        <f t="shared" si="16"/>
        <v>34.533999999999999</v>
      </c>
      <c r="L32" s="55">
        <f t="shared" si="16"/>
        <v>34.533999999999999</v>
      </c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 x14ac:dyDescent="0.15">
      <c r="A33" s="52"/>
      <c r="B33" s="57" t="s">
        <v>154</v>
      </c>
      <c r="C33" s="91">
        <v>93.5</v>
      </c>
      <c r="D33" s="91">
        <v>105.65300000000001</v>
      </c>
      <c r="E33" s="91">
        <v>128.90799999999999</v>
      </c>
      <c r="F33" s="144">
        <f t="shared" ref="F33:L33" si="17">E33</f>
        <v>128.90799999999999</v>
      </c>
      <c r="G33" s="144">
        <f t="shared" si="17"/>
        <v>128.90799999999999</v>
      </c>
      <c r="H33" s="144">
        <f t="shared" si="17"/>
        <v>128.90799999999999</v>
      </c>
      <c r="I33" s="144">
        <f t="shared" si="17"/>
        <v>128.90799999999999</v>
      </c>
      <c r="J33" s="144">
        <f t="shared" si="17"/>
        <v>128.90799999999999</v>
      </c>
      <c r="K33" s="144">
        <f t="shared" si="17"/>
        <v>128.90799999999999</v>
      </c>
      <c r="L33" s="144">
        <f t="shared" si="17"/>
        <v>128.90799999999999</v>
      </c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15">
      <c r="A34" s="52"/>
      <c r="B34" s="51" t="s">
        <v>155</v>
      </c>
      <c r="C34" s="86">
        <f t="shared" ref="C34:L34" si="18">SUM(C29:C33,C27)</f>
        <v>1265.6999999999998</v>
      </c>
      <c r="D34" s="86">
        <f t="shared" si="18"/>
        <v>1333.8009999999999</v>
      </c>
      <c r="E34" s="86">
        <f t="shared" si="18"/>
        <v>1375.117</v>
      </c>
      <c r="F34" s="77">
        <f t="shared" si="18"/>
        <v>1879.8960000000002</v>
      </c>
      <c r="G34" s="77">
        <f t="shared" si="18"/>
        <v>1889.8960000000002</v>
      </c>
      <c r="H34" s="77">
        <f t="shared" si="18"/>
        <v>1899.8960000000002</v>
      </c>
      <c r="I34" s="77">
        <f t="shared" si="18"/>
        <v>1909.8960000000002</v>
      </c>
      <c r="J34" s="77">
        <f t="shared" si="18"/>
        <v>1919.8960000000002</v>
      </c>
      <c r="K34" s="77">
        <f t="shared" si="18"/>
        <v>1665.2080000000001</v>
      </c>
      <c r="L34" s="77">
        <f t="shared" si="18"/>
        <v>1250.2080000000001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15">
      <c r="A35" s="52"/>
      <c r="B35" s="53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.75" customHeight="1" x14ac:dyDescent="0.15">
      <c r="A36" s="49"/>
      <c r="B36" s="51" t="s">
        <v>156</v>
      </c>
      <c r="C36" s="168">
        <v>1028.5999999999999</v>
      </c>
      <c r="D36" s="168">
        <v>1266.0119999999999</v>
      </c>
      <c r="E36" s="168">
        <v>1476.085</v>
      </c>
      <c r="F36" s="77">
        <f ca="1">E36+'IS - Gold Solution'!F50+'CFS - Gold Solution'!F9+'CFS - Gold Solution'!F32</f>
        <v>1507.6453601603559</v>
      </c>
      <c r="G36" s="77">
        <f ca="1">F36+'IS - Gold Solution'!G50+'CFS - Gold Solution'!G9+'CFS - Gold Solution'!G32</f>
        <v>1567.2265389384916</v>
      </c>
      <c r="H36" s="77">
        <f ca="1">G36+'IS - Gold Solution'!H50+'CFS - Gold Solution'!H9+'CFS - Gold Solution'!H32</f>
        <v>1659.8973712796426</v>
      </c>
      <c r="I36" s="77">
        <f ca="1">H36+'IS - Gold Solution'!I50+'CFS - Gold Solution'!I9+'CFS - Gold Solution'!I32</f>
        <v>1789.0926013114649</v>
      </c>
      <c r="J36" s="77">
        <f ca="1">I36+'IS - Gold Solution'!J50+'CFS - Gold Solution'!J9+'CFS - Gold Solution'!J32</f>
        <v>1958.5099013990007</v>
      </c>
      <c r="K36" s="77">
        <f ca="1">J36+'IS - Gold Solution'!K50+'CFS - Gold Solution'!K9+'CFS - Gold Solution'!K32</f>
        <v>2181.2671994553084</v>
      </c>
      <c r="L36" s="77">
        <f ca="1">K36+'IS - Gold Solution'!L50+'CFS - Gold Solution'!L9+'CFS - Gold Solution'!L32</f>
        <v>2469.8654173109853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.75" customHeight="1" x14ac:dyDescent="0.15">
      <c r="A37" s="49"/>
      <c r="B37" s="169"/>
      <c r="C37" s="170"/>
      <c r="D37" s="170"/>
      <c r="E37" s="170"/>
      <c r="F37" s="77"/>
      <c r="G37" s="77"/>
      <c r="H37" s="77"/>
      <c r="I37" s="77"/>
      <c r="J37" s="77"/>
      <c r="K37" s="77"/>
      <c r="L37" s="7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 x14ac:dyDescent="0.15">
      <c r="A38" s="52"/>
      <c r="B38" s="165" t="s">
        <v>157</v>
      </c>
      <c r="C38" s="171">
        <f t="shared" ref="C38:L38" si="19">SUM(C36,C34)</f>
        <v>2294.2999999999997</v>
      </c>
      <c r="D38" s="171">
        <f t="shared" si="19"/>
        <v>2599.8130000000001</v>
      </c>
      <c r="E38" s="171">
        <f t="shared" si="19"/>
        <v>2851.2020000000002</v>
      </c>
      <c r="F38" s="172">
        <f t="shared" ca="1" si="19"/>
        <v>3387.5413601603559</v>
      </c>
      <c r="G38" s="172">
        <f t="shared" ca="1" si="19"/>
        <v>3457.1225389384917</v>
      </c>
      <c r="H38" s="172">
        <f t="shared" ca="1" si="19"/>
        <v>3559.793371279643</v>
      </c>
      <c r="I38" s="172">
        <f t="shared" ca="1" si="19"/>
        <v>3698.9886013114651</v>
      </c>
      <c r="J38" s="172">
        <f t="shared" ca="1" si="19"/>
        <v>3878.4059013990009</v>
      </c>
      <c r="K38" s="172">
        <f t="shared" ca="1" si="19"/>
        <v>3846.4751994553085</v>
      </c>
      <c r="L38" s="172">
        <f t="shared" ca="1" si="19"/>
        <v>3720.0734173109854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 x14ac:dyDescent="0.15">
      <c r="A39" s="173"/>
      <c r="B39" s="174" t="s">
        <v>17</v>
      </c>
      <c r="C39" s="175">
        <f t="shared" ref="C39:L39" si="20">IF(ABS(C16-C38)&lt;0.1,0,C16-C38)</f>
        <v>0</v>
      </c>
      <c r="D39" s="175">
        <f t="shared" si="20"/>
        <v>0</v>
      </c>
      <c r="E39" s="175">
        <f t="shared" si="20"/>
        <v>0</v>
      </c>
      <c r="F39" s="175">
        <f t="shared" ca="1" si="20"/>
        <v>0</v>
      </c>
      <c r="G39" s="175">
        <f t="shared" ca="1" si="20"/>
        <v>0</v>
      </c>
      <c r="H39" s="175">
        <f t="shared" ca="1" si="20"/>
        <v>0</v>
      </c>
      <c r="I39" s="175">
        <f t="shared" ca="1" si="20"/>
        <v>0</v>
      </c>
      <c r="J39" s="175">
        <f t="shared" ca="1" si="20"/>
        <v>0</v>
      </c>
      <c r="K39" s="175">
        <f t="shared" ca="1" si="20"/>
        <v>0</v>
      </c>
      <c r="L39" s="175">
        <f t="shared" ca="1" si="20"/>
        <v>0</v>
      </c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</row>
    <row r="40" spans="1:26" ht="12.75" customHeight="1" x14ac:dyDescent="0.1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2.75" customHeight="1" x14ac:dyDescent="0.15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2.75" customHeight="1" x14ac:dyDescent="0.1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2.75" customHeight="1" x14ac:dyDescent="0.15">
      <c r="A43" s="27"/>
      <c r="B43" s="27" t="s">
        <v>158</v>
      </c>
      <c r="C43" s="27"/>
      <c r="D43" s="27"/>
      <c r="E43" s="27"/>
      <c r="F43" s="178">
        <f t="shared" ref="F43:L43" si="21">E46</f>
        <v>1441.7</v>
      </c>
      <c r="G43" s="178">
        <f t="shared" si="21"/>
        <v>1518.9257500000001</v>
      </c>
      <c r="H43" s="178">
        <f t="shared" si="21"/>
        <v>1563.235860625</v>
      </c>
      <c r="I43" s="178">
        <f t="shared" si="21"/>
        <v>1603.0041849109375</v>
      </c>
      <c r="J43" s="178">
        <f t="shared" si="21"/>
        <v>1638.6962559575663</v>
      </c>
      <c r="K43" s="178">
        <f t="shared" si="21"/>
        <v>1670.7298897219157</v>
      </c>
      <c r="L43" s="178">
        <f t="shared" si="21"/>
        <v>1699.4800760254193</v>
      </c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.75" customHeight="1" x14ac:dyDescent="0.15">
      <c r="A44" s="27"/>
      <c r="B44" s="27" t="s">
        <v>159</v>
      </c>
      <c r="C44" s="27"/>
      <c r="D44" s="27"/>
      <c r="E44" s="27"/>
      <c r="F44" s="179">
        <f>-'CFS - Gold Solution'!F21</f>
        <v>225</v>
      </c>
      <c r="G44" s="179">
        <f>-'CFS - Gold Solution'!G21</f>
        <v>200</v>
      </c>
      <c r="H44" s="179">
        <f>-'CFS - Gold Solution'!H21</f>
        <v>200</v>
      </c>
      <c r="I44" s="179">
        <f>-'CFS - Gold Solution'!I21</f>
        <v>200</v>
      </c>
      <c r="J44" s="179">
        <f>-'CFS - Gold Solution'!J21</f>
        <v>200</v>
      </c>
      <c r="K44" s="179">
        <f>-'CFS - Gold Solution'!K21</f>
        <v>200</v>
      </c>
      <c r="L44" s="179">
        <f>-'CFS - Gold Solution'!L21</f>
        <v>200</v>
      </c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.75" customHeight="1" x14ac:dyDescent="0.15">
      <c r="A45" s="27"/>
      <c r="B45" s="32" t="s">
        <v>160</v>
      </c>
      <c r="C45" s="32"/>
      <c r="D45" s="32"/>
      <c r="E45" s="32"/>
      <c r="F45" s="180">
        <f>-F47*F43</f>
        <v>-147.77424999999999</v>
      </c>
      <c r="G45" s="180">
        <f t="shared" ref="G45:L45" si="22">-G47*G43</f>
        <v>-155.68988937500001</v>
      </c>
      <c r="H45" s="180">
        <f t="shared" si="22"/>
        <v>-160.23167571406248</v>
      </c>
      <c r="I45" s="180">
        <f t="shared" si="22"/>
        <v>-164.30792895337109</v>
      </c>
      <c r="J45" s="180">
        <f t="shared" si="22"/>
        <v>-167.96636623565053</v>
      </c>
      <c r="K45" s="180">
        <f t="shared" si="22"/>
        <v>-171.24981369649635</v>
      </c>
      <c r="L45" s="180">
        <f t="shared" si="22"/>
        <v>-174.19670779260548</v>
      </c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.75" customHeight="1" x14ac:dyDescent="0.15">
      <c r="A46" s="27"/>
      <c r="B46" s="34" t="s">
        <v>161</v>
      </c>
      <c r="C46" s="181">
        <f t="shared" ref="C46:E46" si="23">C11</f>
        <v>1315.2</v>
      </c>
      <c r="D46" s="181">
        <f t="shared" si="23"/>
        <v>1315.047</v>
      </c>
      <c r="E46" s="181">
        <f t="shared" si="23"/>
        <v>1441.7</v>
      </c>
      <c r="F46" s="182">
        <f t="shared" ref="F46:L46" si="24">SUM(F43:F45)</f>
        <v>1518.9257500000001</v>
      </c>
      <c r="G46" s="182">
        <f t="shared" si="24"/>
        <v>1563.235860625</v>
      </c>
      <c r="H46" s="182">
        <f t="shared" si="24"/>
        <v>1603.0041849109375</v>
      </c>
      <c r="I46" s="182">
        <f t="shared" si="24"/>
        <v>1638.6962559575663</v>
      </c>
      <c r="J46" s="182">
        <f t="shared" si="24"/>
        <v>1670.7298897219157</v>
      </c>
      <c r="K46" s="182">
        <f t="shared" si="24"/>
        <v>1699.4800760254193</v>
      </c>
      <c r="L46" s="182">
        <f t="shared" si="24"/>
        <v>1725.2833682328137</v>
      </c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 x14ac:dyDescent="0.15">
      <c r="A47" s="27"/>
      <c r="B47" s="36" t="s">
        <v>162</v>
      </c>
      <c r="C47" s="27"/>
      <c r="D47" s="183">
        <f>'IS - Gold Solution'!D61/C46</f>
        <v>9.4130170316301692E-2</v>
      </c>
      <c r="E47" s="183">
        <f>'IS - Gold Solution'!E61/D46</f>
        <v>0.10410274309587414</v>
      </c>
      <c r="F47" s="184">
        <v>0.10249999999999999</v>
      </c>
      <c r="G47" s="184">
        <v>0.10249999999999999</v>
      </c>
      <c r="H47" s="184">
        <v>0.10249999999999999</v>
      </c>
      <c r="I47" s="184">
        <v>0.10249999999999999</v>
      </c>
      <c r="J47" s="184">
        <v>0.10249999999999999</v>
      </c>
      <c r="K47" s="184">
        <v>0.10249999999999999</v>
      </c>
      <c r="L47" s="184">
        <v>0.10249999999999999</v>
      </c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 x14ac:dyDescent="0.1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2.75" customHeight="1" x14ac:dyDescent="0.15">
      <c r="A49" s="27"/>
      <c r="B49" s="27" t="s">
        <v>163</v>
      </c>
      <c r="C49" s="135">
        <f>C36/'IS - Gold Solution'!C55</f>
        <v>18.173144876325086</v>
      </c>
      <c r="D49" s="135">
        <f>D36/'IS - Gold Solution'!D55</f>
        <v>22.328253968253968</v>
      </c>
      <c r="E49" s="135">
        <f>E36/'IS - Gold Solution'!E55</f>
        <v>25.987411971830987</v>
      </c>
      <c r="F49" s="135">
        <f ca="1">F36/'IS - Gold Solution'!F55</f>
        <v>27.701338725959687</v>
      </c>
      <c r="G49" s="135">
        <f ca="1">G36/'IS - Gold Solution'!G55</f>
        <v>30.110019960393693</v>
      </c>
      <c r="H49" s="135">
        <f ca="1">H36/'IS - Gold Solution'!H55</f>
        <v>33.415145873772374</v>
      </c>
      <c r="I49" s="135">
        <f ca="1">I36/'IS - Gold Solution'!I55</f>
        <v>37.824367892419978</v>
      </c>
      <c r="J49" s="135">
        <f ca="1">J36/'IS - Gold Solution'!J55</f>
        <v>43.59510075456874</v>
      </c>
      <c r="K49" s="135">
        <f ca="1">K36/'IS - Gold Solution'!K55</f>
        <v>51.263623958996675</v>
      </c>
      <c r="L49" s="135">
        <f ca="1">L36/'IS - Gold Solution'!L55</f>
        <v>61.477670623795532</v>
      </c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2.75" customHeight="1" x14ac:dyDescent="0.1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2.75" customHeight="1" x14ac:dyDescent="0.15">
      <c r="A51" s="27"/>
      <c r="B51" s="27" t="s">
        <v>164</v>
      </c>
      <c r="C51" s="185">
        <f t="shared" ref="C51:L51" si="25">C19+C29+C30</f>
        <v>534.20000000000005</v>
      </c>
      <c r="D51" s="185">
        <f t="shared" si="25"/>
        <v>681.65899999999999</v>
      </c>
      <c r="E51" s="185">
        <f t="shared" si="25"/>
        <v>677.38599999999997</v>
      </c>
      <c r="F51" s="185">
        <f t="shared" si="25"/>
        <v>1172.165</v>
      </c>
      <c r="G51" s="185">
        <f t="shared" si="25"/>
        <v>1172.165</v>
      </c>
      <c r="H51" s="185">
        <f t="shared" si="25"/>
        <v>1172.165</v>
      </c>
      <c r="I51" s="185">
        <f t="shared" si="25"/>
        <v>1172.165</v>
      </c>
      <c r="J51" s="185">
        <f t="shared" si="25"/>
        <v>1172.165</v>
      </c>
      <c r="K51" s="185">
        <f t="shared" si="25"/>
        <v>907.47700000000009</v>
      </c>
      <c r="L51" s="185">
        <f t="shared" si="25"/>
        <v>482.47699999999998</v>
      </c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2.75" customHeight="1" x14ac:dyDescent="0.15">
      <c r="A52" s="27"/>
      <c r="B52" s="27" t="s">
        <v>165</v>
      </c>
      <c r="C52" s="185">
        <f t="shared" ref="C52:L52" si="26">C51-C4</f>
        <v>524.1</v>
      </c>
      <c r="D52" s="185">
        <f t="shared" si="26"/>
        <v>419.339</v>
      </c>
      <c r="E52" s="185">
        <f t="shared" si="26"/>
        <v>396.25199999999995</v>
      </c>
      <c r="F52" s="185">
        <f t="shared" ca="1" si="26"/>
        <v>911.85738983964484</v>
      </c>
      <c r="G52" s="185">
        <f t="shared" ca="1" si="26"/>
        <v>916.58632168650911</v>
      </c>
      <c r="H52" s="185">
        <f t="shared" ca="1" si="26"/>
        <v>883.68381363129561</v>
      </c>
      <c r="I52" s="185">
        <f t="shared" ca="1" si="26"/>
        <v>810.18065464610231</v>
      </c>
      <c r="J52" s="185">
        <f t="shared" ca="1" si="26"/>
        <v>692.79698832291615</v>
      </c>
      <c r="K52" s="185">
        <f t="shared" ca="1" si="26"/>
        <v>518.78987657011226</v>
      </c>
      <c r="L52" s="185">
        <f t="shared" ca="1" si="26"/>
        <v>275.99495092182957</v>
      </c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2.75" customHeight="1" x14ac:dyDescent="0.15">
      <c r="A53" s="27"/>
      <c r="B53" s="27" t="s">
        <v>26</v>
      </c>
      <c r="C53" s="179">
        <f>'IS - Gold Solution'!D70</f>
        <v>432.39999999999918</v>
      </c>
      <c r="D53" s="179">
        <f>'IS - Gold Solution'!E70</f>
        <v>463.00000000000017</v>
      </c>
      <c r="E53" s="179">
        <f ca="1">'IS - Gold Solution'!F70</f>
        <v>525.46756339473598</v>
      </c>
      <c r="F53" s="179">
        <f ca="1">'IS - Gold Solution'!G70</f>
        <v>571.12762408540652</v>
      </c>
      <c r="G53" s="179">
        <f ca="1">'IS - Gold Solution'!H70</f>
        <v>619.36634486536423</v>
      </c>
      <c r="H53" s="179">
        <f ca="1">'IS - Gold Solution'!I70</f>
        <v>670.54571001996169</v>
      </c>
      <c r="I53" s="179">
        <f ca="1">'IS - Gold Solution'!J70</f>
        <v>724.97027166356668</v>
      </c>
      <c r="J53" s="179">
        <f ca="1">'IS - Gold Solution'!K70</f>
        <v>782.95955074496874</v>
      </c>
      <c r="K53" s="185"/>
      <c r="L53" s="185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customHeight="1" x14ac:dyDescent="0.15">
      <c r="A54" s="27"/>
      <c r="B54" s="27" t="s">
        <v>166</v>
      </c>
      <c r="C54" s="186">
        <f t="shared" ref="C54:J54" si="27">C51/C53</f>
        <v>1.2354301572617972</v>
      </c>
      <c r="D54" s="186">
        <f t="shared" si="27"/>
        <v>1.4722656587472998</v>
      </c>
      <c r="E54" s="186">
        <f t="shared" ca="1" si="27"/>
        <v>1.2891109693314058</v>
      </c>
      <c r="F54" s="186">
        <f t="shared" ca="1" si="27"/>
        <v>2.0523696465865817</v>
      </c>
      <c r="G54" s="186">
        <f t="shared" ca="1" si="27"/>
        <v>1.8925229142936419</v>
      </c>
      <c r="H54" s="186">
        <f t="shared" ca="1" si="27"/>
        <v>1.7480762049243526</v>
      </c>
      <c r="I54" s="186">
        <f t="shared" ca="1" si="27"/>
        <v>1.6168456084554605</v>
      </c>
      <c r="J54" s="186">
        <f t="shared" ca="1" si="27"/>
        <v>1.4970952188841822</v>
      </c>
      <c r="K54" s="186"/>
      <c r="L54" s="186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customHeight="1" x14ac:dyDescent="0.15">
      <c r="A55" s="27"/>
      <c r="B55" s="27" t="s">
        <v>167</v>
      </c>
      <c r="C55" s="186">
        <f t="shared" ref="C55:J55" si="28">C52/C53</f>
        <v>1.2120721554116582</v>
      </c>
      <c r="D55" s="186">
        <f t="shared" si="28"/>
        <v>0.90569978401727824</v>
      </c>
      <c r="E55" s="186">
        <f t="shared" ca="1" si="28"/>
        <v>0.75409412036786727</v>
      </c>
      <c r="F55" s="186">
        <f t="shared" ca="1" si="28"/>
        <v>1.5965912895561247</v>
      </c>
      <c r="G55" s="186">
        <f t="shared" ca="1" si="28"/>
        <v>1.4798775059141349</v>
      </c>
      <c r="H55" s="186">
        <f t="shared" ca="1" si="28"/>
        <v>1.3178576798366048</v>
      </c>
      <c r="I55" s="186">
        <f t="shared" ca="1" si="28"/>
        <v>1.1175363822671045</v>
      </c>
      <c r="J55" s="186">
        <f t="shared" ca="1" si="28"/>
        <v>0.88484390753485942</v>
      </c>
      <c r="K55" s="186"/>
      <c r="L55" s="186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customHeight="1" x14ac:dyDescent="0.1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customHeight="1" x14ac:dyDescent="0.15">
      <c r="A57" s="27"/>
      <c r="B57" s="27" t="s">
        <v>168</v>
      </c>
      <c r="C57" s="75">
        <f t="shared" ref="C57:L57" si="29">C51/(C51+C36)</f>
        <v>0.34182237010493988</v>
      </c>
      <c r="D57" s="75">
        <f t="shared" si="29"/>
        <v>0.34998672773789824</v>
      </c>
      <c r="E57" s="75">
        <f t="shared" si="29"/>
        <v>0.3145554316728667</v>
      </c>
      <c r="F57" s="75">
        <f t="shared" ca="1" si="29"/>
        <v>0.43740595134122073</v>
      </c>
      <c r="G57" s="75">
        <f t="shared" ca="1" si="29"/>
        <v>0.42789246565834521</v>
      </c>
      <c r="H57" s="75">
        <f t="shared" ca="1" si="29"/>
        <v>0.41389095518767394</v>
      </c>
      <c r="I57" s="75">
        <f t="shared" ca="1" si="29"/>
        <v>0.39583351326168931</v>
      </c>
      <c r="J57" s="75">
        <f t="shared" ca="1" si="29"/>
        <v>0.37441287802709766</v>
      </c>
      <c r="K57" s="75">
        <f t="shared" ca="1" si="29"/>
        <v>0.2938012801966674</v>
      </c>
      <c r="L57" s="75">
        <f t="shared" ca="1" si="29"/>
        <v>0.16342176204596331</v>
      </c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customHeight="1" x14ac:dyDescent="0.15">
      <c r="A58" s="27"/>
      <c r="B58" s="27" t="s">
        <v>169</v>
      </c>
      <c r="C58" s="75">
        <f t="shared" ref="C58:L58" si="30">C52/(C52+C36)</f>
        <v>0.33754105751271984</v>
      </c>
      <c r="D58" s="75">
        <f t="shared" si="30"/>
        <v>0.24881404526416159</v>
      </c>
      <c r="E58" s="75">
        <f t="shared" si="30"/>
        <v>0.21163497810490309</v>
      </c>
      <c r="F58" s="75">
        <f t="shared" ca="1" si="30"/>
        <v>0.37687801340157379</v>
      </c>
      <c r="G58" s="75">
        <f t="shared" ca="1" si="30"/>
        <v>0.3690239052292647</v>
      </c>
      <c r="H58" s="75">
        <f t="shared" ca="1" si="30"/>
        <v>0.34741718443016284</v>
      </c>
      <c r="I58" s="75">
        <f t="shared" ca="1" si="30"/>
        <v>0.31169506814612818</v>
      </c>
      <c r="J58" s="75">
        <f t="shared" ca="1" si="30"/>
        <v>0.26130395957126651</v>
      </c>
      <c r="K58" s="75">
        <f t="shared" ca="1" si="30"/>
        <v>0.1921403370234637</v>
      </c>
      <c r="L58" s="75">
        <f t="shared" ca="1" si="30"/>
        <v>0.10051310478669927</v>
      </c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customHeight="1" x14ac:dyDescent="0.1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customHeight="1" x14ac:dyDescent="0.15">
      <c r="A60" s="27"/>
      <c r="B60" s="27" t="s">
        <v>170</v>
      </c>
      <c r="C60" s="75">
        <f>'IS - Gold Solution'!C37/AVERAGE('BS - Gold Solution'!C16)</f>
        <v>8.4688140173473231E-2</v>
      </c>
      <c r="D60" s="75">
        <f>'IS - Gold Solution'!D37/AVERAGE('BS - Gold Solution'!C16:D16)</f>
        <v>0.12112511501062569</v>
      </c>
      <c r="E60" s="75">
        <f>'IS - Gold Solution'!E37/AVERAGE('BS - Gold Solution'!D16:E16)</f>
        <v>0.11601509076749932</v>
      </c>
      <c r="F60" s="75">
        <f ca="1">'IS - Gold Solution'!F37/AVERAGE('BS - Gold Solution'!E16:F16)</f>
        <v>0.117873025376227</v>
      </c>
      <c r="G60" s="75">
        <f ca="1">'IS - Gold Solution'!G37/AVERAGE('BS - Gold Solution'!F16:G16)</f>
        <v>0.11846618993005303</v>
      </c>
      <c r="H60" s="75">
        <f ca="1">'IS - Gold Solution'!H37/AVERAGE('BS - Gold Solution'!G16:H16)</f>
        <v>0.12801264662114001</v>
      </c>
      <c r="I60" s="75">
        <f ca="1">'IS - Gold Solution'!I37/AVERAGE('BS - Gold Solution'!H16:I16)</f>
        <v>0.1367253016889704</v>
      </c>
      <c r="J60" s="75">
        <f ca="1">'IS - Gold Solution'!J37/AVERAGE('BS - Gold Solution'!I16:J16)</f>
        <v>0.14437554827041341</v>
      </c>
      <c r="K60" s="75">
        <f ca="1">'IS - Gold Solution'!K37/AVERAGE('BS - Gold Solution'!J16:K16)</f>
        <v>0.15578243399393932</v>
      </c>
      <c r="L60" s="75">
        <f ca="1">'IS - Gold Solution'!L37/AVERAGE('BS - Gold Solution'!K16:L16)</f>
        <v>0.17462200421712676</v>
      </c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customHeight="1" x14ac:dyDescent="0.15">
      <c r="A61" s="27"/>
      <c r="B61" s="27" t="s">
        <v>171</v>
      </c>
      <c r="C61" s="75"/>
      <c r="D61" s="75">
        <f>('IS - Gold Solution'!D50+('IS - Gold Solution'!D43+'IS - Gold Solution'!D44)*(1-'IS - Gold Solution'!D48))/((C51+C36+D51+D377)/2)</f>
        <v>0.20623206436995115</v>
      </c>
      <c r="E61" s="75">
        <f>('IS - Gold Solution'!E50+('IS - Gold Solution'!E43+'IS - Gold Solution'!E44)*(1-'IS - Gold Solution'!E48))/((D51+D36+E51+E377)/2)</f>
        <v>0.19064506779917459</v>
      </c>
      <c r="F61" s="75">
        <f ca="1">('IS - Gold Solution'!F50+('IS - Gold Solution'!F43+'IS - Gold Solution'!F44)*(1-'IS - Gold Solution'!F48))/((E51+E36+F51+F377)/2)</f>
        <v>0.16584496020974751</v>
      </c>
      <c r="G61" s="75">
        <f ca="1">('IS - Gold Solution'!G50+('IS - Gold Solution'!G43+'IS - Gold Solution'!G44)*(1-'IS - Gold Solution'!G48))/((F51+F36+G51+G377)/2)</f>
        <v>0.15788174772755875</v>
      </c>
      <c r="H61" s="75">
        <f ca="1">('IS - Gold Solution'!H50+('IS - Gold Solution'!H43+'IS - Gold Solution'!H44)*(1-'IS - Gold Solution'!H48))/((G51+G36+H51+H377)/2)</f>
        <v>0.17223373790470128</v>
      </c>
      <c r="I61" s="75">
        <f ca="1">('IS - Gold Solution'!I50+('IS - Gold Solution'!I43+'IS - Gold Solution'!I44)*(1-'IS - Gold Solution'!I48))/((H51+H36+I51+I377)/2)</f>
        <v>0.18589270852569237</v>
      </c>
      <c r="J61" s="75">
        <f ca="1">('IS - Gold Solution'!J50+('IS - Gold Solution'!J43+'IS - Gold Solution'!J44)*(1-'IS - Gold Solution'!J48))/((I51+I36+J51+J377)/2)</f>
        <v>0.19850519467366864</v>
      </c>
      <c r="K61" s="75">
        <f ca="1">('IS - Gold Solution'!K50+('IS - Gold Solution'!K43+'IS - Gold Solution'!K44)*(1-'IS - Gold Solution'!K48))/((J51+J36+K51+K377)/2)</f>
        <v>0.22350932496125733</v>
      </c>
      <c r="L61" s="75">
        <f ca="1">('IS - Gold Solution'!L50+('IS - Gold Solution'!L43+'IS - Gold Solution'!L44)*(1-'IS - Gold Solution'!L48))/((K51+K36+L51+L377)/2)</f>
        <v>0.27749054846590565</v>
      </c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customHeight="1" x14ac:dyDescent="0.15">
      <c r="A62" s="27"/>
      <c r="B62" s="27" t="s">
        <v>172</v>
      </c>
      <c r="C62" s="75">
        <f>'IS - Gold Solution'!C50/AVERAGE('BS - Gold Solution'!C36)</f>
        <v>0.11296908419210544</v>
      </c>
      <c r="D62" s="75">
        <f>'IS - Gold Solution'!D50/AVERAGE('BS - Gold Solution'!C36:D36)</f>
        <v>0.15941692974672769</v>
      </c>
      <c r="E62" s="75">
        <f>'IS - Gold Solution'!E50/AVERAGE('BS - Gold Solution'!D36:E36)</f>
        <v>0.14711368707963299</v>
      </c>
      <c r="F62" s="75">
        <f ca="1">'IS - Gold Solution'!F50/AVERAGE('BS - Gold Solution'!E36:F36)</f>
        <v>0.14851232076376267</v>
      </c>
      <c r="G62" s="75">
        <f ca="1">'IS - Gold Solution'!G50/AVERAGE('BS - Gold Solution'!F36:G36)</f>
        <v>0.16233598469665053</v>
      </c>
      <c r="H62" s="75">
        <f ca="1">'IS - Gold Solution'!H50/AVERAGE('BS - Gold Solution'!G36:H36)</f>
        <v>0.17518436862379055</v>
      </c>
      <c r="I62" s="75">
        <f ca="1">'IS - Gold Solution'!I50/AVERAGE('BS - Gold Solution'!H36:I36)</f>
        <v>0.18509490173554888</v>
      </c>
      <c r="J62" s="75">
        <f ca="1">'IS - Gold Solution'!J50/AVERAGE('BS - Gold Solution'!I36:J36)</f>
        <v>0.19181185828944555</v>
      </c>
      <c r="K62" s="75">
        <f ca="1">'IS - Gold Solution'!K50/AVERAGE('BS - Gold Solution'!J36:K36)</f>
        <v>0.1994103972270046</v>
      </c>
      <c r="L62" s="75">
        <f ca="1">'IS - Gold Solution'!L50/AVERAGE('BS - Gold Solution'!K36:L36)</f>
        <v>0.20579856877459804</v>
      </c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customHeight="1" x14ac:dyDescent="0.15">
      <c r="A63" s="27"/>
      <c r="B63" s="27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customHeight="1" x14ac:dyDescent="0.15">
      <c r="A64" s="27"/>
      <c r="B64" s="27" t="s">
        <v>173</v>
      </c>
      <c r="C64" s="75"/>
      <c r="D64" s="75"/>
      <c r="E64" s="27"/>
      <c r="F64" s="187">
        <f>'IS - Gold Solution'!F56</f>
        <v>80</v>
      </c>
      <c r="G64" s="187">
        <f>'IS - Gold Solution'!G56</f>
        <v>80</v>
      </c>
      <c r="H64" s="187">
        <f>'IS - Gold Solution'!H56</f>
        <v>80</v>
      </c>
      <c r="I64" s="187">
        <f>'IS - Gold Solution'!I56</f>
        <v>80</v>
      </c>
      <c r="J64" s="187">
        <f>'IS - Gold Solution'!J56</f>
        <v>80</v>
      </c>
      <c r="K64" s="187">
        <f>'IS - Gold Solution'!K56</f>
        <v>80</v>
      </c>
      <c r="L64" s="187">
        <f>'IS - Gold Solution'!L56</f>
        <v>80</v>
      </c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customHeight="1" x14ac:dyDescent="0.15">
      <c r="A65" s="27"/>
      <c r="B65" s="32" t="s">
        <v>174</v>
      </c>
      <c r="C65" s="141"/>
      <c r="D65" s="141"/>
      <c r="E65" s="141"/>
      <c r="F65" s="33">
        <f>'IS - Gold Solution'!F55</f>
        <v>54.424999999999997</v>
      </c>
      <c r="G65" s="33">
        <f>'IS - Gold Solution'!G55</f>
        <v>52.05</v>
      </c>
      <c r="H65" s="33">
        <f>'IS - Gold Solution'!H55</f>
        <v>49.674999999999997</v>
      </c>
      <c r="I65" s="33">
        <f>'IS - Gold Solution'!I55</f>
        <v>47.3</v>
      </c>
      <c r="J65" s="33">
        <f>'IS - Gold Solution'!J55</f>
        <v>44.924999999999997</v>
      </c>
      <c r="K65" s="33">
        <f>'IS - Gold Solution'!K55</f>
        <v>42.55</v>
      </c>
      <c r="L65" s="33">
        <f>'IS - Gold Solution'!L55</f>
        <v>40.174999999999997</v>
      </c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customHeight="1" x14ac:dyDescent="0.15">
      <c r="A66" s="27"/>
      <c r="B66" s="34" t="s">
        <v>23</v>
      </c>
      <c r="C66" s="75"/>
      <c r="D66" s="75"/>
      <c r="E66" s="75"/>
      <c r="F66" s="35">
        <f t="shared" ref="F66:L66" si="31">F65*F64</f>
        <v>4354</v>
      </c>
      <c r="G66" s="35">
        <f t="shared" si="31"/>
        <v>4164</v>
      </c>
      <c r="H66" s="35">
        <f t="shared" si="31"/>
        <v>3974</v>
      </c>
      <c r="I66" s="35">
        <f t="shared" si="31"/>
        <v>3784</v>
      </c>
      <c r="J66" s="35">
        <f t="shared" si="31"/>
        <v>3594</v>
      </c>
      <c r="K66" s="35">
        <f t="shared" si="31"/>
        <v>3404</v>
      </c>
      <c r="L66" s="35">
        <f t="shared" si="31"/>
        <v>3214</v>
      </c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customHeight="1" x14ac:dyDescent="0.15">
      <c r="A67" s="27"/>
      <c r="B67" s="32" t="s">
        <v>24</v>
      </c>
      <c r="C67" s="141"/>
      <c r="D67" s="141"/>
      <c r="E67" s="141"/>
      <c r="F67" s="188">
        <f t="shared" ref="F67:L67" ca="1" si="32">F52</f>
        <v>911.85738983964484</v>
      </c>
      <c r="G67" s="188">
        <f t="shared" ca="1" si="32"/>
        <v>916.58632168650911</v>
      </c>
      <c r="H67" s="188">
        <f t="shared" ca="1" si="32"/>
        <v>883.68381363129561</v>
      </c>
      <c r="I67" s="188">
        <f t="shared" ca="1" si="32"/>
        <v>810.18065464610231</v>
      </c>
      <c r="J67" s="188">
        <f t="shared" ca="1" si="32"/>
        <v>692.79698832291615</v>
      </c>
      <c r="K67" s="188">
        <f t="shared" ca="1" si="32"/>
        <v>518.78987657011226</v>
      </c>
      <c r="L67" s="188">
        <f t="shared" ca="1" si="32"/>
        <v>275.99495092182957</v>
      </c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.75" customHeight="1" x14ac:dyDescent="0.15">
      <c r="A68" s="27"/>
      <c r="B68" s="34" t="s">
        <v>25</v>
      </c>
      <c r="C68" s="75"/>
      <c r="D68" s="75"/>
      <c r="E68" s="75"/>
      <c r="F68" s="189">
        <f t="shared" ref="F68:L68" ca="1" si="33">F66+F67</f>
        <v>5265.8573898396444</v>
      </c>
      <c r="G68" s="189">
        <f t="shared" ca="1" si="33"/>
        <v>5080.5863216865091</v>
      </c>
      <c r="H68" s="189">
        <f t="shared" ca="1" si="33"/>
        <v>4857.6838136312954</v>
      </c>
      <c r="I68" s="189">
        <f t="shared" ca="1" si="33"/>
        <v>4594.1806546461021</v>
      </c>
      <c r="J68" s="189">
        <f t="shared" ca="1" si="33"/>
        <v>4286.7969883229161</v>
      </c>
      <c r="K68" s="189">
        <f t="shared" ca="1" si="33"/>
        <v>3922.789876570112</v>
      </c>
      <c r="L68" s="189">
        <f t="shared" ca="1" si="33"/>
        <v>3489.9949509218295</v>
      </c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.75" customHeight="1" x14ac:dyDescent="0.15">
      <c r="A69" s="27"/>
      <c r="B69" s="36" t="s">
        <v>175</v>
      </c>
      <c r="C69" s="75"/>
      <c r="D69" s="75"/>
      <c r="E69" s="75"/>
      <c r="F69" s="190">
        <f t="shared" ref="F69:K69" ca="1" si="34">F68/G71</f>
        <v>9.2201062735711545</v>
      </c>
      <c r="G69" s="190">
        <f t="shared" ca="1" si="34"/>
        <v>8.2028776083900876</v>
      </c>
      <c r="H69" s="190">
        <f t="shared" ca="1" si="34"/>
        <v>7.2443738600410779</v>
      </c>
      <c r="I69" s="190">
        <f t="shared" ca="1" si="34"/>
        <v>6.337060751613965</v>
      </c>
      <c r="J69" s="190">
        <f t="shared" ca="1" si="34"/>
        <v>5.4751193522629915</v>
      </c>
      <c r="K69" s="190">
        <f t="shared" ca="1" si="34"/>
        <v>4.6431784166188503</v>
      </c>
      <c r="L69" s="190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15">
      <c r="A70" s="27"/>
      <c r="B70" s="27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15">
      <c r="A71" s="27"/>
      <c r="B71" s="27" t="s">
        <v>176</v>
      </c>
      <c r="C71" s="27"/>
      <c r="D71" s="27"/>
      <c r="E71" s="27"/>
      <c r="F71" s="191">
        <f ca="1">'IS - Gold Solution'!F70</f>
        <v>525.46756339473598</v>
      </c>
      <c r="G71" s="191">
        <f ca="1">'IS - Gold Solution'!G70</f>
        <v>571.12762408540652</v>
      </c>
      <c r="H71" s="191">
        <f ca="1">'IS - Gold Solution'!H70</f>
        <v>619.36634486536423</v>
      </c>
      <c r="I71" s="191">
        <f ca="1">'IS - Gold Solution'!I70</f>
        <v>670.54571001996169</v>
      </c>
      <c r="J71" s="191">
        <f ca="1">'IS - Gold Solution'!J70</f>
        <v>724.97027166356668</v>
      </c>
      <c r="K71" s="191">
        <f ca="1">'IS - Gold Solution'!K70</f>
        <v>782.95955074496874</v>
      </c>
      <c r="L71" s="191">
        <f ca="1">'IS - Gold Solution'!L70</f>
        <v>844.85012734588747</v>
      </c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15">
      <c r="A72" s="27"/>
      <c r="B72" s="27" t="s">
        <v>177</v>
      </c>
      <c r="C72" s="27"/>
      <c r="D72" s="27"/>
      <c r="E72" s="27"/>
      <c r="F72" s="191">
        <f>'CFS - Gold Solution'!F21</f>
        <v>-225</v>
      </c>
      <c r="G72" s="191">
        <f>'CFS - Gold Solution'!G21</f>
        <v>-200</v>
      </c>
      <c r="H72" s="191">
        <f>'CFS - Gold Solution'!H21</f>
        <v>-200</v>
      </c>
      <c r="I72" s="191">
        <f>'CFS - Gold Solution'!I21</f>
        <v>-200</v>
      </c>
      <c r="J72" s="191">
        <f>'CFS - Gold Solution'!J21</f>
        <v>-200</v>
      </c>
      <c r="K72" s="191">
        <f>'CFS - Gold Solution'!K21</f>
        <v>-200</v>
      </c>
      <c r="L72" s="191">
        <f>'CFS - Gold Solution'!L21</f>
        <v>-200</v>
      </c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 x14ac:dyDescent="0.15">
      <c r="A73" s="27"/>
      <c r="B73" s="32" t="s">
        <v>178</v>
      </c>
      <c r="C73" s="32"/>
      <c r="D73" s="32"/>
      <c r="E73" s="32"/>
      <c r="F73" s="33">
        <f ca="1">-'IS - Gold Solution'!F47</f>
        <v>-73.853453386785318</v>
      </c>
      <c r="G73" s="33">
        <f ca="1">-'IS - Gold Solution'!G47</f>
        <v>-83.193726259378536</v>
      </c>
      <c r="H73" s="33">
        <f ca="1">-'IS - Gold Solution'!H47</f>
        <v>-94.223610780383666</v>
      </c>
      <c r="I73" s="33">
        <f ca="1">-'IS - Gold Solution'!I47</f>
        <v>-106.39841001060742</v>
      </c>
      <c r="J73" s="33">
        <f ca="1">-'IS - Gold Solution'!J47</f>
        <v>-119.80576669584522</v>
      </c>
      <c r="K73" s="33">
        <f ca="1">-'IS - Gold Solution'!K47</f>
        <v>-137.58576601876922</v>
      </c>
      <c r="L73" s="33">
        <f ca="1">-'IS - Gold Solution'!L47</f>
        <v>-159.53273928522572</v>
      </c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.75" customHeight="1" x14ac:dyDescent="0.15">
      <c r="A74" s="27"/>
      <c r="B74" s="34" t="s">
        <v>179</v>
      </c>
      <c r="C74" s="27"/>
      <c r="D74" s="27"/>
      <c r="E74" s="27"/>
      <c r="F74" s="189">
        <f t="shared" ref="F74:L74" ca="1" si="35">SUM(F71:F73)</f>
        <v>226.61411000795067</v>
      </c>
      <c r="G74" s="189">
        <f t="shared" ca="1" si="35"/>
        <v>287.93389782602799</v>
      </c>
      <c r="H74" s="189">
        <f t="shared" ca="1" si="35"/>
        <v>325.14273408498059</v>
      </c>
      <c r="I74" s="189">
        <f t="shared" ca="1" si="35"/>
        <v>364.14730000935424</v>
      </c>
      <c r="J74" s="189">
        <f t="shared" ca="1" si="35"/>
        <v>405.16450496772143</v>
      </c>
      <c r="K74" s="189">
        <f t="shared" ca="1" si="35"/>
        <v>445.37378472619952</v>
      </c>
      <c r="L74" s="189">
        <f t="shared" ca="1" si="35"/>
        <v>485.31738806066176</v>
      </c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.75" customHeight="1" x14ac:dyDescent="0.15">
      <c r="A75" s="27"/>
      <c r="B75" s="36" t="s">
        <v>180</v>
      </c>
      <c r="C75" s="27"/>
      <c r="D75" s="27"/>
      <c r="E75" s="27"/>
      <c r="F75" s="80">
        <f t="shared" ref="F75:K75" ca="1" si="36">G74/F68</f>
        <v>5.4679395302575054E-2</v>
      </c>
      <c r="G75" s="80">
        <f t="shared" ca="1" si="36"/>
        <v>6.3997088819671685E-2</v>
      </c>
      <c r="H75" s="80">
        <f t="shared" ca="1" si="36"/>
        <v>7.4963154042160862E-2</v>
      </c>
      <c r="I75" s="80">
        <f t="shared" ca="1" si="36"/>
        <v>8.8190808203847601E-2</v>
      </c>
      <c r="J75" s="80">
        <f t="shared" ca="1" si="36"/>
        <v>0.10389430288846942</v>
      </c>
      <c r="K75" s="80">
        <f t="shared" ca="1" si="36"/>
        <v>0.12371740606330885</v>
      </c>
      <c r="L75" s="80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 x14ac:dyDescent="0.1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 x14ac:dyDescent="0.1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 x14ac:dyDescent="0.1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 x14ac:dyDescent="0.1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 x14ac:dyDescent="0.1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.75" customHeight="1" x14ac:dyDescent="0.1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 x14ac:dyDescent="0.1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.75" customHeight="1" x14ac:dyDescent="0.1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 x14ac:dyDescent="0.1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 x14ac:dyDescent="0.1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 x14ac:dyDescent="0.1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 x14ac:dyDescent="0.1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 x14ac:dyDescent="0.1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 x14ac:dyDescent="0.1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 x14ac:dyDescent="0.1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 x14ac:dyDescent="0.1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 x14ac:dyDescent="0.1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 x14ac:dyDescent="0.1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 x14ac:dyDescent="0.1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2.75" customHeight="1" x14ac:dyDescent="0.1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2.75" customHeight="1" x14ac:dyDescent="0.1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2.75" customHeight="1" x14ac:dyDescent="0.1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2.75" customHeight="1" x14ac:dyDescent="0.1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2.75" customHeight="1" x14ac:dyDescent="0.1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2.75" customHeight="1" x14ac:dyDescent="0.1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2.75" customHeight="1" x14ac:dyDescent="0.1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2.75" customHeight="1" x14ac:dyDescent="0.1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2.75" customHeight="1" x14ac:dyDescent="0.1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2.75" customHeight="1" x14ac:dyDescent="0.1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2.75" customHeight="1" x14ac:dyDescent="0.1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2.75" customHeight="1" x14ac:dyDescent="0.1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.75" customHeight="1" x14ac:dyDescent="0.1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2.75" customHeight="1" x14ac:dyDescent="0.1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2.75" customHeight="1" x14ac:dyDescent="0.1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2.75" customHeight="1" x14ac:dyDescent="0.1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2.75" customHeight="1" x14ac:dyDescent="0.1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2.75" customHeight="1" x14ac:dyDescent="0.1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2.75" customHeight="1" x14ac:dyDescent="0.1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2.75" customHeight="1" x14ac:dyDescent="0.1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2.75" customHeight="1" x14ac:dyDescent="0.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2.75" customHeight="1" x14ac:dyDescent="0.1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2.75" customHeight="1" x14ac:dyDescent="0.1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2.75" customHeight="1" x14ac:dyDescent="0.1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2.75" customHeight="1" x14ac:dyDescent="0.1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2.75" customHeight="1" x14ac:dyDescent="0.1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2.75" customHeight="1" x14ac:dyDescent="0.1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2.75" customHeight="1" x14ac:dyDescent="0.1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2.75" customHeight="1" x14ac:dyDescent="0.1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2.75" customHeight="1" x14ac:dyDescent="0.1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2.75" customHeight="1" x14ac:dyDescent="0.1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2.75" customHeight="1" x14ac:dyDescent="0.1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2.75" customHeight="1" x14ac:dyDescent="0.1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2.75" customHeight="1" x14ac:dyDescent="0.1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2.75" customHeight="1" x14ac:dyDescent="0.1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2.75" customHeight="1" x14ac:dyDescent="0.1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2.75" customHeight="1" x14ac:dyDescent="0.1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2.75" customHeight="1" x14ac:dyDescent="0.1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2.75" customHeight="1" x14ac:dyDescent="0.1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2.75" customHeight="1" x14ac:dyDescent="0.1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2.75" customHeight="1" x14ac:dyDescent="0.1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2.75" customHeight="1" x14ac:dyDescent="0.1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2.75" customHeight="1" x14ac:dyDescent="0.1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2.75" customHeight="1" x14ac:dyDescent="0.1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2.75" customHeight="1" x14ac:dyDescent="0.1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.75" customHeight="1" x14ac:dyDescent="0.1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2.75" customHeight="1" x14ac:dyDescent="0.1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2.75" customHeight="1" x14ac:dyDescent="0.1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2.75" customHeight="1" x14ac:dyDescent="0.1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2.75" customHeight="1" x14ac:dyDescent="0.1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2.75" customHeight="1" x14ac:dyDescent="0.1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2.75" customHeight="1" x14ac:dyDescent="0.1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2.75" customHeight="1" x14ac:dyDescent="0.1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2.75" customHeight="1" x14ac:dyDescent="0.1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2.75" customHeight="1" x14ac:dyDescent="0.1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2.75" customHeight="1" x14ac:dyDescent="0.1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2.75" customHeight="1" x14ac:dyDescent="0.1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2.75" customHeight="1" x14ac:dyDescent="0.1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2.75" customHeight="1" x14ac:dyDescent="0.1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2.75" customHeight="1" x14ac:dyDescent="0.1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2.75" customHeight="1" x14ac:dyDescent="0.1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2.75" customHeight="1" x14ac:dyDescent="0.1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2.75" customHeight="1" x14ac:dyDescent="0.1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2.75" customHeight="1" x14ac:dyDescent="0.1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2.75" customHeight="1" x14ac:dyDescent="0.1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2.75" customHeight="1" x14ac:dyDescent="0.1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2.75" customHeight="1" x14ac:dyDescent="0.1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2.75" customHeight="1" x14ac:dyDescent="0.1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2.75" customHeight="1" x14ac:dyDescent="0.1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2.75" customHeight="1" x14ac:dyDescent="0.1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2.75" customHeight="1" x14ac:dyDescent="0.1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2.75" customHeight="1" x14ac:dyDescent="0.1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2.75" customHeight="1" x14ac:dyDescent="0.1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2.75" customHeight="1" x14ac:dyDescent="0.1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2.75" customHeight="1" x14ac:dyDescent="0.1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2.75" customHeight="1" x14ac:dyDescent="0.1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2.75" customHeight="1" x14ac:dyDescent="0.1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2.75" customHeight="1" x14ac:dyDescent="0.1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2.75" customHeight="1" x14ac:dyDescent="0.1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2.75" customHeight="1" x14ac:dyDescent="0.1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2.75" customHeight="1" x14ac:dyDescent="0.1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2.75" customHeight="1" x14ac:dyDescent="0.1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2.75" customHeight="1" x14ac:dyDescent="0.1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2.75" customHeight="1" x14ac:dyDescent="0.1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2.75" customHeight="1" x14ac:dyDescent="0.1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2.75" customHeight="1" x14ac:dyDescent="0.1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2.75" customHeight="1" x14ac:dyDescent="0.1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2.75" customHeight="1" x14ac:dyDescent="0.1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2.75" customHeight="1" x14ac:dyDescent="0.1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1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1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1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1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1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1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1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1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1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1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1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1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1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1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1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1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1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1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1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1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1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1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1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1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1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1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1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1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1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1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1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1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1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1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1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 x14ac:dyDescent="0.1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 x14ac:dyDescent="0.1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.75" customHeight="1" x14ac:dyDescent="0.1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.75" customHeight="1" x14ac:dyDescent="0.1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.75" customHeight="1" x14ac:dyDescent="0.1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.75" customHeight="1" x14ac:dyDescent="0.1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.75" customHeight="1" x14ac:dyDescent="0.1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.75" customHeight="1" x14ac:dyDescent="0.1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.75" customHeight="1" x14ac:dyDescent="0.1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.75" customHeight="1" x14ac:dyDescent="0.1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.75" customHeight="1" x14ac:dyDescent="0.1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.75" customHeight="1" x14ac:dyDescent="0.1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.75" customHeight="1" x14ac:dyDescent="0.1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.75" customHeight="1" x14ac:dyDescent="0.1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.75" customHeight="1" x14ac:dyDescent="0.1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.75" customHeight="1" x14ac:dyDescent="0.1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.75" customHeight="1" x14ac:dyDescent="0.1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.75" customHeight="1" x14ac:dyDescent="0.1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.75" customHeight="1" x14ac:dyDescent="0.1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2.75" customHeight="1" x14ac:dyDescent="0.1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.75" customHeight="1" x14ac:dyDescent="0.1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.75" customHeight="1" x14ac:dyDescent="0.1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.75" customHeight="1" x14ac:dyDescent="0.1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.75" customHeight="1" x14ac:dyDescent="0.1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.75" customHeight="1" x14ac:dyDescent="0.1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.75" customHeight="1" x14ac:dyDescent="0.1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.75" customHeight="1" x14ac:dyDescent="0.1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.75" customHeight="1" x14ac:dyDescent="0.1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 x14ac:dyDescent="0.1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 x14ac:dyDescent="0.1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 x14ac:dyDescent="0.1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 x14ac:dyDescent="0.1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 x14ac:dyDescent="0.1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 x14ac:dyDescent="0.1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 x14ac:dyDescent="0.1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 x14ac:dyDescent="0.1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 x14ac:dyDescent="0.1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 x14ac:dyDescent="0.1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 x14ac:dyDescent="0.1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 x14ac:dyDescent="0.1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 x14ac:dyDescent="0.1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 x14ac:dyDescent="0.1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 x14ac:dyDescent="0.1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 x14ac:dyDescent="0.1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 x14ac:dyDescent="0.1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 x14ac:dyDescent="0.1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 x14ac:dyDescent="0.1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 x14ac:dyDescent="0.1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 x14ac:dyDescent="0.1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 x14ac:dyDescent="0.1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 x14ac:dyDescent="0.1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 x14ac:dyDescent="0.1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 x14ac:dyDescent="0.1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 x14ac:dyDescent="0.1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 x14ac:dyDescent="0.1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 x14ac:dyDescent="0.1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 x14ac:dyDescent="0.1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 x14ac:dyDescent="0.1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 x14ac:dyDescent="0.1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 x14ac:dyDescent="0.1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 x14ac:dyDescent="0.1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 x14ac:dyDescent="0.1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 x14ac:dyDescent="0.1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 x14ac:dyDescent="0.1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 x14ac:dyDescent="0.1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 x14ac:dyDescent="0.1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 x14ac:dyDescent="0.1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 x14ac:dyDescent="0.1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 x14ac:dyDescent="0.1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 x14ac:dyDescent="0.1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 x14ac:dyDescent="0.1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 x14ac:dyDescent="0.1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 x14ac:dyDescent="0.1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 x14ac:dyDescent="0.1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 x14ac:dyDescent="0.1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 x14ac:dyDescent="0.1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 x14ac:dyDescent="0.1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 x14ac:dyDescent="0.1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 x14ac:dyDescent="0.1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 x14ac:dyDescent="0.1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 x14ac:dyDescent="0.1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 x14ac:dyDescent="0.1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 x14ac:dyDescent="0.1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 x14ac:dyDescent="0.1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 x14ac:dyDescent="0.1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 x14ac:dyDescent="0.1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 x14ac:dyDescent="0.1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 x14ac:dyDescent="0.1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 x14ac:dyDescent="0.1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 x14ac:dyDescent="0.1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 x14ac:dyDescent="0.1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 x14ac:dyDescent="0.1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 x14ac:dyDescent="0.1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 x14ac:dyDescent="0.1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 x14ac:dyDescent="0.1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 x14ac:dyDescent="0.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 x14ac:dyDescent="0.1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 x14ac:dyDescent="0.1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 x14ac:dyDescent="0.1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 x14ac:dyDescent="0.1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 x14ac:dyDescent="0.1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 x14ac:dyDescent="0.1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 x14ac:dyDescent="0.1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 x14ac:dyDescent="0.1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 x14ac:dyDescent="0.1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 x14ac:dyDescent="0.1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 x14ac:dyDescent="0.1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 x14ac:dyDescent="0.1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 x14ac:dyDescent="0.1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 x14ac:dyDescent="0.1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 x14ac:dyDescent="0.1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 x14ac:dyDescent="0.1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 x14ac:dyDescent="0.1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 x14ac:dyDescent="0.1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 x14ac:dyDescent="0.1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 x14ac:dyDescent="0.1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 x14ac:dyDescent="0.1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 x14ac:dyDescent="0.1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 x14ac:dyDescent="0.1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 x14ac:dyDescent="0.1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 x14ac:dyDescent="0.1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 x14ac:dyDescent="0.1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 x14ac:dyDescent="0.1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 x14ac:dyDescent="0.1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 x14ac:dyDescent="0.1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 x14ac:dyDescent="0.1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 x14ac:dyDescent="0.1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 x14ac:dyDescent="0.1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 x14ac:dyDescent="0.1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 x14ac:dyDescent="0.1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 x14ac:dyDescent="0.1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 x14ac:dyDescent="0.1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 x14ac:dyDescent="0.1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 x14ac:dyDescent="0.1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 x14ac:dyDescent="0.1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 x14ac:dyDescent="0.1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 x14ac:dyDescent="0.1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 x14ac:dyDescent="0.1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 x14ac:dyDescent="0.1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 x14ac:dyDescent="0.1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 x14ac:dyDescent="0.1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 x14ac:dyDescent="0.1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 x14ac:dyDescent="0.1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 x14ac:dyDescent="0.1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 x14ac:dyDescent="0.1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 x14ac:dyDescent="0.1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 x14ac:dyDescent="0.1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 x14ac:dyDescent="0.1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 x14ac:dyDescent="0.1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 x14ac:dyDescent="0.1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 x14ac:dyDescent="0.1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 x14ac:dyDescent="0.1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 x14ac:dyDescent="0.1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 x14ac:dyDescent="0.1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 x14ac:dyDescent="0.1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 x14ac:dyDescent="0.1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 x14ac:dyDescent="0.1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 x14ac:dyDescent="0.1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 x14ac:dyDescent="0.1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 x14ac:dyDescent="0.1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 x14ac:dyDescent="0.1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 x14ac:dyDescent="0.1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 x14ac:dyDescent="0.1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 x14ac:dyDescent="0.1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 x14ac:dyDescent="0.1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 x14ac:dyDescent="0.1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 x14ac:dyDescent="0.1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 x14ac:dyDescent="0.1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 x14ac:dyDescent="0.1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 x14ac:dyDescent="0.1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 x14ac:dyDescent="0.1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 x14ac:dyDescent="0.1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 x14ac:dyDescent="0.1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 x14ac:dyDescent="0.1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 x14ac:dyDescent="0.1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 x14ac:dyDescent="0.1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 x14ac:dyDescent="0.1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 x14ac:dyDescent="0.1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 x14ac:dyDescent="0.1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 x14ac:dyDescent="0.1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 x14ac:dyDescent="0.1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 x14ac:dyDescent="0.1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 x14ac:dyDescent="0.1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 x14ac:dyDescent="0.1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 x14ac:dyDescent="0.1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 x14ac:dyDescent="0.1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 x14ac:dyDescent="0.1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 x14ac:dyDescent="0.1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 x14ac:dyDescent="0.1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 x14ac:dyDescent="0.1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 x14ac:dyDescent="0.1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 x14ac:dyDescent="0.1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 x14ac:dyDescent="0.1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 x14ac:dyDescent="0.1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 x14ac:dyDescent="0.1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 x14ac:dyDescent="0.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 x14ac:dyDescent="0.1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 x14ac:dyDescent="0.1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 x14ac:dyDescent="0.1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 x14ac:dyDescent="0.1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 x14ac:dyDescent="0.1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 x14ac:dyDescent="0.1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 x14ac:dyDescent="0.1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 x14ac:dyDescent="0.1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 x14ac:dyDescent="0.1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 x14ac:dyDescent="0.1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 x14ac:dyDescent="0.1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 x14ac:dyDescent="0.1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 x14ac:dyDescent="0.1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 x14ac:dyDescent="0.1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 x14ac:dyDescent="0.1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 x14ac:dyDescent="0.1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 x14ac:dyDescent="0.1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 x14ac:dyDescent="0.1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 x14ac:dyDescent="0.1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 x14ac:dyDescent="0.1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 x14ac:dyDescent="0.1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 x14ac:dyDescent="0.1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 x14ac:dyDescent="0.1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 x14ac:dyDescent="0.1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 x14ac:dyDescent="0.1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 x14ac:dyDescent="0.1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 x14ac:dyDescent="0.1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 x14ac:dyDescent="0.1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 x14ac:dyDescent="0.1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 x14ac:dyDescent="0.1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 x14ac:dyDescent="0.1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 x14ac:dyDescent="0.1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 x14ac:dyDescent="0.1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 x14ac:dyDescent="0.1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 x14ac:dyDescent="0.1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 x14ac:dyDescent="0.1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 x14ac:dyDescent="0.1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 x14ac:dyDescent="0.1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 x14ac:dyDescent="0.1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 x14ac:dyDescent="0.1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 x14ac:dyDescent="0.1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 x14ac:dyDescent="0.1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 x14ac:dyDescent="0.1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 x14ac:dyDescent="0.1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 x14ac:dyDescent="0.1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 x14ac:dyDescent="0.1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 x14ac:dyDescent="0.1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 x14ac:dyDescent="0.1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 x14ac:dyDescent="0.1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 x14ac:dyDescent="0.1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 x14ac:dyDescent="0.1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 x14ac:dyDescent="0.1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 x14ac:dyDescent="0.1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 x14ac:dyDescent="0.1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 x14ac:dyDescent="0.1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 x14ac:dyDescent="0.1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 x14ac:dyDescent="0.1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 x14ac:dyDescent="0.1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 x14ac:dyDescent="0.1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 x14ac:dyDescent="0.1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 x14ac:dyDescent="0.1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 x14ac:dyDescent="0.1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 x14ac:dyDescent="0.1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 x14ac:dyDescent="0.1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 x14ac:dyDescent="0.1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 x14ac:dyDescent="0.1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 x14ac:dyDescent="0.1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 x14ac:dyDescent="0.1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 x14ac:dyDescent="0.1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 x14ac:dyDescent="0.1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 x14ac:dyDescent="0.1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 x14ac:dyDescent="0.1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 x14ac:dyDescent="0.1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 x14ac:dyDescent="0.1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 x14ac:dyDescent="0.1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 x14ac:dyDescent="0.1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 x14ac:dyDescent="0.1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 x14ac:dyDescent="0.1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 x14ac:dyDescent="0.1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 x14ac:dyDescent="0.1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 x14ac:dyDescent="0.1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 x14ac:dyDescent="0.1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 x14ac:dyDescent="0.1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 x14ac:dyDescent="0.1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 x14ac:dyDescent="0.1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 x14ac:dyDescent="0.1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 x14ac:dyDescent="0.1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 x14ac:dyDescent="0.1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 x14ac:dyDescent="0.1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 x14ac:dyDescent="0.1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 x14ac:dyDescent="0.1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 x14ac:dyDescent="0.1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 x14ac:dyDescent="0.1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 x14ac:dyDescent="0.1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 x14ac:dyDescent="0.1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 x14ac:dyDescent="0.1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 x14ac:dyDescent="0.1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 x14ac:dyDescent="0.1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 x14ac:dyDescent="0.1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 x14ac:dyDescent="0.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 x14ac:dyDescent="0.1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 x14ac:dyDescent="0.1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 x14ac:dyDescent="0.1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 x14ac:dyDescent="0.1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 x14ac:dyDescent="0.1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 x14ac:dyDescent="0.1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 x14ac:dyDescent="0.1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 x14ac:dyDescent="0.1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 x14ac:dyDescent="0.1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 x14ac:dyDescent="0.1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 x14ac:dyDescent="0.1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 x14ac:dyDescent="0.1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 x14ac:dyDescent="0.1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 x14ac:dyDescent="0.1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 x14ac:dyDescent="0.1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 x14ac:dyDescent="0.1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 x14ac:dyDescent="0.1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 x14ac:dyDescent="0.1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 x14ac:dyDescent="0.1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 x14ac:dyDescent="0.1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 x14ac:dyDescent="0.1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 x14ac:dyDescent="0.1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 x14ac:dyDescent="0.1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 x14ac:dyDescent="0.1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 x14ac:dyDescent="0.1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 x14ac:dyDescent="0.1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 x14ac:dyDescent="0.1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 x14ac:dyDescent="0.1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 x14ac:dyDescent="0.1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 x14ac:dyDescent="0.1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 x14ac:dyDescent="0.1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 x14ac:dyDescent="0.1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 x14ac:dyDescent="0.1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 x14ac:dyDescent="0.1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 x14ac:dyDescent="0.1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 x14ac:dyDescent="0.1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 x14ac:dyDescent="0.1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 x14ac:dyDescent="0.1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 x14ac:dyDescent="0.1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 x14ac:dyDescent="0.1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 x14ac:dyDescent="0.1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 x14ac:dyDescent="0.1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 x14ac:dyDescent="0.1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 x14ac:dyDescent="0.1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 x14ac:dyDescent="0.1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 x14ac:dyDescent="0.1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 x14ac:dyDescent="0.1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 x14ac:dyDescent="0.1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 x14ac:dyDescent="0.1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 x14ac:dyDescent="0.1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 x14ac:dyDescent="0.1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 x14ac:dyDescent="0.1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 x14ac:dyDescent="0.1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 x14ac:dyDescent="0.1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 x14ac:dyDescent="0.1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 x14ac:dyDescent="0.1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 x14ac:dyDescent="0.1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 x14ac:dyDescent="0.1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 x14ac:dyDescent="0.1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 x14ac:dyDescent="0.1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 x14ac:dyDescent="0.1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 x14ac:dyDescent="0.1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 x14ac:dyDescent="0.1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 x14ac:dyDescent="0.1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 x14ac:dyDescent="0.1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 x14ac:dyDescent="0.1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 x14ac:dyDescent="0.1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 x14ac:dyDescent="0.1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 x14ac:dyDescent="0.1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 x14ac:dyDescent="0.1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 x14ac:dyDescent="0.1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 x14ac:dyDescent="0.1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 x14ac:dyDescent="0.1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 x14ac:dyDescent="0.1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 x14ac:dyDescent="0.1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 x14ac:dyDescent="0.1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 x14ac:dyDescent="0.1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 x14ac:dyDescent="0.1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 x14ac:dyDescent="0.1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 x14ac:dyDescent="0.1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 x14ac:dyDescent="0.1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 x14ac:dyDescent="0.1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 x14ac:dyDescent="0.1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 x14ac:dyDescent="0.1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 x14ac:dyDescent="0.1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 x14ac:dyDescent="0.1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 x14ac:dyDescent="0.1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 x14ac:dyDescent="0.1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 x14ac:dyDescent="0.1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 x14ac:dyDescent="0.1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 x14ac:dyDescent="0.1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 x14ac:dyDescent="0.1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 x14ac:dyDescent="0.1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 x14ac:dyDescent="0.1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 x14ac:dyDescent="0.1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 x14ac:dyDescent="0.1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 x14ac:dyDescent="0.1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 x14ac:dyDescent="0.1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 x14ac:dyDescent="0.1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 x14ac:dyDescent="0.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 x14ac:dyDescent="0.1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 x14ac:dyDescent="0.1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 x14ac:dyDescent="0.1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 x14ac:dyDescent="0.1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 x14ac:dyDescent="0.1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 x14ac:dyDescent="0.1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 x14ac:dyDescent="0.1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 x14ac:dyDescent="0.1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 x14ac:dyDescent="0.1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 x14ac:dyDescent="0.1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 x14ac:dyDescent="0.1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 x14ac:dyDescent="0.1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 x14ac:dyDescent="0.1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 x14ac:dyDescent="0.1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 x14ac:dyDescent="0.1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 x14ac:dyDescent="0.1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 x14ac:dyDescent="0.1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 x14ac:dyDescent="0.1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 x14ac:dyDescent="0.1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 x14ac:dyDescent="0.1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 x14ac:dyDescent="0.1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 x14ac:dyDescent="0.1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 x14ac:dyDescent="0.1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 x14ac:dyDescent="0.1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 x14ac:dyDescent="0.1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 x14ac:dyDescent="0.1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 x14ac:dyDescent="0.1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 x14ac:dyDescent="0.1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 x14ac:dyDescent="0.1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 x14ac:dyDescent="0.1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 x14ac:dyDescent="0.1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 x14ac:dyDescent="0.1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 x14ac:dyDescent="0.1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 x14ac:dyDescent="0.1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 x14ac:dyDescent="0.1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 x14ac:dyDescent="0.1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 x14ac:dyDescent="0.1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 x14ac:dyDescent="0.1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 x14ac:dyDescent="0.1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 x14ac:dyDescent="0.1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 x14ac:dyDescent="0.1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 x14ac:dyDescent="0.1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 x14ac:dyDescent="0.1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 x14ac:dyDescent="0.1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 x14ac:dyDescent="0.1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 x14ac:dyDescent="0.1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 x14ac:dyDescent="0.1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 x14ac:dyDescent="0.1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 x14ac:dyDescent="0.1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 x14ac:dyDescent="0.1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 x14ac:dyDescent="0.1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 x14ac:dyDescent="0.1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 x14ac:dyDescent="0.1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 x14ac:dyDescent="0.1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 x14ac:dyDescent="0.1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 x14ac:dyDescent="0.1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 x14ac:dyDescent="0.1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 x14ac:dyDescent="0.1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 x14ac:dyDescent="0.1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 x14ac:dyDescent="0.1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 x14ac:dyDescent="0.1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 x14ac:dyDescent="0.1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 x14ac:dyDescent="0.1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 x14ac:dyDescent="0.1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 x14ac:dyDescent="0.1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 x14ac:dyDescent="0.1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 x14ac:dyDescent="0.1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 x14ac:dyDescent="0.1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 x14ac:dyDescent="0.1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 x14ac:dyDescent="0.1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 x14ac:dyDescent="0.1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 x14ac:dyDescent="0.1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 x14ac:dyDescent="0.1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 x14ac:dyDescent="0.1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 x14ac:dyDescent="0.1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 x14ac:dyDescent="0.1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 x14ac:dyDescent="0.1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 x14ac:dyDescent="0.1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 x14ac:dyDescent="0.1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 x14ac:dyDescent="0.1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 x14ac:dyDescent="0.1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 x14ac:dyDescent="0.1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 x14ac:dyDescent="0.1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 x14ac:dyDescent="0.1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 x14ac:dyDescent="0.1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 x14ac:dyDescent="0.1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 x14ac:dyDescent="0.1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 x14ac:dyDescent="0.1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 x14ac:dyDescent="0.1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 x14ac:dyDescent="0.1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 x14ac:dyDescent="0.1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 x14ac:dyDescent="0.1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 x14ac:dyDescent="0.1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 x14ac:dyDescent="0.1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 x14ac:dyDescent="0.1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 x14ac:dyDescent="0.1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 x14ac:dyDescent="0.1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 x14ac:dyDescent="0.1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 x14ac:dyDescent="0.1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 x14ac:dyDescent="0.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 x14ac:dyDescent="0.1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 x14ac:dyDescent="0.1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 x14ac:dyDescent="0.1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 x14ac:dyDescent="0.1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 x14ac:dyDescent="0.1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 x14ac:dyDescent="0.1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 x14ac:dyDescent="0.1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 x14ac:dyDescent="0.1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 x14ac:dyDescent="0.1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 x14ac:dyDescent="0.1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 x14ac:dyDescent="0.1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 x14ac:dyDescent="0.1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 x14ac:dyDescent="0.1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 x14ac:dyDescent="0.1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 x14ac:dyDescent="0.1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 x14ac:dyDescent="0.1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 x14ac:dyDescent="0.1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 x14ac:dyDescent="0.1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 x14ac:dyDescent="0.1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 x14ac:dyDescent="0.1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 x14ac:dyDescent="0.1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 x14ac:dyDescent="0.1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 x14ac:dyDescent="0.1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 x14ac:dyDescent="0.1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 x14ac:dyDescent="0.1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 x14ac:dyDescent="0.1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 x14ac:dyDescent="0.1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 x14ac:dyDescent="0.1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 x14ac:dyDescent="0.1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 x14ac:dyDescent="0.1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 x14ac:dyDescent="0.1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 x14ac:dyDescent="0.1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 x14ac:dyDescent="0.1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 x14ac:dyDescent="0.1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 x14ac:dyDescent="0.1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 x14ac:dyDescent="0.1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 x14ac:dyDescent="0.1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 x14ac:dyDescent="0.1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 x14ac:dyDescent="0.1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 x14ac:dyDescent="0.1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 x14ac:dyDescent="0.1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 x14ac:dyDescent="0.1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 x14ac:dyDescent="0.1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 x14ac:dyDescent="0.1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 x14ac:dyDescent="0.1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 x14ac:dyDescent="0.1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 x14ac:dyDescent="0.1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 x14ac:dyDescent="0.1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 x14ac:dyDescent="0.1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 x14ac:dyDescent="0.1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 x14ac:dyDescent="0.1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 x14ac:dyDescent="0.1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 x14ac:dyDescent="0.1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 x14ac:dyDescent="0.1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 x14ac:dyDescent="0.1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 x14ac:dyDescent="0.1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 x14ac:dyDescent="0.1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 x14ac:dyDescent="0.1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 x14ac:dyDescent="0.1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 x14ac:dyDescent="0.1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 x14ac:dyDescent="0.1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 x14ac:dyDescent="0.1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 x14ac:dyDescent="0.1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 x14ac:dyDescent="0.1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 x14ac:dyDescent="0.1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 x14ac:dyDescent="0.1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 x14ac:dyDescent="0.1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 x14ac:dyDescent="0.1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 x14ac:dyDescent="0.1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 x14ac:dyDescent="0.1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 x14ac:dyDescent="0.1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 x14ac:dyDescent="0.1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 x14ac:dyDescent="0.1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 x14ac:dyDescent="0.1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 x14ac:dyDescent="0.1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 x14ac:dyDescent="0.1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 x14ac:dyDescent="0.1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 x14ac:dyDescent="0.1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 x14ac:dyDescent="0.1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 x14ac:dyDescent="0.1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 x14ac:dyDescent="0.1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 x14ac:dyDescent="0.1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 x14ac:dyDescent="0.1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 x14ac:dyDescent="0.1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 x14ac:dyDescent="0.1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 x14ac:dyDescent="0.1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 x14ac:dyDescent="0.1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 x14ac:dyDescent="0.1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 x14ac:dyDescent="0.1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 x14ac:dyDescent="0.1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 x14ac:dyDescent="0.1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 x14ac:dyDescent="0.1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 x14ac:dyDescent="0.1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 x14ac:dyDescent="0.1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 x14ac:dyDescent="0.1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 x14ac:dyDescent="0.1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 x14ac:dyDescent="0.1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 x14ac:dyDescent="0.1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 x14ac:dyDescent="0.1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 x14ac:dyDescent="0.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 x14ac:dyDescent="0.1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 x14ac:dyDescent="0.1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 x14ac:dyDescent="0.1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 x14ac:dyDescent="0.1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 x14ac:dyDescent="0.1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 x14ac:dyDescent="0.1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 x14ac:dyDescent="0.1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 x14ac:dyDescent="0.1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 x14ac:dyDescent="0.1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 x14ac:dyDescent="0.1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 x14ac:dyDescent="0.1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 x14ac:dyDescent="0.1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 x14ac:dyDescent="0.1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 x14ac:dyDescent="0.1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 x14ac:dyDescent="0.1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 x14ac:dyDescent="0.1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 x14ac:dyDescent="0.1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 x14ac:dyDescent="0.1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 x14ac:dyDescent="0.1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 x14ac:dyDescent="0.1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 x14ac:dyDescent="0.1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 x14ac:dyDescent="0.1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 x14ac:dyDescent="0.1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 x14ac:dyDescent="0.1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 x14ac:dyDescent="0.1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 x14ac:dyDescent="0.1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 x14ac:dyDescent="0.1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 x14ac:dyDescent="0.1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 x14ac:dyDescent="0.1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 x14ac:dyDescent="0.1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 x14ac:dyDescent="0.1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 x14ac:dyDescent="0.1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 x14ac:dyDescent="0.1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 x14ac:dyDescent="0.1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 x14ac:dyDescent="0.1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 x14ac:dyDescent="0.1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 x14ac:dyDescent="0.1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 x14ac:dyDescent="0.1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 x14ac:dyDescent="0.1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 x14ac:dyDescent="0.1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 x14ac:dyDescent="0.1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 x14ac:dyDescent="0.1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 x14ac:dyDescent="0.1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 x14ac:dyDescent="0.1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 x14ac:dyDescent="0.1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 x14ac:dyDescent="0.1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 x14ac:dyDescent="0.1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 x14ac:dyDescent="0.1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 x14ac:dyDescent="0.1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 x14ac:dyDescent="0.1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 x14ac:dyDescent="0.1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 x14ac:dyDescent="0.1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 x14ac:dyDescent="0.1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 x14ac:dyDescent="0.1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 x14ac:dyDescent="0.1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 x14ac:dyDescent="0.1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 x14ac:dyDescent="0.1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 x14ac:dyDescent="0.1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 x14ac:dyDescent="0.1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 x14ac:dyDescent="0.1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 x14ac:dyDescent="0.1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 x14ac:dyDescent="0.1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 x14ac:dyDescent="0.1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 x14ac:dyDescent="0.1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 x14ac:dyDescent="0.1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 x14ac:dyDescent="0.1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 x14ac:dyDescent="0.1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 x14ac:dyDescent="0.1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 x14ac:dyDescent="0.1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 x14ac:dyDescent="0.1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 x14ac:dyDescent="0.1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 x14ac:dyDescent="0.1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 x14ac:dyDescent="0.1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 x14ac:dyDescent="0.1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 x14ac:dyDescent="0.1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 x14ac:dyDescent="0.1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 x14ac:dyDescent="0.1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 x14ac:dyDescent="0.1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 x14ac:dyDescent="0.1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 x14ac:dyDescent="0.1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 x14ac:dyDescent="0.1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 x14ac:dyDescent="0.1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 x14ac:dyDescent="0.1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 x14ac:dyDescent="0.1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 x14ac:dyDescent="0.1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 x14ac:dyDescent="0.1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 x14ac:dyDescent="0.1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 x14ac:dyDescent="0.1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 x14ac:dyDescent="0.1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 x14ac:dyDescent="0.1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 x14ac:dyDescent="0.1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 x14ac:dyDescent="0.1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 x14ac:dyDescent="0.1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 x14ac:dyDescent="0.1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 x14ac:dyDescent="0.1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 x14ac:dyDescent="0.1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 x14ac:dyDescent="0.1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 x14ac:dyDescent="0.1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 x14ac:dyDescent="0.1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 x14ac:dyDescent="0.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 x14ac:dyDescent="0.1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 x14ac:dyDescent="0.1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 x14ac:dyDescent="0.1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 x14ac:dyDescent="0.1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 x14ac:dyDescent="0.1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 x14ac:dyDescent="0.1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 x14ac:dyDescent="0.1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 x14ac:dyDescent="0.1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 x14ac:dyDescent="0.1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 x14ac:dyDescent="0.1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 x14ac:dyDescent="0.1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 x14ac:dyDescent="0.1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 x14ac:dyDescent="0.1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 x14ac:dyDescent="0.1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 x14ac:dyDescent="0.1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 x14ac:dyDescent="0.1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 x14ac:dyDescent="0.1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 x14ac:dyDescent="0.1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 x14ac:dyDescent="0.1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 x14ac:dyDescent="0.1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 x14ac:dyDescent="0.1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 x14ac:dyDescent="0.1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 x14ac:dyDescent="0.1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 x14ac:dyDescent="0.1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 x14ac:dyDescent="0.1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 x14ac:dyDescent="0.1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 x14ac:dyDescent="0.1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 x14ac:dyDescent="0.1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 x14ac:dyDescent="0.1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 x14ac:dyDescent="0.1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 x14ac:dyDescent="0.1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 x14ac:dyDescent="0.1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 x14ac:dyDescent="0.1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 x14ac:dyDescent="0.1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 x14ac:dyDescent="0.1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 x14ac:dyDescent="0.1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 x14ac:dyDescent="0.1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 x14ac:dyDescent="0.1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 x14ac:dyDescent="0.1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 x14ac:dyDescent="0.1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 x14ac:dyDescent="0.1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 x14ac:dyDescent="0.1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 x14ac:dyDescent="0.1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 x14ac:dyDescent="0.1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 x14ac:dyDescent="0.1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 x14ac:dyDescent="0.1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 x14ac:dyDescent="0.1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 x14ac:dyDescent="0.1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 x14ac:dyDescent="0.1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 x14ac:dyDescent="0.1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 x14ac:dyDescent="0.1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 x14ac:dyDescent="0.1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 x14ac:dyDescent="0.1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 x14ac:dyDescent="0.1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 x14ac:dyDescent="0.1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 x14ac:dyDescent="0.1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 x14ac:dyDescent="0.1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 x14ac:dyDescent="0.1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 x14ac:dyDescent="0.1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 x14ac:dyDescent="0.1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 x14ac:dyDescent="0.1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 x14ac:dyDescent="0.1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 x14ac:dyDescent="0.1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 x14ac:dyDescent="0.1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 x14ac:dyDescent="0.1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 x14ac:dyDescent="0.1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 x14ac:dyDescent="0.1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 x14ac:dyDescent="0.1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 x14ac:dyDescent="0.1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 x14ac:dyDescent="0.1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 x14ac:dyDescent="0.1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 x14ac:dyDescent="0.1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 x14ac:dyDescent="0.1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 x14ac:dyDescent="0.1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 x14ac:dyDescent="0.1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 x14ac:dyDescent="0.1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 x14ac:dyDescent="0.1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 x14ac:dyDescent="0.1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 x14ac:dyDescent="0.1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 x14ac:dyDescent="0.1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 x14ac:dyDescent="0.1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 x14ac:dyDescent="0.1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 x14ac:dyDescent="0.1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 x14ac:dyDescent="0.1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 x14ac:dyDescent="0.1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2" sqref="E12"/>
    </sheetView>
  </sheetViews>
  <sheetFormatPr baseColWidth="10" defaultColWidth="12.5" defaultRowHeight="15.75" customHeight="1" outlineLevelRow="1" x14ac:dyDescent="0.15"/>
  <cols>
    <col min="1" max="1" width="2.5" customWidth="1"/>
    <col min="2" max="2" width="35.5" customWidth="1"/>
    <col min="3" max="16" width="9.6640625" customWidth="1"/>
    <col min="17" max="26" width="7.5" customWidth="1"/>
  </cols>
  <sheetData>
    <row r="1" spans="1:26" ht="12.75" customHeight="1" x14ac:dyDescent="0.15">
      <c r="A1" s="34"/>
      <c r="B1" s="28" t="s">
        <v>181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2.75" customHeight="1" x14ac:dyDescent="0.15">
      <c r="A2" s="34"/>
      <c r="B2" s="36" t="s">
        <v>35</v>
      </c>
      <c r="C2" s="49">
        <f>+'IS - Gold Solution'!C2</f>
        <v>2022</v>
      </c>
      <c r="D2" s="49">
        <f>+'IS - Gold Solution'!D2</f>
        <v>2023</v>
      </c>
      <c r="E2" s="49">
        <f>+'IS - Gold Solution'!E2</f>
        <v>2024</v>
      </c>
      <c r="F2" s="49" t="str">
        <f>+'IS - Gold Solution'!F2</f>
        <v>2025E</v>
      </c>
      <c r="G2" s="49" t="str">
        <f>+'IS - Gold Solution'!G2</f>
        <v>2026E</v>
      </c>
      <c r="H2" s="49" t="str">
        <f>+'IS - Gold Solution'!H2</f>
        <v>2027E</v>
      </c>
      <c r="I2" s="49" t="str">
        <f>+'IS - Gold Solution'!I2</f>
        <v>2028E</v>
      </c>
      <c r="J2" s="49" t="str">
        <f>+'IS - Gold Solution'!J2</f>
        <v>2029E</v>
      </c>
      <c r="K2" s="49" t="str">
        <f>+'IS - Gold Solution'!K2</f>
        <v>2030E</v>
      </c>
      <c r="L2" s="49" t="str">
        <f>+'IS - Gold Solution'!L2</f>
        <v>2031E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2.75" customHeight="1" x14ac:dyDescent="0.15">
      <c r="A3" s="192"/>
      <c r="B3" s="53" t="s">
        <v>182</v>
      </c>
      <c r="C3" s="164">
        <f>'IS - Gold Solution'!C50</f>
        <v>116.19999999999965</v>
      </c>
      <c r="D3" s="164">
        <f>'IS - Gold Solution'!D50</f>
        <v>182.89999999999918</v>
      </c>
      <c r="E3" s="164">
        <f>'IS - Gold Solution'!E50</f>
        <v>201.70000000000016</v>
      </c>
      <c r="F3" s="164">
        <f ca="1">'IS - Gold Solution'!F50</f>
        <v>221.56036016035597</v>
      </c>
      <c r="G3" s="164">
        <f ca="1">'IS - Gold Solution'!G50</f>
        <v>249.58117877813561</v>
      </c>
      <c r="H3" s="164">
        <f ca="1">'IS - Gold Solution'!H50</f>
        <v>282.67083234115103</v>
      </c>
      <c r="I3" s="164">
        <f ca="1">'IS - Gold Solution'!I50</f>
        <v>319.19523003182223</v>
      </c>
      <c r="J3" s="164">
        <f ca="1">'IS - Gold Solution'!J50</f>
        <v>359.41730008753564</v>
      </c>
      <c r="K3" s="164">
        <f ca="1">'IS - Gold Solution'!K50</f>
        <v>412.75729805630766</v>
      </c>
      <c r="L3" s="164">
        <f ca="1">'IS - Gold Solution'!L50</f>
        <v>478.59821785567715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2.75" customHeight="1" x14ac:dyDescent="0.15">
      <c r="A4" s="192"/>
      <c r="B4" s="53" t="s">
        <v>183</v>
      </c>
      <c r="C4" s="84">
        <f t="shared" ref="C4:L4" si="0">SUM(C5:C12)</f>
        <v>112.34600000000002</v>
      </c>
      <c r="D4" s="84">
        <f t="shared" si="0"/>
        <v>128.87</v>
      </c>
      <c r="E4" s="84">
        <f t="shared" si="0"/>
        <v>137.42399999999998</v>
      </c>
      <c r="F4" s="55">
        <f t="shared" si="0"/>
        <v>157.77424999999999</v>
      </c>
      <c r="G4" s="55">
        <f t="shared" si="0"/>
        <v>165.68988937500001</v>
      </c>
      <c r="H4" s="55">
        <f t="shared" si="0"/>
        <v>170.23167571406248</v>
      </c>
      <c r="I4" s="55">
        <f t="shared" si="0"/>
        <v>174.30792895337109</v>
      </c>
      <c r="J4" s="55">
        <f t="shared" si="0"/>
        <v>177.96636623565053</v>
      </c>
      <c r="K4" s="55">
        <f t="shared" si="0"/>
        <v>181.24981369649635</v>
      </c>
      <c r="L4" s="55">
        <f t="shared" si="0"/>
        <v>184.19670779260548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2.75" customHeight="1" outlineLevel="1" x14ac:dyDescent="0.15">
      <c r="A5" s="192"/>
      <c r="B5" s="53" t="s">
        <v>184</v>
      </c>
      <c r="C5" s="83">
        <v>117.798</v>
      </c>
      <c r="D5" s="83">
        <v>123.80500000000001</v>
      </c>
      <c r="E5" s="83">
        <v>136.87100000000001</v>
      </c>
      <c r="F5" s="164">
        <f>'IS - Gold Solution'!F61</f>
        <v>147.77424999999999</v>
      </c>
      <c r="G5" s="164">
        <f>'IS - Gold Solution'!G61</f>
        <v>155.68988937500001</v>
      </c>
      <c r="H5" s="164">
        <f>'IS - Gold Solution'!H61</f>
        <v>160.23167571406248</v>
      </c>
      <c r="I5" s="164">
        <f>'IS - Gold Solution'!I61</f>
        <v>164.30792895337109</v>
      </c>
      <c r="J5" s="164">
        <f>'IS - Gold Solution'!J61</f>
        <v>167.96636623565053</v>
      </c>
      <c r="K5" s="164">
        <f>'IS - Gold Solution'!K61</f>
        <v>171.24981369649635</v>
      </c>
      <c r="L5" s="164">
        <f>'IS - Gold Solution'!L61</f>
        <v>174.19670779260548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2.75" customHeight="1" outlineLevel="1" x14ac:dyDescent="0.15">
      <c r="A6" s="192"/>
      <c r="B6" s="53" t="s">
        <v>185</v>
      </c>
      <c r="C6" s="83">
        <v>2.0779999999999998</v>
      </c>
      <c r="D6" s="83">
        <v>-1.6060000000000001</v>
      </c>
      <c r="E6" s="83">
        <v>-0.35</v>
      </c>
      <c r="F6" s="83">
        <v>0</v>
      </c>
      <c r="G6" s="83">
        <v>0</v>
      </c>
      <c r="H6" s="83">
        <v>0</v>
      </c>
      <c r="I6" s="83">
        <v>0</v>
      </c>
      <c r="J6" s="83">
        <v>0</v>
      </c>
      <c r="K6" s="83">
        <v>0</v>
      </c>
      <c r="L6" s="83">
        <v>0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2.75" customHeight="1" outlineLevel="1" x14ac:dyDescent="0.15">
      <c r="A7" s="192"/>
      <c r="B7" s="53" t="s">
        <v>186</v>
      </c>
      <c r="C7" s="83">
        <v>0.53800000000000003</v>
      </c>
      <c r="D7" s="83">
        <v>2.0009999999999999</v>
      </c>
      <c r="E7" s="83">
        <v>1.099</v>
      </c>
      <c r="F7" s="83">
        <v>0</v>
      </c>
      <c r="G7" s="83">
        <v>0</v>
      </c>
      <c r="H7" s="83">
        <v>0</v>
      </c>
      <c r="I7" s="83">
        <v>0</v>
      </c>
      <c r="J7" s="83">
        <v>0</v>
      </c>
      <c r="K7" s="83">
        <v>0</v>
      </c>
      <c r="L7" s="83">
        <v>0</v>
      </c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2.75" customHeight="1" outlineLevel="1" x14ac:dyDescent="0.15">
      <c r="A8" s="192"/>
      <c r="B8" s="53" t="s">
        <v>187</v>
      </c>
      <c r="C8" s="83">
        <v>0.48299999999999998</v>
      </c>
      <c r="D8" s="83">
        <v>3.1150000000000002</v>
      </c>
      <c r="E8" s="83">
        <v>2.762</v>
      </c>
      <c r="F8" s="83">
        <v>0</v>
      </c>
      <c r="G8" s="83">
        <v>0</v>
      </c>
      <c r="H8" s="83">
        <v>0</v>
      </c>
      <c r="I8" s="83">
        <v>0</v>
      </c>
      <c r="J8" s="83">
        <v>0</v>
      </c>
      <c r="K8" s="83">
        <v>0</v>
      </c>
      <c r="L8" s="83">
        <v>0</v>
      </c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2.75" customHeight="1" outlineLevel="1" x14ac:dyDescent="0.15">
      <c r="A9" s="192"/>
      <c r="B9" s="53" t="s">
        <v>188</v>
      </c>
      <c r="C9" s="83">
        <v>1.272</v>
      </c>
      <c r="D9" s="83">
        <v>2.8879999999999999</v>
      </c>
      <c r="E9" s="83">
        <v>7.8259999999999996</v>
      </c>
      <c r="F9" s="92">
        <v>10</v>
      </c>
      <c r="G9" s="92">
        <v>10</v>
      </c>
      <c r="H9" s="92">
        <v>10</v>
      </c>
      <c r="I9" s="92">
        <v>10</v>
      </c>
      <c r="J9" s="92">
        <v>10</v>
      </c>
      <c r="K9" s="92">
        <v>10</v>
      </c>
      <c r="L9" s="92">
        <v>10</v>
      </c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2.75" customHeight="1" outlineLevel="1" x14ac:dyDescent="0.15">
      <c r="A10" s="192"/>
      <c r="B10" s="53" t="s">
        <v>189</v>
      </c>
      <c r="C10" s="83">
        <v>1.306</v>
      </c>
      <c r="D10" s="83">
        <v>1.1819999999999999</v>
      </c>
      <c r="E10" s="83">
        <v>1.6279999999999999</v>
      </c>
      <c r="F10" s="83">
        <v>0</v>
      </c>
      <c r="G10" s="83">
        <v>0</v>
      </c>
      <c r="H10" s="83">
        <v>0</v>
      </c>
      <c r="I10" s="83">
        <v>0</v>
      </c>
      <c r="J10" s="83">
        <v>0</v>
      </c>
      <c r="K10" s="83">
        <v>0</v>
      </c>
      <c r="L10" s="83">
        <v>0</v>
      </c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2.75" customHeight="1" outlineLevel="1" x14ac:dyDescent="0.15">
      <c r="A11" s="192"/>
      <c r="B11" s="53" t="s">
        <v>190</v>
      </c>
      <c r="C11" s="83">
        <v>2.5249999999999999</v>
      </c>
      <c r="D11" s="83">
        <v>-2.202</v>
      </c>
      <c r="E11" s="83">
        <v>-2.9180000000000001</v>
      </c>
      <c r="F11" s="83">
        <v>0</v>
      </c>
      <c r="G11" s="83">
        <v>0</v>
      </c>
      <c r="H11" s="83">
        <v>0</v>
      </c>
      <c r="I11" s="83">
        <v>0</v>
      </c>
      <c r="J11" s="83">
        <v>0</v>
      </c>
      <c r="K11" s="83">
        <v>0</v>
      </c>
      <c r="L11" s="83">
        <v>0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2.75" customHeight="1" outlineLevel="1" x14ac:dyDescent="0.15">
      <c r="A12" s="192"/>
      <c r="B12" s="53" t="s">
        <v>191</v>
      </c>
      <c r="C12" s="83">
        <f>-14.092+0.438</f>
        <v>-13.654</v>
      </c>
      <c r="D12" s="83">
        <f>-0.027-0.286</f>
        <v>-0.313</v>
      </c>
      <c r="E12" s="83">
        <f>-9.215-0.279</f>
        <v>-9.4939999999999998</v>
      </c>
      <c r="F12" s="83">
        <v>0</v>
      </c>
      <c r="G12" s="83">
        <v>0</v>
      </c>
      <c r="H12" s="83">
        <v>0</v>
      </c>
      <c r="I12" s="83">
        <v>0</v>
      </c>
      <c r="J12" s="83">
        <v>0</v>
      </c>
      <c r="K12" s="83">
        <v>0</v>
      </c>
      <c r="L12" s="83">
        <v>0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.75" customHeight="1" x14ac:dyDescent="0.15">
      <c r="A13" s="192"/>
      <c r="B13" s="53" t="s">
        <v>192</v>
      </c>
      <c r="C13" s="84">
        <f>+SUM(C14:C17)</f>
        <v>-29.015000000000004</v>
      </c>
      <c r="D13" s="84">
        <f>+SUM(D14:D17)</f>
        <v>20.089999999999996</v>
      </c>
      <c r="E13" s="84">
        <f>+SUM(E14:E17)</f>
        <v>-16.029999999999998</v>
      </c>
      <c r="F13" s="84">
        <f t="shared" ref="F13:L13" si="1">+SUM(F14:F17)</f>
        <v>-20</v>
      </c>
      <c r="G13" s="84">
        <f t="shared" si="1"/>
        <v>-20</v>
      </c>
      <c r="H13" s="84">
        <f t="shared" si="1"/>
        <v>-20</v>
      </c>
      <c r="I13" s="84">
        <f t="shared" si="1"/>
        <v>-20</v>
      </c>
      <c r="J13" s="84">
        <f t="shared" si="1"/>
        <v>-20</v>
      </c>
      <c r="K13" s="84">
        <f t="shared" si="1"/>
        <v>-20</v>
      </c>
      <c r="L13" s="84">
        <f t="shared" si="1"/>
        <v>-20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2.75" customHeight="1" outlineLevel="1" x14ac:dyDescent="0.15">
      <c r="A14" s="192"/>
      <c r="B14" s="53" t="s">
        <v>129</v>
      </c>
      <c r="C14" s="83">
        <f>-32.506-8.004</f>
        <v>-40.51</v>
      </c>
      <c r="D14" s="83">
        <f>-54.817+16.05</f>
        <v>-38.766999999999996</v>
      </c>
      <c r="E14" s="83">
        <v>14.061</v>
      </c>
      <c r="F14" s="92">
        <v>-20</v>
      </c>
      <c r="G14" s="92">
        <v>-20</v>
      </c>
      <c r="H14" s="92">
        <v>-20</v>
      </c>
      <c r="I14" s="92">
        <v>-20</v>
      </c>
      <c r="J14" s="92">
        <v>-20</v>
      </c>
      <c r="K14" s="92">
        <v>-20</v>
      </c>
      <c r="L14" s="92">
        <v>-20</v>
      </c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2.75" customHeight="1" outlineLevel="1" x14ac:dyDescent="0.15">
      <c r="A15" s="192"/>
      <c r="B15" s="53" t="s">
        <v>131</v>
      </c>
      <c r="C15" s="83">
        <v>-31.033000000000001</v>
      </c>
      <c r="D15" s="83">
        <v>3.6539999999999999</v>
      </c>
      <c r="E15" s="83">
        <v>-44.302999999999997</v>
      </c>
      <c r="F15" s="92">
        <v>-10</v>
      </c>
      <c r="G15" s="92">
        <v>-10</v>
      </c>
      <c r="H15" s="92">
        <v>-10</v>
      </c>
      <c r="I15" s="92">
        <v>-10</v>
      </c>
      <c r="J15" s="92">
        <v>-10</v>
      </c>
      <c r="K15" s="92">
        <v>-10</v>
      </c>
      <c r="L15" s="92">
        <v>-10</v>
      </c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2.75" customHeight="1" outlineLevel="1" x14ac:dyDescent="0.15">
      <c r="A16" s="192"/>
      <c r="B16" s="53" t="s">
        <v>193</v>
      </c>
      <c r="C16" s="83">
        <f>17.489+3.578</f>
        <v>21.067</v>
      </c>
      <c r="D16" s="83">
        <f>33.092-7.31</f>
        <v>25.782</v>
      </c>
      <c r="E16" s="83">
        <v>7.3079999999999998</v>
      </c>
      <c r="F16" s="92">
        <v>5</v>
      </c>
      <c r="G16" s="92">
        <v>5</v>
      </c>
      <c r="H16" s="92">
        <v>5</v>
      </c>
      <c r="I16" s="92">
        <v>5</v>
      </c>
      <c r="J16" s="92">
        <v>5</v>
      </c>
      <c r="K16" s="92">
        <v>5</v>
      </c>
      <c r="L16" s="92">
        <v>5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2.75" customHeight="1" outlineLevel="1" x14ac:dyDescent="0.15">
      <c r="A17" s="192"/>
      <c r="B17" s="53" t="s">
        <v>194</v>
      </c>
      <c r="C17" s="83">
        <f>21.417+0.044</f>
        <v>21.461000000000002</v>
      </c>
      <c r="D17" s="83">
        <f>-19.556+48.977</f>
        <v>29.420999999999996</v>
      </c>
      <c r="E17" s="83">
        <f>10.907-4.003</f>
        <v>6.9039999999999999</v>
      </c>
      <c r="F17" s="92">
        <v>5</v>
      </c>
      <c r="G17" s="92">
        <v>5</v>
      </c>
      <c r="H17" s="92">
        <v>5</v>
      </c>
      <c r="I17" s="92">
        <v>5</v>
      </c>
      <c r="J17" s="92">
        <v>5</v>
      </c>
      <c r="K17" s="92">
        <v>5</v>
      </c>
      <c r="L17" s="92">
        <v>5</v>
      </c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2.75" customHeight="1" x14ac:dyDescent="0.15">
      <c r="A18" s="192"/>
      <c r="B18" s="57" t="s">
        <v>195</v>
      </c>
      <c r="C18" s="91">
        <f>-0.426+8.319</f>
        <v>7.8930000000000007</v>
      </c>
      <c r="D18" s="91">
        <f>-1.756+5.65</f>
        <v>3.8940000000000001</v>
      </c>
      <c r="E18" s="91">
        <f>-2.651+1.903</f>
        <v>-0.74799999999999978</v>
      </c>
      <c r="F18" s="193">
        <v>0</v>
      </c>
      <c r="G18" s="193">
        <v>0</v>
      </c>
      <c r="H18" s="193">
        <v>0</v>
      </c>
      <c r="I18" s="193">
        <v>0</v>
      </c>
      <c r="J18" s="193">
        <v>0</v>
      </c>
      <c r="K18" s="193">
        <v>0</v>
      </c>
      <c r="L18" s="193">
        <v>0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2.75" customHeight="1" x14ac:dyDescent="0.15">
      <c r="A19" s="192"/>
      <c r="B19" s="51" t="s">
        <v>196</v>
      </c>
      <c r="C19" s="86">
        <f t="shared" ref="C19:L19" si="2">C3+C4+C13+C18</f>
        <v>207.42399999999964</v>
      </c>
      <c r="D19" s="86">
        <f t="shared" si="2"/>
        <v>335.75399999999917</v>
      </c>
      <c r="E19" s="86">
        <f t="shared" si="2"/>
        <v>322.34600000000017</v>
      </c>
      <c r="F19" s="77">
        <f t="shared" ca="1" si="2"/>
        <v>359.33461016035596</v>
      </c>
      <c r="G19" s="77">
        <f t="shared" ca="1" si="2"/>
        <v>395.27106815313562</v>
      </c>
      <c r="H19" s="77">
        <f t="shared" ca="1" si="2"/>
        <v>432.9025080552135</v>
      </c>
      <c r="I19" s="77">
        <f t="shared" ca="1" si="2"/>
        <v>473.50315898519329</v>
      </c>
      <c r="J19" s="77">
        <f t="shared" ca="1" si="2"/>
        <v>517.38366632318616</v>
      </c>
      <c r="K19" s="77">
        <f t="shared" ca="1" si="2"/>
        <v>574.00711175280401</v>
      </c>
      <c r="L19" s="77">
        <f t="shared" ca="1" si="2"/>
        <v>642.79492564828263</v>
      </c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2.75" customHeight="1" x14ac:dyDescent="0.15">
      <c r="A20" s="27"/>
      <c r="B20" s="53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2.75" customHeight="1" x14ac:dyDescent="0.15">
      <c r="A21" s="192"/>
      <c r="B21" s="53" t="s">
        <v>197</v>
      </c>
      <c r="C21" s="83">
        <v>-178.16200000000001</v>
      </c>
      <c r="D21" s="83">
        <v>-124.283</v>
      </c>
      <c r="E21" s="83">
        <v>-172.42699999999999</v>
      </c>
      <c r="F21" s="92">
        <v>-225</v>
      </c>
      <c r="G21" s="92">
        <v>-200</v>
      </c>
      <c r="H21" s="92">
        <v>-200</v>
      </c>
      <c r="I21" s="92">
        <v>-200</v>
      </c>
      <c r="J21" s="92">
        <v>-200</v>
      </c>
      <c r="K21" s="92">
        <v>-200</v>
      </c>
      <c r="L21" s="92">
        <v>-200</v>
      </c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2.75" customHeight="1" x14ac:dyDescent="0.15">
      <c r="A22" s="192"/>
      <c r="B22" s="53" t="s">
        <v>198</v>
      </c>
      <c r="C22" s="83">
        <v>1.7450000000000001</v>
      </c>
      <c r="D22" s="83">
        <v>0</v>
      </c>
      <c r="E22" s="83">
        <v>-130.98099999999999</v>
      </c>
      <c r="F22" s="92">
        <v>-450</v>
      </c>
      <c r="G22" s="92">
        <v>0</v>
      </c>
      <c r="H22" s="92">
        <v>0</v>
      </c>
      <c r="I22" s="92">
        <v>0</v>
      </c>
      <c r="J22" s="92">
        <v>0</v>
      </c>
      <c r="K22" s="92">
        <v>0</v>
      </c>
      <c r="L22" s="92">
        <v>0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2.75" customHeight="1" x14ac:dyDescent="0.15">
      <c r="A23" s="192"/>
      <c r="B23" s="53" t="s">
        <v>199</v>
      </c>
      <c r="C23" s="83">
        <v>22.878</v>
      </c>
      <c r="D23" s="83">
        <v>8.2840000000000007</v>
      </c>
      <c r="E23" s="83">
        <v>11.996</v>
      </c>
      <c r="F23" s="83">
        <v>0</v>
      </c>
      <c r="G23" s="83">
        <v>0</v>
      </c>
      <c r="H23" s="83">
        <v>0</v>
      </c>
      <c r="I23" s="83">
        <v>0</v>
      </c>
      <c r="J23" s="83">
        <v>0</v>
      </c>
      <c r="K23" s="83">
        <v>0</v>
      </c>
      <c r="L23" s="83">
        <v>0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2.75" customHeight="1" x14ac:dyDescent="0.15">
      <c r="A24" s="192"/>
      <c r="B24" s="57" t="s">
        <v>200</v>
      </c>
      <c r="C24" s="91">
        <v>-2.339</v>
      </c>
      <c r="D24" s="91">
        <v>-1.89</v>
      </c>
      <c r="E24" s="91">
        <v>-3.3889999999999998</v>
      </c>
      <c r="F24" s="91">
        <v>0</v>
      </c>
      <c r="G24" s="91">
        <v>0</v>
      </c>
      <c r="H24" s="91">
        <v>0</v>
      </c>
      <c r="I24" s="91">
        <v>0</v>
      </c>
      <c r="J24" s="91">
        <v>0</v>
      </c>
      <c r="K24" s="91">
        <v>0</v>
      </c>
      <c r="L24" s="91">
        <v>0</v>
      </c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2.75" customHeight="1" x14ac:dyDescent="0.15">
      <c r="A25" s="192"/>
      <c r="B25" s="51" t="s">
        <v>201</v>
      </c>
      <c r="C25" s="86">
        <f t="shared" ref="C25:L25" si="3">SUM(C21:C24)</f>
        <v>-155.87799999999999</v>
      </c>
      <c r="D25" s="86">
        <f t="shared" si="3"/>
        <v>-117.889</v>
      </c>
      <c r="E25" s="86">
        <f t="shared" si="3"/>
        <v>-294.80100000000004</v>
      </c>
      <c r="F25" s="77">
        <f t="shared" si="3"/>
        <v>-675</v>
      </c>
      <c r="G25" s="77">
        <f t="shared" si="3"/>
        <v>-200</v>
      </c>
      <c r="H25" s="77">
        <f t="shared" si="3"/>
        <v>-200</v>
      </c>
      <c r="I25" s="77">
        <f t="shared" si="3"/>
        <v>-200</v>
      </c>
      <c r="J25" s="77">
        <f t="shared" si="3"/>
        <v>-200</v>
      </c>
      <c r="K25" s="77">
        <f t="shared" si="3"/>
        <v>-200</v>
      </c>
      <c r="L25" s="77">
        <f t="shared" si="3"/>
        <v>-200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2.75" customHeight="1" x14ac:dyDescent="0.15">
      <c r="A26" s="27"/>
      <c r="B26" s="27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2.75" customHeight="1" x14ac:dyDescent="0.15">
      <c r="A27" s="27"/>
      <c r="B27" s="53" t="s">
        <v>202</v>
      </c>
      <c r="C27" s="227">
        <v>208</v>
      </c>
      <c r="D27" s="227">
        <f>205.275+700</f>
        <v>905.27499999999998</v>
      </c>
      <c r="E27" s="227">
        <v>0</v>
      </c>
      <c r="F27" s="83">
        <v>0</v>
      </c>
      <c r="G27" s="83">
        <v>0</v>
      </c>
      <c r="H27" s="83">
        <v>0</v>
      </c>
      <c r="I27" s="83">
        <v>0</v>
      </c>
      <c r="J27" s="83">
        <v>0</v>
      </c>
      <c r="K27" s="83">
        <v>0</v>
      </c>
      <c r="L27" s="83">
        <v>0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2.75" customHeight="1" x14ac:dyDescent="0.15">
      <c r="A28" s="27"/>
      <c r="B28" s="53" t="s">
        <v>203</v>
      </c>
      <c r="C28" s="227">
        <f>-207.007-0.298</f>
        <v>-207.30500000000001</v>
      </c>
      <c r="D28" s="227">
        <v>-3.653</v>
      </c>
      <c r="E28" s="227">
        <v>-7.0359999999999996</v>
      </c>
      <c r="F28" s="164">
        <f>'Debt - Gold Solution'!F12</f>
        <v>494.779</v>
      </c>
      <c r="G28" s="164">
        <f>'Debt - Gold Solution'!G12</f>
        <v>0</v>
      </c>
      <c r="H28" s="164">
        <f>'Debt - Gold Solution'!H12</f>
        <v>0</v>
      </c>
      <c r="I28" s="164">
        <f>'Debt - Gold Solution'!I12</f>
        <v>0</v>
      </c>
      <c r="J28" s="164">
        <f>'Debt - Gold Solution'!J12</f>
        <v>0</v>
      </c>
      <c r="K28" s="164">
        <f>'Debt - Gold Solution'!K12</f>
        <v>-264.68799999999987</v>
      </c>
      <c r="L28" s="164">
        <f>'Debt - Gold Solution'!L12</f>
        <v>-425.00000000000011</v>
      </c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2.75" customHeight="1" x14ac:dyDescent="0.15">
      <c r="A29" s="27"/>
      <c r="B29" s="53" t="s">
        <v>204</v>
      </c>
      <c r="C29" s="227">
        <v>-0.80700000000000005</v>
      </c>
      <c r="D29" s="227">
        <v>-16.64</v>
      </c>
      <c r="E29" s="227">
        <v>0</v>
      </c>
      <c r="F29" s="83">
        <v>0</v>
      </c>
      <c r="G29" s="83">
        <v>0</v>
      </c>
      <c r="H29" s="83">
        <v>0</v>
      </c>
      <c r="I29" s="83">
        <v>0</v>
      </c>
      <c r="J29" s="83">
        <v>0</v>
      </c>
      <c r="K29" s="83">
        <v>0</v>
      </c>
      <c r="L29" s="83">
        <v>0</v>
      </c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2.75" customHeight="1" x14ac:dyDescent="0.15">
      <c r="A30" s="27"/>
      <c r="B30" s="53" t="s">
        <v>205</v>
      </c>
      <c r="C30" s="227">
        <v>0</v>
      </c>
      <c r="D30" s="227">
        <v>0</v>
      </c>
      <c r="E30" s="227">
        <v>0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2.75" customHeight="1" x14ac:dyDescent="0.15">
      <c r="A31" s="27"/>
      <c r="B31" s="53" t="s">
        <v>206</v>
      </c>
      <c r="C31" s="227">
        <v>0</v>
      </c>
      <c r="D31" s="227">
        <v>0</v>
      </c>
      <c r="E31" s="227">
        <v>0</v>
      </c>
      <c r="F31" s="83">
        <v>0</v>
      </c>
      <c r="G31" s="83">
        <v>0</v>
      </c>
      <c r="H31" s="83">
        <v>0</v>
      </c>
      <c r="I31" s="83">
        <v>0</v>
      </c>
      <c r="J31" s="83">
        <v>0</v>
      </c>
      <c r="K31" s="83">
        <v>0</v>
      </c>
      <c r="L31" s="83">
        <v>0</v>
      </c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2.75" customHeight="1" x14ac:dyDescent="0.15">
      <c r="A32" s="27"/>
      <c r="B32" s="53" t="s">
        <v>207</v>
      </c>
      <c r="C32" s="227">
        <v>0</v>
      </c>
      <c r="D32" s="227">
        <v>0</v>
      </c>
      <c r="E32" s="227">
        <v>0</v>
      </c>
      <c r="F32" s="92">
        <v>-200</v>
      </c>
      <c r="G32" s="92">
        <v>-200</v>
      </c>
      <c r="H32" s="92">
        <v>-200</v>
      </c>
      <c r="I32" s="92">
        <v>-200</v>
      </c>
      <c r="J32" s="92">
        <v>-200</v>
      </c>
      <c r="K32" s="92">
        <v>-200</v>
      </c>
      <c r="L32" s="92">
        <v>-200</v>
      </c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2.75" customHeight="1" x14ac:dyDescent="0.15">
      <c r="A33" s="27"/>
      <c r="B33" s="57" t="s">
        <v>48</v>
      </c>
      <c r="C33" s="228">
        <v>-55.212000000000003</v>
      </c>
      <c r="D33" s="228">
        <v>-850.58900000000006</v>
      </c>
      <c r="E33" s="228">
        <v>-1.673</v>
      </c>
      <c r="F33" s="193">
        <v>0</v>
      </c>
      <c r="G33" s="193">
        <v>0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2.75" customHeight="1" x14ac:dyDescent="0.15">
      <c r="A34" s="34"/>
      <c r="B34" s="51" t="s">
        <v>208</v>
      </c>
      <c r="C34" s="77">
        <f t="shared" ref="C34:L34" si="4">SUM(C27:C33)</f>
        <v>-55.324000000000012</v>
      </c>
      <c r="D34" s="77">
        <f t="shared" si="4"/>
        <v>34.392999999999915</v>
      </c>
      <c r="E34" s="77">
        <f t="shared" si="4"/>
        <v>-8.7089999999999996</v>
      </c>
      <c r="F34" s="77">
        <f t="shared" si="4"/>
        <v>294.779</v>
      </c>
      <c r="G34" s="77">
        <f t="shared" si="4"/>
        <v>-200</v>
      </c>
      <c r="H34" s="77">
        <f t="shared" si="4"/>
        <v>-200</v>
      </c>
      <c r="I34" s="77">
        <f t="shared" si="4"/>
        <v>-200</v>
      </c>
      <c r="J34" s="77">
        <f t="shared" si="4"/>
        <v>-200</v>
      </c>
      <c r="K34" s="77">
        <f t="shared" si="4"/>
        <v>-464.68799999999987</v>
      </c>
      <c r="L34" s="77">
        <f t="shared" si="4"/>
        <v>-625.00000000000011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2.75" customHeight="1" x14ac:dyDescent="0.15">
      <c r="A35" s="27"/>
      <c r="B35" s="27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2.75" customHeight="1" x14ac:dyDescent="0.15">
      <c r="A36" s="27"/>
      <c r="B36" s="57" t="s">
        <v>209</v>
      </c>
      <c r="C36" s="55"/>
      <c r="D36" s="55">
        <f t="shared" ref="D36:E36" si="5">C38</f>
        <v>10.1</v>
      </c>
      <c r="E36" s="55">
        <f t="shared" ref="E36" si="6">D38</f>
        <v>262.35799999999909</v>
      </c>
      <c r="F36" s="55">
        <f t="shared" ref="F36" si="7">E38</f>
        <v>281.19399999999922</v>
      </c>
      <c r="G36" s="55">
        <f t="shared" ref="G36" ca="1" si="8">F38</f>
        <v>260.30761016035518</v>
      </c>
      <c r="H36" s="55">
        <f t="shared" ref="H36" ca="1" si="9">G38</f>
        <v>255.5786783134908</v>
      </c>
      <c r="I36" s="55">
        <f t="shared" ref="I36" ca="1" si="10">H38</f>
        <v>288.4811863687043</v>
      </c>
      <c r="J36" s="55">
        <f t="shared" ref="J36" ca="1" si="11">I38</f>
        <v>361.9843453538976</v>
      </c>
      <c r="K36" s="55">
        <f t="shared" ref="K36" ca="1" si="12">J38</f>
        <v>479.36801167708376</v>
      </c>
      <c r="L36" s="55">
        <f t="shared" ref="L36" ca="1" si="13">K38</f>
        <v>388.68712342988789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2.75" customHeight="1" x14ac:dyDescent="0.15">
      <c r="A37" s="27"/>
      <c r="B37" s="57" t="s">
        <v>210</v>
      </c>
      <c r="C37" s="194"/>
      <c r="D37" s="194">
        <f>+D19+D25+D34</f>
        <v>252.25799999999907</v>
      </c>
      <c r="E37" s="194">
        <f t="shared" ref="E37:L37" si="14">+E19+E25+E34</f>
        <v>18.83600000000013</v>
      </c>
      <c r="F37" s="194">
        <f t="shared" ca="1" si="14"/>
        <v>-20.886389839644039</v>
      </c>
      <c r="G37" s="194">
        <f t="shared" ca="1" si="14"/>
        <v>-4.7289318468643842</v>
      </c>
      <c r="H37" s="194">
        <f t="shared" ca="1" si="14"/>
        <v>32.902508055213502</v>
      </c>
      <c r="I37" s="194">
        <f t="shared" ca="1" si="14"/>
        <v>73.503158985193295</v>
      </c>
      <c r="J37" s="194">
        <f t="shared" ca="1" si="14"/>
        <v>117.38366632318616</v>
      </c>
      <c r="K37" s="194">
        <f t="shared" ca="1" si="14"/>
        <v>-90.680888247195867</v>
      </c>
      <c r="L37" s="194">
        <f t="shared" ca="1" si="14"/>
        <v>-182.20507435171749</v>
      </c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2.75" customHeight="1" x14ac:dyDescent="0.15">
      <c r="A38" s="27"/>
      <c r="B38" s="53" t="s">
        <v>211</v>
      </c>
      <c r="C38" s="55">
        <f>'BS - Gold Solution'!C4</f>
        <v>10.1</v>
      </c>
      <c r="D38" s="55">
        <f>+D37+D36</f>
        <v>262.35799999999909</v>
      </c>
      <c r="E38" s="55">
        <f t="shared" ref="E38:L38" si="15">+E37+E36</f>
        <v>281.19399999999922</v>
      </c>
      <c r="F38" s="55">
        <f t="shared" ca="1" si="15"/>
        <v>260.30761016035518</v>
      </c>
      <c r="G38" s="55">
        <f t="shared" ca="1" si="15"/>
        <v>255.5786783134908</v>
      </c>
      <c r="H38" s="55">
        <f t="shared" ca="1" si="15"/>
        <v>288.4811863687043</v>
      </c>
      <c r="I38" s="55">
        <f t="shared" ca="1" si="15"/>
        <v>361.9843453538976</v>
      </c>
      <c r="J38" s="55">
        <f t="shared" ca="1" si="15"/>
        <v>479.36801167708376</v>
      </c>
      <c r="K38" s="55">
        <f t="shared" ca="1" si="15"/>
        <v>388.68712342988789</v>
      </c>
      <c r="L38" s="55">
        <f t="shared" ca="1" si="15"/>
        <v>206.48204907817041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2.75" customHeight="1" x14ac:dyDescent="0.15">
      <c r="A39" s="27"/>
      <c r="B39" s="53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2.75" customHeight="1" x14ac:dyDescent="0.15">
      <c r="A40" s="27"/>
      <c r="B40" s="109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2.75" customHeight="1" x14ac:dyDescent="0.15">
      <c r="A41" s="27"/>
      <c r="B41" s="27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2.75" customHeight="1" x14ac:dyDescent="0.15">
      <c r="A42" s="34"/>
      <c r="B42" s="51" t="s">
        <v>212</v>
      </c>
      <c r="C42" s="77">
        <f>IC19+C21</f>
        <v>-178.16200000000001</v>
      </c>
      <c r="D42" s="77">
        <f>D19+D21</f>
        <v>211.47099999999915</v>
      </c>
      <c r="E42" s="77">
        <f t="shared" ref="E42:L42" si="16">E19+E21</f>
        <v>149.91900000000018</v>
      </c>
      <c r="F42" s="77">
        <f t="shared" ca="1" si="16"/>
        <v>134.33461016035596</v>
      </c>
      <c r="G42" s="77">
        <f t="shared" ca="1" si="16"/>
        <v>195.27106815313562</v>
      </c>
      <c r="H42" s="77">
        <f t="shared" ca="1" si="16"/>
        <v>232.9025080552135</v>
      </c>
      <c r="I42" s="77">
        <f t="shared" ca="1" si="16"/>
        <v>273.50315898519329</v>
      </c>
      <c r="J42" s="77">
        <f t="shared" ca="1" si="16"/>
        <v>317.38366632318616</v>
      </c>
      <c r="K42" s="77">
        <f t="shared" ca="1" si="16"/>
        <v>374.00711175280401</v>
      </c>
      <c r="L42" s="77">
        <f t="shared" ca="1" si="16"/>
        <v>442.79492564828263</v>
      </c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2.75" customHeight="1" x14ac:dyDescent="0.15">
      <c r="A43" s="27"/>
      <c r="B43" s="53" t="s">
        <v>213</v>
      </c>
      <c r="C43" s="138">
        <f>+C42/'IS - Gold Solution'!C55</f>
        <v>-3.14773851590106</v>
      </c>
      <c r="D43" s="138">
        <f>+D42/'IS - Gold Solution'!D55</f>
        <v>3.729647266313918</v>
      </c>
      <c r="E43" s="138">
        <f>+E42/'IS - Gold Solution'!E55</f>
        <v>2.6394190140845102</v>
      </c>
      <c r="F43" s="138">
        <f ca="1">+F42/'IS - Gold Solution'!F55</f>
        <v>2.4682519092394299</v>
      </c>
      <c r="G43" s="138">
        <f ca="1">+G42/'IS - Gold Solution'!G55</f>
        <v>3.7516055360832974</v>
      </c>
      <c r="H43" s="138">
        <f ca="1">+H42/'IS - Gold Solution'!H55</f>
        <v>4.6885255773570913</v>
      </c>
      <c r="I43" s="138">
        <f ca="1">+I42/'IS - Gold Solution'!I55</f>
        <v>5.7823078009554614</v>
      </c>
      <c r="J43" s="138">
        <f ca="1">+J42/'IS - Gold Solution'!J55</f>
        <v>7.0647449376335265</v>
      </c>
      <c r="K43" s="138">
        <f ca="1">+K42/'IS - Gold Solution'!K55</f>
        <v>8.7898263631681317</v>
      </c>
      <c r="L43" s="138">
        <f ca="1">+L42/'IS - Gold Solution'!L55</f>
        <v>11.021653407549039</v>
      </c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2.75" customHeight="1" x14ac:dyDescent="0.15">
      <c r="A44" s="27"/>
      <c r="B44" s="53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2.75" customHeight="1" x14ac:dyDescent="0.15">
      <c r="A45" s="27"/>
      <c r="B45" s="27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2.75" customHeight="1" x14ac:dyDescent="0.15">
      <c r="A46" s="27"/>
      <c r="B46" s="27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2.75" customHeight="1" x14ac:dyDescent="0.15">
      <c r="A47" s="27"/>
      <c r="B47" s="27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2.75" customHeight="1" x14ac:dyDescent="0.15">
      <c r="A48" s="27"/>
      <c r="B48" s="27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2.75" customHeight="1" x14ac:dyDescent="0.15">
      <c r="A49" s="27"/>
      <c r="B49" s="27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2.75" customHeight="1" x14ac:dyDescent="0.15">
      <c r="A50" s="27"/>
      <c r="B50" s="27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2.75" customHeight="1" x14ac:dyDescent="0.15">
      <c r="A51" s="27"/>
      <c r="B51" s="27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2.75" customHeight="1" x14ac:dyDescent="0.15">
      <c r="A52" s="27"/>
      <c r="B52" s="27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2.75" customHeight="1" x14ac:dyDescent="0.15">
      <c r="A53" s="27"/>
      <c r="B53" s="27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2.75" customHeight="1" x14ac:dyDescent="0.15">
      <c r="A54" s="27"/>
      <c r="B54" s="27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2.75" customHeight="1" x14ac:dyDescent="0.15">
      <c r="A55" s="27"/>
      <c r="B55" s="27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2.75" customHeight="1" x14ac:dyDescent="0.15">
      <c r="A56" s="27"/>
      <c r="B56" s="27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2.75" customHeight="1" x14ac:dyDescent="0.15">
      <c r="A57" s="27"/>
      <c r="B57" s="27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2.75" customHeight="1" x14ac:dyDescent="0.15">
      <c r="A58" s="27"/>
      <c r="B58" s="27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2.75" customHeight="1" x14ac:dyDescent="0.15">
      <c r="A59" s="27"/>
      <c r="B59" s="27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2.75" customHeight="1" x14ac:dyDescent="0.15">
      <c r="A60" s="27"/>
      <c r="B60" s="27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2.75" customHeight="1" x14ac:dyDescent="0.15">
      <c r="A61" s="27"/>
      <c r="B61" s="27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2.75" customHeight="1" x14ac:dyDescent="0.15">
      <c r="A62" s="27"/>
      <c r="B62" s="27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2.75" customHeight="1" x14ac:dyDescent="0.15">
      <c r="A63" s="27"/>
      <c r="B63" s="27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2.75" customHeight="1" x14ac:dyDescent="0.15">
      <c r="A64" s="27"/>
      <c r="B64" s="27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2.75" customHeight="1" x14ac:dyDescent="0.15">
      <c r="A65" s="27"/>
      <c r="B65" s="27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2.75" customHeight="1" x14ac:dyDescent="0.15">
      <c r="A66" s="27"/>
      <c r="B66" s="27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2.75" customHeight="1" x14ac:dyDescent="0.15">
      <c r="A67" s="27"/>
      <c r="B67" s="27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2.75" customHeight="1" x14ac:dyDescent="0.15">
      <c r="A68" s="27"/>
      <c r="B68" s="27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2.75" customHeight="1" x14ac:dyDescent="0.15">
      <c r="A69" s="27"/>
      <c r="B69" s="27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2.75" customHeight="1" x14ac:dyDescent="0.15">
      <c r="A70" s="27"/>
      <c r="B70" s="27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2.75" customHeight="1" x14ac:dyDescent="0.15">
      <c r="A71" s="27"/>
      <c r="B71" s="27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2.75" customHeight="1" x14ac:dyDescent="0.15">
      <c r="A72" s="27"/>
      <c r="B72" s="27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2.75" customHeight="1" x14ac:dyDescent="0.15">
      <c r="A73" s="27"/>
      <c r="B73" s="27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2.75" customHeight="1" x14ac:dyDescent="0.15">
      <c r="A74" s="27"/>
      <c r="B74" s="27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2.75" customHeight="1" x14ac:dyDescent="0.15">
      <c r="A75" s="27"/>
      <c r="B75" s="27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2.75" customHeight="1" x14ac:dyDescent="0.15">
      <c r="A76" s="27"/>
      <c r="B76" s="27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2.75" customHeight="1" x14ac:dyDescent="0.15">
      <c r="A77" s="27"/>
      <c r="B77" s="27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2.75" customHeight="1" x14ac:dyDescent="0.15">
      <c r="A78" s="27"/>
      <c r="B78" s="27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2.75" customHeight="1" x14ac:dyDescent="0.15">
      <c r="A79" s="27"/>
      <c r="B79" s="27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2.75" customHeight="1" x14ac:dyDescent="0.15">
      <c r="A80" s="27"/>
      <c r="B80" s="27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2.75" customHeight="1" x14ac:dyDescent="0.15">
      <c r="A81" s="27"/>
      <c r="B81" s="27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2.75" customHeight="1" x14ac:dyDescent="0.15">
      <c r="A82" s="27"/>
      <c r="B82" s="27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2.75" customHeight="1" x14ac:dyDescent="0.15">
      <c r="A83" s="27"/>
      <c r="B83" s="27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2.75" customHeight="1" x14ac:dyDescent="0.15">
      <c r="A84" s="27"/>
      <c r="B84" s="27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2.75" customHeight="1" x14ac:dyDescent="0.15">
      <c r="A85" s="27"/>
      <c r="B85" s="27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2.75" customHeight="1" x14ac:dyDescent="0.15">
      <c r="A86" s="27"/>
      <c r="B86" s="27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2.75" customHeight="1" x14ac:dyDescent="0.15">
      <c r="A87" s="27"/>
      <c r="B87" s="27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2.75" customHeight="1" x14ac:dyDescent="0.15">
      <c r="A88" s="27"/>
      <c r="B88" s="27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2.75" customHeight="1" x14ac:dyDescent="0.15">
      <c r="A89" s="27"/>
      <c r="B89" s="27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2.75" customHeight="1" x14ac:dyDescent="0.15">
      <c r="A90" s="27"/>
      <c r="B90" s="27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2.75" customHeight="1" x14ac:dyDescent="0.15">
      <c r="A91" s="27"/>
      <c r="B91" s="27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2.75" customHeight="1" x14ac:dyDescent="0.15">
      <c r="A92" s="27"/>
      <c r="B92" s="27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2.75" customHeight="1" x14ac:dyDescent="0.15">
      <c r="A93" s="27"/>
      <c r="B93" s="27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2.75" customHeight="1" x14ac:dyDescent="0.15">
      <c r="A94" s="27"/>
      <c r="B94" s="27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2.75" customHeight="1" x14ac:dyDescent="0.15">
      <c r="A95" s="27"/>
      <c r="B95" s="27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2.75" customHeight="1" x14ac:dyDescent="0.15">
      <c r="A96" s="27"/>
      <c r="B96" s="27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2.75" customHeight="1" x14ac:dyDescent="0.15">
      <c r="A97" s="27"/>
      <c r="B97" s="27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2.75" customHeight="1" x14ac:dyDescent="0.15">
      <c r="A98" s="27"/>
      <c r="B98" s="27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2.75" customHeight="1" x14ac:dyDescent="0.15">
      <c r="A99" s="27"/>
      <c r="B99" s="27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2.75" customHeight="1" x14ac:dyDescent="0.15">
      <c r="A100" s="27"/>
      <c r="B100" s="27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2.75" customHeight="1" x14ac:dyDescent="0.15">
      <c r="A101" s="27"/>
      <c r="B101" s="27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2.75" customHeight="1" x14ac:dyDescent="0.15">
      <c r="A102" s="27"/>
      <c r="B102" s="27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2.75" customHeight="1" x14ac:dyDescent="0.15">
      <c r="A103" s="27"/>
      <c r="B103" s="27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2.75" customHeight="1" x14ac:dyDescent="0.15">
      <c r="A104" s="27"/>
      <c r="B104" s="27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2.75" customHeight="1" x14ac:dyDescent="0.15">
      <c r="A105" s="27"/>
      <c r="B105" s="27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2.75" customHeight="1" x14ac:dyDescent="0.15">
      <c r="A106" s="27"/>
      <c r="B106" s="27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2.75" customHeight="1" x14ac:dyDescent="0.15">
      <c r="A107" s="27"/>
      <c r="B107" s="27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2.75" customHeight="1" x14ac:dyDescent="0.15">
      <c r="A108" s="27"/>
      <c r="B108" s="27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2.75" customHeight="1" x14ac:dyDescent="0.15">
      <c r="A109" s="27"/>
      <c r="B109" s="27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2.75" customHeight="1" x14ac:dyDescent="0.15">
      <c r="A110" s="27"/>
      <c r="B110" s="27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2.75" customHeight="1" x14ac:dyDescent="0.15">
      <c r="A111" s="27"/>
      <c r="B111" s="27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2.75" customHeight="1" x14ac:dyDescent="0.15">
      <c r="A112" s="27"/>
      <c r="B112" s="27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2.75" customHeight="1" x14ac:dyDescent="0.15">
      <c r="A113" s="27"/>
      <c r="B113" s="27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2.75" customHeight="1" x14ac:dyDescent="0.15">
      <c r="A114" s="27"/>
      <c r="B114" s="27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2.75" customHeight="1" x14ac:dyDescent="0.15">
      <c r="A115" s="27"/>
      <c r="B115" s="27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2.75" customHeight="1" x14ac:dyDescent="0.15">
      <c r="A116" s="27"/>
      <c r="B116" s="27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2.75" customHeight="1" x14ac:dyDescent="0.15">
      <c r="A117" s="27"/>
      <c r="B117" s="27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2.75" customHeight="1" x14ac:dyDescent="0.15">
      <c r="A118" s="27"/>
      <c r="B118" s="27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2.75" customHeight="1" x14ac:dyDescent="0.15">
      <c r="A119" s="27"/>
      <c r="B119" s="27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2.75" customHeight="1" x14ac:dyDescent="0.15">
      <c r="A120" s="27"/>
      <c r="B120" s="27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2.75" customHeight="1" x14ac:dyDescent="0.15">
      <c r="A121" s="27"/>
      <c r="B121" s="27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2.75" customHeight="1" x14ac:dyDescent="0.15">
      <c r="A122" s="27"/>
      <c r="B122" s="27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2.75" customHeight="1" x14ac:dyDescent="0.15">
      <c r="A123" s="27"/>
      <c r="B123" s="27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2.75" customHeight="1" x14ac:dyDescent="0.15">
      <c r="A124" s="27"/>
      <c r="B124" s="27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2.75" customHeight="1" x14ac:dyDescent="0.15">
      <c r="A125" s="27"/>
      <c r="B125" s="27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2.75" customHeight="1" x14ac:dyDescent="0.1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2.75" customHeight="1" x14ac:dyDescent="0.1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2.75" customHeight="1" x14ac:dyDescent="0.1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2.75" customHeight="1" x14ac:dyDescent="0.1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2.75" customHeight="1" x14ac:dyDescent="0.1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2.75" customHeight="1" x14ac:dyDescent="0.1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2.75" customHeight="1" x14ac:dyDescent="0.1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2.75" customHeight="1" x14ac:dyDescent="0.1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2.75" customHeight="1" x14ac:dyDescent="0.1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2.75" customHeight="1" x14ac:dyDescent="0.1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2.75" customHeight="1" x14ac:dyDescent="0.1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2.75" customHeight="1" x14ac:dyDescent="0.1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2.75" customHeight="1" x14ac:dyDescent="0.1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2.75" customHeight="1" x14ac:dyDescent="0.1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2.75" customHeight="1" x14ac:dyDescent="0.1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2.75" customHeight="1" x14ac:dyDescent="0.1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2.75" customHeight="1" x14ac:dyDescent="0.1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2.75" customHeight="1" x14ac:dyDescent="0.1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2.75" customHeight="1" x14ac:dyDescent="0.1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2.75" customHeight="1" x14ac:dyDescent="0.1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2.75" customHeight="1" x14ac:dyDescent="0.1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2.75" customHeight="1" x14ac:dyDescent="0.1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2.75" customHeight="1" x14ac:dyDescent="0.1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2.75" customHeight="1" x14ac:dyDescent="0.1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2.75" customHeight="1" x14ac:dyDescent="0.1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2.75" customHeight="1" x14ac:dyDescent="0.1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2.75" customHeight="1" x14ac:dyDescent="0.1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2.75" customHeight="1" x14ac:dyDescent="0.1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2.75" customHeight="1" x14ac:dyDescent="0.1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2.75" customHeight="1" x14ac:dyDescent="0.1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2.75" customHeight="1" x14ac:dyDescent="0.1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2.75" customHeight="1" x14ac:dyDescent="0.1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2.75" customHeight="1" x14ac:dyDescent="0.1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2.75" customHeight="1" x14ac:dyDescent="0.1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2.75" customHeight="1" x14ac:dyDescent="0.1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2.75" customHeight="1" x14ac:dyDescent="0.1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2.75" customHeight="1" x14ac:dyDescent="0.1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2.75" customHeight="1" x14ac:dyDescent="0.1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2.75" customHeight="1" x14ac:dyDescent="0.1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2.75" customHeight="1" x14ac:dyDescent="0.1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2.75" customHeight="1" x14ac:dyDescent="0.1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2.75" customHeight="1" x14ac:dyDescent="0.1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2.75" customHeight="1" x14ac:dyDescent="0.1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2.75" customHeight="1" x14ac:dyDescent="0.1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2.75" customHeight="1" x14ac:dyDescent="0.1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2.75" customHeight="1" x14ac:dyDescent="0.1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2.75" customHeight="1" x14ac:dyDescent="0.1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2.75" customHeight="1" x14ac:dyDescent="0.1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2.75" customHeight="1" x14ac:dyDescent="0.1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2.75" customHeight="1" x14ac:dyDescent="0.1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2.75" customHeight="1" x14ac:dyDescent="0.1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2.75" customHeight="1" x14ac:dyDescent="0.1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2.75" customHeight="1" x14ac:dyDescent="0.1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2.75" customHeight="1" x14ac:dyDescent="0.1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2.75" customHeight="1" x14ac:dyDescent="0.1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2.75" customHeight="1" x14ac:dyDescent="0.1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2.75" customHeight="1" x14ac:dyDescent="0.1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2.75" customHeight="1" x14ac:dyDescent="0.1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2.75" customHeight="1" x14ac:dyDescent="0.1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2.75" customHeight="1" x14ac:dyDescent="0.1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2.75" customHeight="1" x14ac:dyDescent="0.1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2.75" customHeight="1" x14ac:dyDescent="0.1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2.75" customHeight="1" x14ac:dyDescent="0.1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2.75" customHeight="1" x14ac:dyDescent="0.1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2.75" customHeight="1" x14ac:dyDescent="0.1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2.75" customHeight="1" x14ac:dyDescent="0.1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2.75" customHeight="1" x14ac:dyDescent="0.1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2.75" customHeight="1" x14ac:dyDescent="0.1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2.75" customHeight="1" x14ac:dyDescent="0.1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2.75" customHeight="1" x14ac:dyDescent="0.1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2.75" customHeight="1" x14ac:dyDescent="0.1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2.75" customHeight="1" x14ac:dyDescent="0.1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2.75" customHeight="1" x14ac:dyDescent="0.1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2.75" customHeight="1" x14ac:dyDescent="0.1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2.75" customHeight="1" x14ac:dyDescent="0.1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2.75" customHeight="1" x14ac:dyDescent="0.1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2.75" customHeight="1" x14ac:dyDescent="0.1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2.75" customHeight="1" x14ac:dyDescent="0.1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2.75" customHeight="1" x14ac:dyDescent="0.1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2.75" customHeight="1" x14ac:dyDescent="0.1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2.75" customHeight="1" x14ac:dyDescent="0.1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2.75" customHeight="1" x14ac:dyDescent="0.1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2.75" customHeight="1" x14ac:dyDescent="0.1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2.75" customHeight="1" x14ac:dyDescent="0.1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2.75" customHeight="1" x14ac:dyDescent="0.1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2.75" customHeight="1" x14ac:dyDescent="0.1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2.75" customHeight="1" x14ac:dyDescent="0.1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2.75" customHeight="1" x14ac:dyDescent="0.1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2.75" customHeight="1" x14ac:dyDescent="0.1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2.75" customHeight="1" x14ac:dyDescent="0.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2.75" customHeight="1" x14ac:dyDescent="0.1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2.75" customHeight="1" x14ac:dyDescent="0.1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2.75" customHeight="1" x14ac:dyDescent="0.1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2.75" customHeight="1" x14ac:dyDescent="0.1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2.75" customHeight="1" x14ac:dyDescent="0.1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2.75" customHeight="1" x14ac:dyDescent="0.1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2.75" customHeight="1" x14ac:dyDescent="0.1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2.75" customHeight="1" x14ac:dyDescent="0.1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2.75" customHeight="1" x14ac:dyDescent="0.1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2.75" customHeight="1" x14ac:dyDescent="0.1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2.75" customHeight="1" x14ac:dyDescent="0.1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2.75" customHeight="1" x14ac:dyDescent="0.1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2.75" customHeight="1" x14ac:dyDescent="0.1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2.75" customHeight="1" x14ac:dyDescent="0.1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2.75" customHeight="1" x14ac:dyDescent="0.1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2.75" customHeight="1" x14ac:dyDescent="0.1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2.75" customHeight="1" x14ac:dyDescent="0.1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2.75" customHeight="1" x14ac:dyDescent="0.1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2.75" customHeight="1" x14ac:dyDescent="0.1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2.75" customHeight="1" x14ac:dyDescent="0.1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2.75" customHeight="1" x14ac:dyDescent="0.1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2.75" customHeight="1" x14ac:dyDescent="0.1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2.75" customHeight="1" x14ac:dyDescent="0.1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2.75" customHeight="1" x14ac:dyDescent="0.1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2.75" customHeight="1" x14ac:dyDescent="0.1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2.75" customHeight="1" x14ac:dyDescent="0.1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2.75" customHeight="1" x14ac:dyDescent="0.1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2.75" customHeight="1" x14ac:dyDescent="0.1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2.75" customHeight="1" x14ac:dyDescent="0.1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2.75" customHeight="1" x14ac:dyDescent="0.1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2.75" customHeight="1" x14ac:dyDescent="0.1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2.75" customHeight="1" x14ac:dyDescent="0.1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2.75" customHeight="1" x14ac:dyDescent="0.1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2.75" customHeight="1" x14ac:dyDescent="0.1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2.75" customHeight="1" x14ac:dyDescent="0.1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2.75" customHeight="1" x14ac:dyDescent="0.1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2.75" customHeight="1" x14ac:dyDescent="0.1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2.75" customHeight="1" x14ac:dyDescent="0.1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2.75" customHeight="1" x14ac:dyDescent="0.1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2.75" customHeight="1" x14ac:dyDescent="0.1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2.75" customHeight="1" x14ac:dyDescent="0.1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2.75" customHeight="1" x14ac:dyDescent="0.1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2.75" customHeight="1" x14ac:dyDescent="0.1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2.75" customHeight="1" x14ac:dyDescent="0.1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2.75" customHeight="1" x14ac:dyDescent="0.1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2.75" customHeight="1" x14ac:dyDescent="0.1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2.75" customHeight="1" x14ac:dyDescent="0.1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2.75" customHeight="1" x14ac:dyDescent="0.1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2.75" customHeight="1" x14ac:dyDescent="0.1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2.75" customHeight="1" x14ac:dyDescent="0.1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2.75" customHeight="1" x14ac:dyDescent="0.1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2.75" customHeight="1" x14ac:dyDescent="0.1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2.75" customHeight="1" x14ac:dyDescent="0.1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2.75" customHeight="1" x14ac:dyDescent="0.1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2.75" customHeight="1" x14ac:dyDescent="0.1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2.75" customHeight="1" x14ac:dyDescent="0.1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2.75" customHeight="1" x14ac:dyDescent="0.1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2.75" customHeight="1" x14ac:dyDescent="0.1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2.75" customHeight="1" x14ac:dyDescent="0.1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2.75" customHeight="1" x14ac:dyDescent="0.1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2.75" customHeight="1" x14ac:dyDescent="0.1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2.75" customHeight="1" x14ac:dyDescent="0.1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2.75" customHeight="1" x14ac:dyDescent="0.1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2.75" customHeight="1" x14ac:dyDescent="0.1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2.75" customHeight="1" x14ac:dyDescent="0.1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2.75" customHeight="1" x14ac:dyDescent="0.1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2.75" customHeight="1" x14ac:dyDescent="0.1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2.75" customHeight="1" x14ac:dyDescent="0.1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2.75" customHeight="1" x14ac:dyDescent="0.1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2.75" customHeight="1" x14ac:dyDescent="0.1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2.75" customHeight="1" x14ac:dyDescent="0.1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2.75" customHeight="1" x14ac:dyDescent="0.1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2.75" customHeight="1" x14ac:dyDescent="0.1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2.75" customHeight="1" x14ac:dyDescent="0.1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2.75" customHeight="1" x14ac:dyDescent="0.1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2.75" customHeight="1" x14ac:dyDescent="0.1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2.75" customHeight="1" x14ac:dyDescent="0.1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2.75" customHeight="1" x14ac:dyDescent="0.1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2.75" customHeight="1" x14ac:dyDescent="0.1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2.75" customHeight="1" x14ac:dyDescent="0.1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2.75" customHeight="1" x14ac:dyDescent="0.1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2.75" customHeight="1" x14ac:dyDescent="0.1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2.75" customHeight="1" x14ac:dyDescent="0.1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2.75" customHeight="1" x14ac:dyDescent="0.1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2.75" customHeight="1" x14ac:dyDescent="0.1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2.75" customHeight="1" x14ac:dyDescent="0.1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2.75" customHeight="1" x14ac:dyDescent="0.1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2.75" customHeight="1" x14ac:dyDescent="0.1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2.75" customHeight="1" x14ac:dyDescent="0.1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2.75" customHeight="1" x14ac:dyDescent="0.1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2.75" customHeight="1" x14ac:dyDescent="0.1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2.75" customHeight="1" x14ac:dyDescent="0.1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2.75" customHeight="1" x14ac:dyDescent="0.1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2.75" customHeight="1" x14ac:dyDescent="0.1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2.75" customHeight="1" x14ac:dyDescent="0.1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2.75" customHeight="1" x14ac:dyDescent="0.1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2.75" customHeight="1" x14ac:dyDescent="0.1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2.75" customHeight="1" x14ac:dyDescent="0.1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2.75" customHeight="1" x14ac:dyDescent="0.1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2.75" customHeight="1" x14ac:dyDescent="0.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2.75" customHeight="1" x14ac:dyDescent="0.1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2.75" customHeight="1" x14ac:dyDescent="0.1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2.75" customHeight="1" x14ac:dyDescent="0.1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2.75" customHeight="1" x14ac:dyDescent="0.1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2.75" customHeight="1" x14ac:dyDescent="0.1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2.75" customHeight="1" x14ac:dyDescent="0.1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2.75" customHeight="1" x14ac:dyDescent="0.1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2.75" customHeight="1" x14ac:dyDescent="0.1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2.75" customHeight="1" x14ac:dyDescent="0.1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2.75" customHeight="1" x14ac:dyDescent="0.1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2.75" customHeight="1" x14ac:dyDescent="0.1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2.75" customHeight="1" x14ac:dyDescent="0.1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2.75" customHeight="1" x14ac:dyDescent="0.1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2.75" customHeight="1" x14ac:dyDescent="0.1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2.75" customHeight="1" x14ac:dyDescent="0.1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2.75" customHeight="1" x14ac:dyDescent="0.1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2.75" customHeight="1" x14ac:dyDescent="0.1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2.75" customHeight="1" x14ac:dyDescent="0.1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2.75" customHeight="1" x14ac:dyDescent="0.1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2.75" customHeight="1" x14ac:dyDescent="0.1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2.75" customHeight="1" x14ac:dyDescent="0.1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2.75" customHeight="1" x14ac:dyDescent="0.1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2.75" customHeight="1" x14ac:dyDescent="0.1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2.75" customHeight="1" x14ac:dyDescent="0.1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2.75" customHeight="1" x14ac:dyDescent="0.1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2.75" customHeight="1" x14ac:dyDescent="0.1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2.75" customHeight="1" x14ac:dyDescent="0.1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2.75" customHeight="1" x14ac:dyDescent="0.1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2.75" customHeight="1" x14ac:dyDescent="0.1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2.75" customHeight="1" x14ac:dyDescent="0.1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2.75" customHeight="1" x14ac:dyDescent="0.1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2.75" customHeight="1" x14ac:dyDescent="0.1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2.75" customHeight="1" x14ac:dyDescent="0.1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2.75" customHeight="1" x14ac:dyDescent="0.1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2.75" customHeight="1" x14ac:dyDescent="0.1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2.75" customHeight="1" x14ac:dyDescent="0.1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2.75" customHeight="1" x14ac:dyDescent="0.1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2.75" customHeight="1" x14ac:dyDescent="0.1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2.75" customHeight="1" x14ac:dyDescent="0.1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2.75" customHeight="1" x14ac:dyDescent="0.1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2.75" customHeight="1" x14ac:dyDescent="0.1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2.75" customHeight="1" x14ac:dyDescent="0.1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2.75" customHeight="1" x14ac:dyDescent="0.1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2.75" customHeight="1" x14ac:dyDescent="0.1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2.75" customHeight="1" x14ac:dyDescent="0.1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2.75" customHeight="1" x14ac:dyDescent="0.1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2.75" customHeight="1" x14ac:dyDescent="0.1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2.75" customHeight="1" x14ac:dyDescent="0.1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2.75" customHeight="1" x14ac:dyDescent="0.1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2.75" customHeight="1" x14ac:dyDescent="0.1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2.75" customHeight="1" x14ac:dyDescent="0.1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2.75" customHeight="1" x14ac:dyDescent="0.1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2.75" customHeight="1" x14ac:dyDescent="0.1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2.75" customHeight="1" x14ac:dyDescent="0.1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2.75" customHeight="1" x14ac:dyDescent="0.1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2.75" customHeight="1" x14ac:dyDescent="0.1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2.75" customHeight="1" x14ac:dyDescent="0.1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2.75" customHeight="1" x14ac:dyDescent="0.1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2.75" customHeight="1" x14ac:dyDescent="0.1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2.75" customHeight="1" x14ac:dyDescent="0.1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2.75" customHeight="1" x14ac:dyDescent="0.1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2.75" customHeight="1" x14ac:dyDescent="0.1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2.75" customHeight="1" x14ac:dyDescent="0.1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2.75" customHeight="1" x14ac:dyDescent="0.1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2.75" customHeight="1" x14ac:dyDescent="0.1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2.75" customHeight="1" x14ac:dyDescent="0.1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2.75" customHeight="1" x14ac:dyDescent="0.1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2.75" customHeight="1" x14ac:dyDescent="0.1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2.75" customHeight="1" x14ac:dyDescent="0.1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2.75" customHeight="1" x14ac:dyDescent="0.1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2.75" customHeight="1" x14ac:dyDescent="0.1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2.75" customHeight="1" x14ac:dyDescent="0.1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2.75" customHeight="1" x14ac:dyDescent="0.1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2.75" customHeight="1" x14ac:dyDescent="0.1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2.75" customHeight="1" x14ac:dyDescent="0.1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2.75" customHeight="1" x14ac:dyDescent="0.1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2.75" customHeight="1" x14ac:dyDescent="0.1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2.75" customHeight="1" x14ac:dyDescent="0.1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2.75" customHeight="1" x14ac:dyDescent="0.1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2.75" customHeight="1" x14ac:dyDescent="0.1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2.75" customHeight="1" x14ac:dyDescent="0.1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2.75" customHeight="1" x14ac:dyDescent="0.1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2.75" customHeight="1" x14ac:dyDescent="0.1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2.75" customHeight="1" x14ac:dyDescent="0.1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2.75" customHeight="1" x14ac:dyDescent="0.1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2.75" customHeight="1" x14ac:dyDescent="0.1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2.75" customHeight="1" x14ac:dyDescent="0.1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2.75" customHeight="1" x14ac:dyDescent="0.1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2.75" customHeight="1" x14ac:dyDescent="0.1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2.75" customHeight="1" x14ac:dyDescent="0.1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2.75" customHeight="1" x14ac:dyDescent="0.1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2.75" customHeight="1" x14ac:dyDescent="0.1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2.75" customHeight="1" x14ac:dyDescent="0.1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2.75" customHeight="1" x14ac:dyDescent="0.1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2.75" customHeight="1" x14ac:dyDescent="0.1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2.75" customHeight="1" x14ac:dyDescent="0.1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2.75" customHeight="1" x14ac:dyDescent="0.1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2.75" customHeight="1" x14ac:dyDescent="0.1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2.75" customHeight="1" x14ac:dyDescent="0.1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2.75" customHeight="1" x14ac:dyDescent="0.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2.75" customHeight="1" x14ac:dyDescent="0.1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2.75" customHeight="1" x14ac:dyDescent="0.1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2.75" customHeight="1" x14ac:dyDescent="0.1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2.75" customHeight="1" x14ac:dyDescent="0.1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2.75" customHeight="1" x14ac:dyDescent="0.1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2.75" customHeight="1" x14ac:dyDescent="0.1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2.75" customHeight="1" x14ac:dyDescent="0.1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2.75" customHeight="1" x14ac:dyDescent="0.1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2.75" customHeight="1" x14ac:dyDescent="0.1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2.75" customHeight="1" x14ac:dyDescent="0.1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2.75" customHeight="1" x14ac:dyDescent="0.1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2.75" customHeight="1" x14ac:dyDescent="0.1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2.75" customHeight="1" x14ac:dyDescent="0.1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2.75" customHeight="1" x14ac:dyDescent="0.1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2.75" customHeight="1" x14ac:dyDescent="0.1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2.75" customHeight="1" x14ac:dyDescent="0.1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2.75" customHeight="1" x14ac:dyDescent="0.1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2.75" customHeight="1" x14ac:dyDescent="0.1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2.75" customHeight="1" x14ac:dyDescent="0.1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2.75" customHeight="1" x14ac:dyDescent="0.1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2.75" customHeight="1" x14ac:dyDescent="0.1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2.75" customHeight="1" x14ac:dyDescent="0.1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2.75" customHeight="1" x14ac:dyDescent="0.1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2.75" customHeight="1" x14ac:dyDescent="0.1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2.75" customHeight="1" x14ac:dyDescent="0.1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2.75" customHeight="1" x14ac:dyDescent="0.1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2.75" customHeight="1" x14ac:dyDescent="0.1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2.75" customHeight="1" x14ac:dyDescent="0.1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2.75" customHeight="1" x14ac:dyDescent="0.1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2.75" customHeight="1" x14ac:dyDescent="0.1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2.75" customHeight="1" x14ac:dyDescent="0.1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2.75" customHeight="1" x14ac:dyDescent="0.1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2.75" customHeight="1" x14ac:dyDescent="0.1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2.75" customHeight="1" x14ac:dyDescent="0.1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2.75" customHeight="1" x14ac:dyDescent="0.1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2.75" customHeight="1" x14ac:dyDescent="0.1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2.75" customHeight="1" x14ac:dyDescent="0.1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2.75" customHeight="1" x14ac:dyDescent="0.1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2.75" customHeight="1" x14ac:dyDescent="0.1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2.75" customHeight="1" x14ac:dyDescent="0.1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2.75" customHeight="1" x14ac:dyDescent="0.1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2.75" customHeight="1" x14ac:dyDescent="0.1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2.75" customHeight="1" x14ac:dyDescent="0.1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2.75" customHeight="1" x14ac:dyDescent="0.1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2.75" customHeight="1" x14ac:dyDescent="0.1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2.75" customHeight="1" x14ac:dyDescent="0.1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2.75" customHeight="1" x14ac:dyDescent="0.1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2.75" customHeight="1" x14ac:dyDescent="0.1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2.75" customHeight="1" x14ac:dyDescent="0.1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2.75" customHeight="1" x14ac:dyDescent="0.1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2.75" customHeight="1" x14ac:dyDescent="0.1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2.75" customHeight="1" x14ac:dyDescent="0.1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2.75" customHeight="1" x14ac:dyDescent="0.1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2.75" customHeight="1" x14ac:dyDescent="0.1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2.75" customHeight="1" x14ac:dyDescent="0.1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2.75" customHeight="1" x14ac:dyDescent="0.1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2.75" customHeight="1" x14ac:dyDescent="0.1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2.75" customHeight="1" x14ac:dyDescent="0.1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2.75" customHeight="1" x14ac:dyDescent="0.1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2.75" customHeight="1" x14ac:dyDescent="0.1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2.75" customHeight="1" x14ac:dyDescent="0.1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2.75" customHeight="1" x14ac:dyDescent="0.1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2.75" customHeight="1" x14ac:dyDescent="0.1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2.75" customHeight="1" x14ac:dyDescent="0.1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2.75" customHeight="1" x14ac:dyDescent="0.1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2.75" customHeight="1" x14ac:dyDescent="0.1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2.75" customHeight="1" x14ac:dyDescent="0.1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2.75" customHeight="1" x14ac:dyDescent="0.1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2.75" customHeight="1" x14ac:dyDescent="0.1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2.75" customHeight="1" x14ac:dyDescent="0.1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2.75" customHeight="1" x14ac:dyDescent="0.1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2.75" customHeight="1" x14ac:dyDescent="0.1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2.75" customHeight="1" x14ac:dyDescent="0.1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2.75" customHeight="1" x14ac:dyDescent="0.1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2.75" customHeight="1" x14ac:dyDescent="0.1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2.75" customHeight="1" x14ac:dyDescent="0.1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2.75" customHeight="1" x14ac:dyDescent="0.1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2.75" customHeight="1" x14ac:dyDescent="0.1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2.75" customHeight="1" x14ac:dyDescent="0.1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2.75" customHeight="1" x14ac:dyDescent="0.1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2.75" customHeight="1" x14ac:dyDescent="0.1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2.75" customHeight="1" x14ac:dyDescent="0.1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2.75" customHeight="1" x14ac:dyDescent="0.1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2.75" customHeight="1" x14ac:dyDescent="0.1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2.75" customHeight="1" x14ac:dyDescent="0.1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2.75" customHeight="1" x14ac:dyDescent="0.1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2.75" customHeight="1" x14ac:dyDescent="0.1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2.75" customHeight="1" x14ac:dyDescent="0.1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2.75" customHeight="1" x14ac:dyDescent="0.1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2.75" customHeight="1" x14ac:dyDescent="0.1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2.75" customHeight="1" x14ac:dyDescent="0.1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2.75" customHeight="1" x14ac:dyDescent="0.1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2.75" customHeight="1" x14ac:dyDescent="0.1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2.75" customHeight="1" x14ac:dyDescent="0.1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2.75" customHeight="1" x14ac:dyDescent="0.1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2.75" customHeight="1" x14ac:dyDescent="0.1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2.75" customHeight="1" x14ac:dyDescent="0.1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2.75" customHeight="1" x14ac:dyDescent="0.1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2.75" customHeight="1" x14ac:dyDescent="0.1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2.75" customHeight="1" x14ac:dyDescent="0.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2.75" customHeight="1" x14ac:dyDescent="0.1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2.75" customHeight="1" x14ac:dyDescent="0.1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2.75" customHeight="1" x14ac:dyDescent="0.1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2.75" customHeight="1" x14ac:dyDescent="0.1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2.75" customHeight="1" x14ac:dyDescent="0.1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2.75" customHeight="1" x14ac:dyDescent="0.1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2.75" customHeight="1" x14ac:dyDescent="0.1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2.75" customHeight="1" x14ac:dyDescent="0.1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2.75" customHeight="1" x14ac:dyDescent="0.1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2.75" customHeight="1" x14ac:dyDescent="0.1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2.75" customHeight="1" x14ac:dyDescent="0.1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2.75" customHeight="1" x14ac:dyDescent="0.1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2.75" customHeight="1" x14ac:dyDescent="0.1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2.75" customHeight="1" x14ac:dyDescent="0.1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2.75" customHeight="1" x14ac:dyDescent="0.1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2.75" customHeight="1" x14ac:dyDescent="0.1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2.75" customHeight="1" x14ac:dyDescent="0.1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2.75" customHeight="1" x14ac:dyDescent="0.1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2.75" customHeight="1" x14ac:dyDescent="0.1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2.75" customHeight="1" x14ac:dyDescent="0.1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2.75" customHeight="1" x14ac:dyDescent="0.1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2.75" customHeight="1" x14ac:dyDescent="0.1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2.75" customHeight="1" x14ac:dyDescent="0.1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2.75" customHeight="1" x14ac:dyDescent="0.1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2.75" customHeight="1" x14ac:dyDescent="0.1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2.75" customHeight="1" x14ac:dyDescent="0.1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2.75" customHeight="1" x14ac:dyDescent="0.1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2.75" customHeight="1" x14ac:dyDescent="0.1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2.75" customHeight="1" x14ac:dyDescent="0.1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2.75" customHeight="1" x14ac:dyDescent="0.1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2.75" customHeight="1" x14ac:dyDescent="0.1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2.75" customHeight="1" x14ac:dyDescent="0.1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2.75" customHeight="1" x14ac:dyDescent="0.1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2.75" customHeight="1" x14ac:dyDescent="0.1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2.75" customHeight="1" x14ac:dyDescent="0.1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2.75" customHeight="1" x14ac:dyDescent="0.1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2.75" customHeight="1" x14ac:dyDescent="0.1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2.75" customHeight="1" x14ac:dyDescent="0.1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2.75" customHeight="1" x14ac:dyDescent="0.1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2.75" customHeight="1" x14ac:dyDescent="0.1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2.75" customHeight="1" x14ac:dyDescent="0.1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2.75" customHeight="1" x14ac:dyDescent="0.1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2.75" customHeight="1" x14ac:dyDescent="0.1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2.75" customHeight="1" x14ac:dyDescent="0.1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2.75" customHeight="1" x14ac:dyDescent="0.1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2.75" customHeight="1" x14ac:dyDescent="0.1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2.75" customHeight="1" x14ac:dyDescent="0.1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2.75" customHeight="1" x14ac:dyDescent="0.1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2.75" customHeight="1" x14ac:dyDescent="0.1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2.75" customHeight="1" x14ac:dyDescent="0.1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2.75" customHeight="1" x14ac:dyDescent="0.1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2.75" customHeight="1" x14ac:dyDescent="0.1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2.75" customHeight="1" x14ac:dyDescent="0.1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2.75" customHeight="1" x14ac:dyDescent="0.1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2.75" customHeight="1" x14ac:dyDescent="0.1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2.75" customHeight="1" x14ac:dyDescent="0.1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2.75" customHeight="1" x14ac:dyDescent="0.1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2.75" customHeight="1" x14ac:dyDescent="0.1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2.75" customHeight="1" x14ac:dyDescent="0.1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2.75" customHeight="1" x14ac:dyDescent="0.1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2.75" customHeight="1" x14ac:dyDescent="0.1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2.75" customHeight="1" x14ac:dyDescent="0.1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2.75" customHeight="1" x14ac:dyDescent="0.1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2.75" customHeight="1" x14ac:dyDescent="0.1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2.75" customHeight="1" x14ac:dyDescent="0.1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2.75" customHeight="1" x14ac:dyDescent="0.1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2.75" customHeight="1" x14ac:dyDescent="0.1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2.75" customHeight="1" x14ac:dyDescent="0.1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2.75" customHeight="1" x14ac:dyDescent="0.1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2.75" customHeight="1" x14ac:dyDescent="0.1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2.75" customHeight="1" x14ac:dyDescent="0.1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2.75" customHeight="1" x14ac:dyDescent="0.1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2.75" customHeight="1" x14ac:dyDescent="0.1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2.75" customHeight="1" x14ac:dyDescent="0.1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2.75" customHeight="1" x14ac:dyDescent="0.1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2.75" customHeight="1" x14ac:dyDescent="0.1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2.75" customHeight="1" x14ac:dyDescent="0.1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2.75" customHeight="1" x14ac:dyDescent="0.1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2.75" customHeight="1" x14ac:dyDescent="0.1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2.75" customHeight="1" x14ac:dyDescent="0.1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2.75" customHeight="1" x14ac:dyDescent="0.1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2.75" customHeight="1" x14ac:dyDescent="0.1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2.75" customHeight="1" x14ac:dyDescent="0.1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2.75" customHeight="1" x14ac:dyDescent="0.1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2.75" customHeight="1" x14ac:dyDescent="0.1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2.75" customHeight="1" x14ac:dyDescent="0.1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2.75" customHeight="1" x14ac:dyDescent="0.1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2.75" customHeight="1" x14ac:dyDescent="0.1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2.75" customHeight="1" x14ac:dyDescent="0.1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2.75" customHeight="1" x14ac:dyDescent="0.1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2.75" customHeight="1" x14ac:dyDescent="0.1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2.75" customHeight="1" x14ac:dyDescent="0.1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2.75" customHeight="1" x14ac:dyDescent="0.1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2.75" customHeight="1" x14ac:dyDescent="0.1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2.75" customHeight="1" x14ac:dyDescent="0.1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2.75" customHeight="1" x14ac:dyDescent="0.1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2.75" customHeight="1" x14ac:dyDescent="0.1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2.75" customHeight="1" x14ac:dyDescent="0.1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2.75" customHeight="1" x14ac:dyDescent="0.1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2.75" customHeight="1" x14ac:dyDescent="0.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2.75" customHeight="1" x14ac:dyDescent="0.1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2.75" customHeight="1" x14ac:dyDescent="0.1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2.75" customHeight="1" x14ac:dyDescent="0.1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2.75" customHeight="1" x14ac:dyDescent="0.1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2.75" customHeight="1" x14ac:dyDescent="0.1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2.75" customHeight="1" x14ac:dyDescent="0.1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2.75" customHeight="1" x14ac:dyDescent="0.1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2.75" customHeight="1" x14ac:dyDescent="0.1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2.75" customHeight="1" x14ac:dyDescent="0.1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2.75" customHeight="1" x14ac:dyDescent="0.1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2.75" customHeight="1" x14ac:dyDescent="0.1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2.75" customHeight="1" x14ac:dyDescent="0.1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2.75" customHeight="1" x14ac:dyDescent="0.1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2.75" customHeight="1" x14ac:dyDescent="0.1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2.75" customHeight="1" x14ac:dyDescent="0.1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2.75" customHeight="1" x14ac:dyDescent="0.1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2.75" customHeight="1" x14ac:dyDescent="0.1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2.75" customHeight="1" x14ac:dyDescent="0.1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2.75" customHeight="1" x14ac:dyDescent="0.1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2.75" customHeight="1" x14ac:dyDescent="0.1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2.75" customHeight="1" x14ac:dyDescent="0.1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2.75" customHeight="1" x14ac:dyDescent="0.1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2.75" customHeight="1" x14ac:dyDescent="0.1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2.75" customHeight="1" x14ac:dyDescent="0.1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2.75" customHeight="1" x14ac:dyDescent="0.1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2.75" customHeight="1" x14ac:dyDescent="0.1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2.75" customHeight="1" x14ac:dyDescent="0.1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2.75" customHeight="1" x14ac:dyDescent="0.1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2.75" customHeight="1" x14ac:dyDescent="0.1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2.75" customHeight="1" x14ac:dyDescent="0.1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2.75" customHeight="1" x14ac:dyDescent="0.1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2.75" customHeight="1" x14ac:dyDescent="0.1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2.75" customHeight="1" x14ac:dyDescent="0.1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2.75" customHeight="1" x14ac:dyDescent="0.1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2.75" customHeight="1" x14ac:dyDescent="0.1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2.75" customHeight="1" x14ac:dyDescent="0.1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2.75" customHeight="1" x14ac:dyDescent="0.1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2.75" customHeight="1" x14ac:dyDescent="0.1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2.75" customHeight="1" x14ac:dyDescent="0.1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2.75" customHeight="1" x14ac:dyDescent="0.1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2.75" customHeight="1" x14ac:dyDescent="0.1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2.75" customHeight="1" x14ac:dyDescent="0.1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2.75" customHeight="1" x14ac:dyDescent="0.1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2.75" customHeight="1" x14ac:dyDescent="0.1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2.75" customHeight="1" x14ac:dyDescent="0.1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2.75" customHeight="1" x14ac:dyDescent="0.1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2.75" customHeight="1" x14ac:dyDescent="0.1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2.75" customHeight="1" x14ac:dyDescent="0.1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2.75" customHeight="1" x14ac:dyDescent="0.1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2.75" customHeight="1" x14ac:dyDescent="0.1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2.75" customHeight="1" x14ac:dyDescent="0.1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2.75" customHeight="1" x14ac:dyDescent="0.1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2.75" customHeight="1" x14ac:dyDescent="0.1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2.75" customHeight="1" x14ac:dyDescent="0.1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2.75" customHeight="1" x14ac:dyDescent="0.1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2.75" customHeight="1" x14ac:dyDescent="0.1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2.75" customHeight="1" x14ac:dyDescent="0.1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2.75" customHeight="1" x14ac:dyDescent="0.1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2.75" customHeight="1" x14ac:dyDescent="0.1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2.75" customHeight="1" x14ac:dyDescent="0.1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2.75" customHeight="1" x14ac:dyDescent="0.1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2.75" customHeight="1" x14ac:dyDescent="0.1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2.75" customHeight="1" x14ac:dyDescent="0.1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2.75" customHeight="1" x14ac:dyDescent="0.1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2.75" customHeight="1" x14ac:dyDescent="0.1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2.75" customHeight="1" x14ac:dyDescent="0.1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2.75" customHeight="1" x14ac:dyDescent="0.1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2.75" customHeight="1" x14ac:dyDescent="0.1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2.75" customHeight="1" x14ac:dyDescent="0.1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2.75" customHeight="1" x14ac:dyDescent="0.1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2.75" customHeight="1" x14ac:dyDescent="0.1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2.75" customHeight="1" x14ac:dyDescent="0.1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2.75" customHeight="1" x14ac:dyDescent="0.1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2.75" customHeight="1" x14ac:dyDescent="0.1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2.75" customHeight="1" x14ac:dyDescent="0.1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2.75" customHeight="1" x14ac:dyDescent="0.1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2.75" customHeight="1" x14ac:dyDescent="0.1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2.75" customHeight="1" x14ac:dyDescent="0.1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2.75" customHeight="1" x14ac:dyDescent="0.1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2.75" customHeight="1" x14ac:dyDescent="0.1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2.75" customHeight="1" x14ac:dyDescent="0.1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2.75" customHeight="1" x14ac:dyDescent="0.1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2.75" customHeight="1" x14ac:dyDescent="0.1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2.75" customHeight="1" x14ac:dyDescent="0.1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2.75" customHeight="1" x14ac:dyDescent="0.1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2.75" customHeight="1" x14ac:dyDescent="0.1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2.75" customHeight="1" x14ac:dyDescent="0.1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2.75" customHeight="1" x14ac:dyDescent="0.1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2.75" customHeight="1" x14ac:dyDescent="0.1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2.75" customHeight="1" x14ac:dyDescent="0.1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2.75" customHeight="1" x14ac:dyDescent="0.1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2.75" customHeight="1" x14ac:dyDescent="0.1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2.75" customHeight="1" x14ac:dyDescent="0.1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2.75" customHeight="1" x14ac:dyDescent="0.1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2.75" customHeight="1" x14ac:dyDescent="0.1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2.75" customHeight="1" x14ac:dyDescent="0.1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2.75" customHeight="1" x14ac:dyDescent="0.1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2.75" customHeight="1" x14ac:dyDescent="0.1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2.75" customHeight="1" x14ac:dyDescent="0.1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2.75" customHeight="1" x14ac:dyDescent="0.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2.75" customHeight="1" x14ac:dyDescent="0.1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2.75" customHeight="1" x14ac:dyDescent="0.1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2.75" customHeight="1" x14ac:dyDescent="0.1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2.75" customHeight="1" x14ac:dyDescent="0.1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2.75" customHeight="1" x14ac:dyDescent="0.1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2.75" customHeight="1" x14ac:dyDescent="0.1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2.75" customHeight="1" x14ac:dyDescent="0.1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2.75" customHeight="1" x14ac:dyDescent="0.1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2.75" customHeight="1" x14ac:dyDescent="0.1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2.75" customHeight="1" x14ac:dyDescent="0.1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2.75" customHeight="1" x14ac:dyDescent="0.1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2.75" customHeight="1" x14ac:dyDescent="0.1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2.75" customHeight="1" x14ac:dyDescent="0.1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2.75" customHeight="1" x14ac:dyDescent="0.1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2.75" customHeight="1" x14ac:dyDescent="0.1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2.75" customHeight="1" x14ac:dyDescent="0.1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2.75" customHeight="1" x14ac:dyDescent="0.1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2.75" customHeight="1" x14ac:dyDescent="0.1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2.75" customHeight="1" x14ac:dyDescent="0.1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2.75" customHeight="1" x14ac:dyDescent="0.1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2.75" customHeight="1" x14ac:dyDescent="0.1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2.75" customHeight="1" x14ac:dyDescent="0.1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2.75" customHeight="1" x14ac:dyDescent="0.1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2.75" customHeight="1" x14ac:dyDescent="0.1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2.75" customHeight="1" x14ac:dyDescent="0.1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2.75" customHeight="1" x14ac:dyDescent="0.1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2.75" customHeight="1" x14ac:dyDescent="0.1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2.75" customHeight="1" x14ac:dyDescent="0.1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2.75" customHeight="1" x14ac:dyDescent="0.1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2.75" customHeight="1" x14ac:dyDescent="0.1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2.75" customHeight="1" x14ac:dyDescent="0.1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2.75" customHeight="1" x14ac:dyDescent="0.1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2.75" customHeight="1" x14ac:dyDescent="0.1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2.75" customHeight="1" x14ac:dyDescent="0.1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2.75" customHeight="1" x14ac:dyDescent="0.1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2.75" customHeight="1" x14ac:dyDescent="0.1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2.75" customHeight="1" x14ac:dyDescent="0.1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2.75" customHeight="1" x14ac:dyDescent="0.1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2.75" customHeight="1" x14ac:dyDescent="0.1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2.75" customHeight="1" x14ac:dyDescent="0.1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2.75" customHeight="1" x14ac:dyDescent="0.1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2.75" customHeight="1" x14ac:dyDescent="0.1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2.75" customHeight="1" x14ac:dyDescent="0.1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2.75" customHeight="1" x14ac:dyDescent="0.1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2.75" customHeight="1" x14ac:dyDescent="0.1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2.75" customHeight="1" x14ac:dyDescent="0.1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2.75" customHeight="1" x14ac:dyDescent="0.1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2.75" customHeight="1" x14ac:dyDescent="0.1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2.75" customHeight="1" x14ac:dyDescent="0.1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2.75" customHeight="1" x14ac:dyDescent="0.1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2.75" customHeight="1" x14ac:dyDescent="0.1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2.75" customHeight="1" x14ac:dyDescent="0.1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2.75" customHeight="1" x14ac:dyDescent="0.1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2.75" customHeight="1" x14ac:dyDescent="0.1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2.75" customHeight="1" x14ac:dyDescent="0.1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2.75" customHeight="1" x14ac:dyDescent="0.1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2.75" customHeight="1" x14ac:dyDescent="0.1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2.75" customHeight="1" x14ac:dyDescent="0.1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2.75" customHeight="1" x14ac:dyDescent="0.1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2.75" customHeight="1" x14ac:dyDescent="0.1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2.75" customHeight="1" x14ac:dyDescent="0.1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2.75" customHeight="1" x14ac:dyDescent="0.1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2.75" customHeight="1" x14ac:dyDescent="0.1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2.75" customHeight="1" x14ac:dyDescent="0.1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2.75" customHeight="1" x14ac:dyDescent="0.1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2.75" customHeight="1" x14ac:dyDescent="0.1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2.75" customHeight="1" x14ac:dyDescent="0.1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2.75" customHeight="1" x14ac:dyDescent="0.1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2.75" customHeight="1" x14ac:dyDescent="0.1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2.75" customHeight="1" x14ac:dyDescent="0.1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2.75" customHeight="1" x14ac:dyDescent="0.1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2.75" customHeight="1" x14ac:dyDescent="0.1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2.75" customHeight="1" x14ac:dyDescent="0.1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2.75" customHeight="1" x14ac:dyDescent="0.1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2.75" customHeight="1" x14ac:dyDescent="0.1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2.75" customHeight="1" x14ac:dyDescent="0.1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2.75" customHeight="1" x14ac:dyDescent="0.1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2.75" customHeight="1" x14ac:dyDescent="0.1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2.75" customHeight="1" x14ac:dyDescent="0.1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2.75" customHeight="1" x14ac:dyDescent="0.1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2.75" customHeight="1" x14ac:dyDescent="0.1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2.75" customHeight="1" x14ac:dyDescent="0.1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2.75" customHeight="1" x14ac:dyDescent="0.1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2.75" customHeight="1" x14ac:dyDescent="0.1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2.75" customHeight="1" x14ac:dyDescent="0.1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2.75" customHeight="1" x14ac:dyDescent="0.1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2.75" customHeight="1" x14ac:dyDescent="0.1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2.75" customHeight="1" x14ac:dyDescent="0.1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2.75" customHeight="1" x14ac:dyDescent="0.1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2.75" customHeight="1" x14ac:dyDescent="0.1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2.75" customHeight="1" x14ac:dyDescent="0.1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2.75" customHeight="1" x14ac:dyDescent="0.1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2.75" customHeight="1" x14ac:dyDescent="0.1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2.75" customHeight="1" x14ac:dyDescent="0.1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2.75" customHeight="1" x14ac:dyDescent="0.1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2.75" customHeight="1" x14ac:dyDescent="0.1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2.75" customHeight="1" x14ac:dyDescent="0.1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2.75" customHeight="1" x14ac:dyDescent="0.1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2.75" customHeight="1" x14ac:dyDescent="0.1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2.75" customHeight="1" x14ac:dyDescent="0.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2.75" customHeight="1" x14ac:dyDescent="0.1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2.75" customHeight="1" x14ac:dyDescent="0.1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2.75" customHeight="1" x14ac:dyDescent="0.1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2.75" customHeight="1" x14ac:dyDescent="0.1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2.75" customHeight="1" x14ac:dyDescent="0.1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2.75" customHeight="1" x14ac:dyDescent="0.1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2.75" customHeight="1" x14ac:dyDescent="0.1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2.75" customHeight="1" x14ac:dyDescent="0.1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2.75" customHeight="1" x14ac:dyDescent="0.1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2.75" customHeight="1" x14ac:dyDescent="0.1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2.75" customHeight="1" x14ac:dyDescent="0.1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2.75" customHeight="1" x14ac:dyDescent="0.1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2.75" customHeight="1" x14ac:dyDescent="0.1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2.75" customHeight="1" x14ac:dyDescent="0.1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2.75" customHeight="1" x14ac:dyDescent="0.1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2.75" customHeight="1" x14ac:dyDescent="0.1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2.75" customHeight="1" x14ac:dyDescent="0.1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2.75" customHeight="1" x14ac:dyDescent="0.1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2.75" customHeight="1" x14ac:dyDescent="0.1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2.75" customHeight="1" x14ac:dyDescent="0.1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2.75" customHeight="1" x14ac:dyDescent="0.1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2.75" customHeight="1" x14ac:dyDescent="0.1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2.75" customHeight="1" x14ac:dyDescent="0.1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2.75" customHeight="1" x14ac:dyDescent="0.1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2.75" customHeight="1" x14ac:dyDescent="0.1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2.75" customHeight="1" x14ac:dyDescent="0.1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2.75" customHeight="1" x14ac:dyDescent="0.1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2.75" customHeight="1" x14ac:dyDescent="0.1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2.75" customHeight="1" x14ac:dyDescent="0.1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2.75" customHeight="1" x14ac:dyDescent="0.1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2.75" customHeight="1" x14ac:dyDescent="0.1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2.75" customHeight="1" x14ac:dyDescent="0.1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2.75" customHeight="1" x14ac:dyDescent="0.1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2.75" customHeight="1" x14ac:dyDescent="0.1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2.75" customHeight="1" x14ac:dyDescent="0.1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2.75" customHeight="1" x14ac:dyDescent="0.1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2.75" customHeight="1" x14ac:dyDescent="0.1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2.75" customHeight="1" x14ac:dyDescent="0.1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2.75" customHeight="1" x14ac:dyDescent="0.1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2.75" customHeight="1" x14ac:dyDescent="0.1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2.75" customHeight="1" x14ac:dyDescent="0.1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2.75" customHeight="1" x14ac:dyDescent="0.1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2.75" customHeight="1" x14ac:dyDescent="0.1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2.75" customHeight="1" x14ac:dyDescent="0.1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2.75" customHeight="1" x14ac:dyDescent="0.1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2.75" customHeight="1" x14ac:dyDescent="0.1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2.75" customHeight="1" x14ac:dyDescent="0.1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2.75" customHeight="1" x14ac:dyDescent="0.1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2.75" customHeight="1" x14ac:dyDescent="0.1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2.75" customHeight="1" x14ac:dyDescent="0.1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2.75" customHeight="1" x14ac:dyDescent="0.1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2.75" customHeight="1" x14ac:dyDescent="0.1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2.75" customHeight="1" x14ac:dyDescent="0.1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2.75" customHeight="1" x14ac:dyDescent="0.1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2.75" customHeight="1" x14ac:dyDescent="0.1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2.75" customHeight="1" x14ac:dyDescent="0.1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2.75" customHeight="1" x14ac:dyDescent="0.1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2.75" customHeight="1" x14ac:dyDescent="0.1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2.75" customHeight="1" x14ac:dyDescent="0.1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2.75" customHeight="1" x14ac:dyDescent="0.1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2.75" customHeight="1" x14ac:dyDescent="0.1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2.75" customHeight="1" x14ac:dyDescent="0.1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2.75" customHeight="1" x14ac:dyDescent="0.1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2.75" customHeight="1" x14ac:dyDescent="0.1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2.75" customHeight="1" x14ac:dyDescent="0.1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2.75" customHeight="1" x14ac:dyDescent="0.1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2.75" customHeight="1" x14ac:dyDescent="0.1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2.75" customHeight="1" x14ac:dyDescent="0.1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2.75" customHeight="1" x14ac:dyDescent="0.1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2.75" customHeight="1" x14ac:dyDescent="0.1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2.75" customHeight="1" x14ac:dyDescent="0.1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2.75" customHeight="1" x14ac:dyDescent="0.1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2.75" customHeight="1" x14ac:dyDescent="0.1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2.75" customHeight="1" x14ac:dyDescent="0.1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2.75" customHeight="1" x14ac:dyDescent="0.1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2.75" customHeight="1" x14ac:dyDescent="0.1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2.75" customHeight="1" x14ac:dyDescent="0.1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2.75" customHeight="1" x14ac:dyDescent="0.1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2.75" customHeight="1" x14ac:dyDescent="0.1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2.75" customHeight="1" x14ac:dyDescent="0.1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2.75" customHeight="1" x14ac:dyDescent="0.1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2.75" customHeight="1" x14ac:dyDescent="0.1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2.75" customHeight="1" x14ac:dyDescent="0.1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2.75" customHeight="1" x14ac:dyDescent="0.1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2.75" customHeight="1" x14ac:dyDescent="0.1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2.75" customHeight="1" x14ac:dyDescent="0.1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2.75" customHeight="1" x14ac:dyDescent="0.1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2.75" customHeight="1" x14ac:dyDescent="0.1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2.75" customHeight="1" x14ac:dyDescent="0.1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2.75" customHeight="1" x14ac:dyDescent="0.1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2.75" customHeight="1" x14ac:dyDescent="0.1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2.75" customHeight="1" x14ac:dyDescent="0.1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2.75" customHeight="1" x14ac:dyDescent="0.1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2.75" customHeight="1" x14ac:dyDescent="0.1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2.75" customHeight="1" x14ac:dyDescent="0.1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2.75" customHeight="1" x14ac:dyDescent="0.1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2.75" customHeight="1" x14ac:dyDescent="0.1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2.75" customHeight="1" x14ac:dyDescent="0.1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2.75" customHeight="1" x14ac:dyDescent="0.1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2.75" customHeight="1" x14ac:dyDescent="0.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2.75" customHeight="1" x14ac:dyDescent="0.1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2.75" customHeight="1" x14ac:dyDescent="0.1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2.75" customHeight="1" x14ac:dyDescent="0.1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2.75" customHeight="1" x14ac:dyDescent="0.1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2.75" customHeight="1" x14ac:dyDescent="0.1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2.75" customHeight="1" x14ac:dyDescent="0.1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2.75" customHeight="1" x14ac:dyDescent="0.1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2.75" customHeight="1" x14ac:dyDescent="0.1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2.75" customHeight="1" x14ac:dyDescent="0.1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2.75" customHeight="1" x14ac:dyDescent="0.1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2.75" customHeight="1" x14ac:dyDescent="0.1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2.75" customHeight="1" x14ac:dyDescent="0.1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2.75" customHeight="1" x14ac:dyDescent="0.1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2.75" customHeight="1" x14ac:dyDescent="0.1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2.75" customHeight="1" x14ac:dyDescent="0.1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2.75" customHeight="1" x14ac:dyDescent="0.1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2.75" customHeight="1" x14ac:dyDescent="0.1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2.75" customHeight="1" x14ac:dyDescent="0.1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2.75" customHeight="1" x14ac:dyDescent="0.1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2.75" customHeight="1" x14ac:dyDescent="0.1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2.75" customHeight="1" x14ac:dyDescent="0.1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2.75" customHeight="1" x14ac:dyDescent="0.1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2.75" customHeight="1" x14ac:dyDescent="0.1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2.75" customHeight="1" x14ac:dyDescent="0.1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2.75" customHeight="1" x14ac:dyDescent="0.1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2.75" customHeight="1" x14ac:dyDescent="0.1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2.75" customHeight="1" x14ac:dyDescent="0.1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2.75" customHeight="1" x14ac:dyDescent="0.1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2.75" customHeight="1" x14ac:dyDescent="0.1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2.75" customHeight="1" x14ac:dyDescent="0.1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2.75" customHeight="1" x14ac:dyDescent="0.15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2.75" customHeight="1" x14ac:dyDescent="0.15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2.75" customHeight="1" x14ac:dyDescent="0.15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2.75" customHeight="1" x14ac:dyDescent="0.15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2.75" customHeight="1" x14ac:dyDescent="0.15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2.75" customHeight="1" x14ac:dyDescent="0.15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2.75" customHeight="1" x14ac:dyDescent="0.15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2.75" customHeight="1" x14ac:dyDescent="0.15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2.75" customHeight="1" x14ac:dyDescent="0.15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2.75" customHeight="1" x14ac:dyDescent="0.1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2.75" customHeight="1" x14ac:dyDescent="0.15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2.75" customHeight="1" x14ac:dyDescent="0.15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2.75" customHeight="1" x14ac:dyDescent="0.15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2.75" customHeight="1" x14ac:dyDescent="0.15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2.75" customHeight="1" x14ac:dyDescent="0.15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2.75" customHeight="1" x14ac:dyDescent="0.15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2.75" customHeight="1" x14ac:dyDescent="0.15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2.75" customHeight="1" x14ac:dyDescent="0.15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2.75" customHeight="1" x14ac:dyDescent="0.15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2.75" customHeight="1" x14ac:dyDescent="0.1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2.75" customHeight="1" x14ac:dyDescent="0.15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2.75" customHeight="1" x14ac:dyDescent="0.15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2.75" customHeight="1" x14ac:dyDescent="0.15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2.75" customHeight="1" x14ac:dyDescent="0.15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2.75" customHeight="1" x14ac:dyDescent="0.15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2.75" customHeight="1" x14ac:dyDescent="0.15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2.75" customHeight="1" x14ac:dyDescent="0.15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2.75" customHeight="1" x14ac:dyDescent="0.15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2.75" customHeight="1" x14ac:dyDescent="0.15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2.75" customHeight="1" x14ac:dyDescent="0.1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2.75" customHeight="1" x14ac:dyDescent="0.15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2.75" customHeight="1" x14ac:dyDescent="0.15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2.75" customHeight="1" x14ac:dyDescent="0.15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2.75" customHeight="1" x14ac:dyDescent="0.15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2.75" customHeight="1" x14ac:dyDescent="0.15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2.75" customHeight="1" x14ac:dyDescent="0.15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2.75" customHeight="1" x14ac:dyDescent="0.15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2.75" customHeight="1" x14ac:dyDescent="0.15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2.75" customHeight="1" x14ac:dyDescent="0.15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2.75" customHeight="1" x14ac:dyDescent="0.1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2.75" customHeight="1" x14ac:dyDescent="0.15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2.75" customHeight="1" x14ac:dyDescent="0.15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2.75" customHeight="1" x14ac:dyDescent="0.15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2.75" customHeight="1" x14ac:dyDescent="0.15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2.75" customHeight="1" x14ac:dyDescent="0.15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2.75" customHeight="1" x14ac:dyDescent="0.15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2.75" customHeight="1" x14ac:dyDescent="0.15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2.75" customHeight="1" x14ac:dyDescent="0.15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2.75" customHeight="1" x14ac:dyDescent="0.15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2.75" customHeight="1" x14ac:dyDescent="0.1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2.75" customHeight="1" x14ac:dyDescent="0.15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2.75" customHeight="1" x14ac:dyDescent="0.15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2.75" customHeight="1" x14ac:dyDescent="0.15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2.75" customHeight="1" x14ac:dyDescent="0.15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2.75" customHeight="1" x14ac:dyDescent="0.15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13" sqref="C13"/>
    </sheetView>
  </sheetViews>
  <sheetFormatPr baseColWidth="10" defaultColWidth="12.5" defaultRowHeight="15.75" customHeight="1" x14ac:dyDescent="0.15"/>
  <cols>
    <col min="1" max="1" width="2.5" customWidth="1"/>
    <col min="2" max="2" width="27" customWidth="1"/>
    <col min="3" max="15" width="9.6640625" customWidth="1"/>
    <col min="16" max="26" width="7.5" customWidth="1"/>
  </cols>
  <sheetData>
    <row r="1" spans="1:26" ht="12.75" customHeight="1" x14ac:dyDescent="0.15">
      <c r="A1" s="196"/>
      <c r="B1" s="197" t="s">
        <v>12</v>
      </c>
      <c r="C1" s="198"/>
      <c r="D1" s="199"/>
      <c r="E1" s="199"/>
      <c r="F1" s="200"/>
      <c r="G1" s="200"/>
      <c r="H1" s="200"/>
      <c r="I1" s="200"/>
      <c r="J1" s="200"/>
      <c r="K1" s="200"/>
      <c r="L1" s="200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spans="1:26" ht="12.75" customHeight="1" x14ac:dyDescent="0.15">
      <c r="A2" s="196"/>
      <c r="B2" s="196" t="s">
        <v>214</v>
      </c>
      <c r="C2" s="201" t="s">
        <v>215</v>
      </c>
      <c r="D2" s="202"/>
      <c r="E2" s="202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spans="1:26" ht="12.75" customHeight="1" x14ac:dyDescent="0.15">
      <c r="A3" s="196"/>
      <c r="B3" s="203" t="s">
        <v>216</v>
      </c>
      <c r="C3" s="204" t="s">
        <v>217</v>
      </c>
      <c r="D3" s="205">
        <v>2023</v>
      </c>
      <c r="E3" s="205">
        <f t="shared" ref="E3:L3" si="0">D3+1</f>
        <v>2024</v>
      </c>
      <c r="F3" s="205">
        <f t="shared" si="0"/>
        <v>2025</v>
      </c>
      <c r="G3" s="205">
        <f t="shared" si="0"/>
        <v>2026</v>
      </c>
      <c r="H3" s="205">
        <f t="shared" si="0"/>
        <v>2027</v>
      </c>
      <c r="I3" s="205">
        <f t="shared" si="0"/>
        <v>2028</v>
      </c>
      <c r="J3" s="205">
        <f t="shared" si="0"/>
        <v>2029</v>
      </c>
      <c r="K3" s="205">
        <f t="shared" si="0"/>
        <v>2030</v>
      </c>
      <c r="L3" s="205">
        <f t="shared" si="0"/>
        <v>2031</v>
      </c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6" ht="12.75" customHeight="1" x14ac:dyDescent="0.15">
      <c r="A4" s="196"/>
      <c r="B4" s="196" t="s">
        <v>218</v>
      </c>
      <c r="C4" s="206">
        <v>6.0499999999999998E-2</v>
      </c>
      <c r="D4" s="207">
        <v>271.56200000000001</v>
      </c>
      <c r="E4" s="207">
        <v>264.68799999999999</v>
      </c>
      <c r="F4" s="208">
        <v>264.68799999999999</v>
      </c>
      <c r="G4" s="209">
        <f t="shared" ref="G4:J4" si="1">F4</f>
        <v>264.68799999999999</v>
      </c>
      <c r="H4" s="209">
        <f t="shared" si="1"/>
        <v>264.68799999999999</v>
      </c>
      <c r="I4" s="209">
        <f t="shared" si="1"/>
        <v>264.68799999999999</v>
      </c>
      <c r="J4" s="209">
        <f t="shared" si="1"/>
        <v>264.68799999999999</v>
      </c>
      <c r="K4" s="209">
        <v>0</v>
      </c>
      <c r="L4" s="209">
        <v>0</v>
      </c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spans="1:26" ht="12.75" customHeight="1" x14ac:dyDescent="0.15">
      <c r="A5" s="196"/>
      <c r="B5" s="196" t="s">
        <v>219</v>
      </c>
      <c r="C5" s="206">
        <v>7.7499999999999999E-2</v>
      </c>
      <c r="D5" s="207">
        <v>425</v>
      </c>
      <c r="E5" s="207">
        <v>425</v>
      </c>
      <c r="F5" s="208">
        <v>425</v>
      </c>
      <c r="G5" s="209">
        <f t="shared" ref="G5:K5" si="2">F5</f>
        <v>425</v>
      </c>
      <c r="H5" s="209">
        <f t="shared" si="2"/>
        <v>425</v>
      </c>
      <c r="I5" s="209">
        <f t="shared" si="2"/>
        <v>425</v>
      </c>
      <c r="J5" s="209">
        <f t="shared" si="2"/>
        <v>425</v>
      </c>
      <c r="K5" s="209">
        <f t="shared" si="2"/>
        <v>425</v>
      </c>
      <c r="L5" s="209">
        <v>0</v>
      </c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spans="1:26" ht="12.75" customHeight="1" x14ac:dyDescent="0.15">
      <c r="A6" s="196"/>
      <c r="B6" s="196" t="s">
        <v>220</v>
      </c>
      <c r="C6" s="206">
        <v>6.2899999999999998E-2</v>
      </c>
      <c r="D6" s="207">
        <v>0</v>
      </c>
      <c r="E6" s="207">
        <v>0</v>
      </c>
      <c r="F6" s="208">
        <v>500</v>
      </c>
      <c r="G6" s="209">
        <f t="shared" ref="G6:L6" si="3">F6</f>
        <v>500</v>
      </c>
      <c r="H6" s="209">
        <f t="shared" si="3"/>
        <v>500</v>
      </c>
      <c r="I6" s="209">
        <f t="shared" si="3"/>
        <v>500</v>
      </c>
      <c r="J6" s="209">
        <f t="shared" si="3"/>
        <v>500</v>
      </c>
      <c r="K6" s="209">
        <f t="shared" si="3"/>
        <v>500</v>
      </c>
      <c r="L6" s="209">
        <f t="shared" si="3"/>
        <v>500</v>
      </c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spans="1:26" ht="12.75" customHeight="1" x14ac:dyDescent="0.15">
      <c r="A7" s="196"/>
      <c r="B7" s="196" t="s">
        <v>221</v>
      </c>
      <c r="C7" s="210" t="s">
        <v>222</v>
      </c>
      <c r="D7" s="207">
        <v>0.42299999999999999</v>
      </c>
      <c r="E7" s="207">
        <v>0.26200000000000001</v>
      </c>
      <c r="F7" s="208">
        <v>0.24299999999999999</v>
      </c>
      <c r="G7" s="209">
        <f t="shared" ref="G7:L7" si="4">F7</f>
        <v>0.24299999999999999</v>
      </c>
      <c r="H7" s="209">
        <f t="shared" si="4"/>
        <v>0.24299999999999999</v>
      </c>
      <c r="I7" s="209">
        <f t="shared" si="4"/>
        <v>0.24299999999999999</v>
      </c>
      <c r="J7" s="209">
        <f t="shared" si="4"/>
        <v>0.24299999999999999</v>
      </c>
      <c r="K7" s="209">
        <f t="shared" si="4"/>
        <v>0.24299999999999999</v>
      </c>
      <c r="L7" s="209">
        <f t="shared" si="4"/>
        <v>0.24299999999999999</v>
      </c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spans="1:26" ht="12.75" customHeight="1" x14ac:dyDescent="0.15">
      <c r="A8" s="196"/>
      <c r="B8" s="203" t="s">
        <v>223</v>
      </c>
      <c r="C8" s="211" t="s">
        <v>222</v>
      </c>
      <c r="D8" s="212">
        <v>-15.326000000000001</v>
      </c>
      <c r="E8" s="212">
        <v>-12.564</v>
      </c>
      <c r="F8" s="208">
        <v>-17.765999999999998</v>
      </c>
      <c r="G8" s="209">
        <f t="shared" ref="G8:L8" si="5">F8</f>
        <v>-17.765999999999998</v>
      </c>
      <c r="H8" s="209">
        <f t="shared" si="5"/>
        <v>-17.765999999999998</v>
      </c>
      <c r="I8" s="209">
        <f t="shared" si="5"/>
        <v>-17.765999999999998</v>
      </c>
      <c r="J8" s="209">
        <f t="shared" si="5"/>
        <v>-17.765999999999998</v>
      </c>
      <c r="K8" s="209">
        <f t="shared" si="5"/>
        <v>-17.765999999999998</v>
      </c>
      <c r="L8" s="209">
        <f t="shared" si="5"/>
        <v>-17.765999999999998</v>
      </c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 spans="1:26" ht="12.75" customHeight="1" x14ac:dyDescent="0.15">
      <c r="A9" s="196"/>
      <c r="B9" s="213" t="s">
        <v>224</v>
      </c>
      <c r="C9" s="214">
        <f>SUMPRODUCT(C4:C5,E4:E5)/SUM(E4:E5)</f>
        <v>7.0975751354235533E-2</v>
      </c>
      <c r="D9" s="215">
        <f t="shared" ref="D9:L9" si="6">SUM(D4:D8)</f>
        <v>681.65899999999999</v>
      </c>
      <c r="E9" s="215">
        <f t="shared" si="6"/>
        <v>677.38599999999997</v>
      </c>
      <c r="F9" s="215">
        <f t="shared" si="6"/>
        <v>1172.165</v>
      </c>
      <c r="G9" s="215">
        <f t="shared" si="6"/>
        <v>1172.165</v>
      </c>
      <c r="H9" s="215">
        <f t="shared" si="6"/>
        <v>1172.165</v>
      </c>
      <c r="I9" s="215">
        <f t="shared" si="6"/>
        <v>1172.165</v>
      </c>
      <c r="J9" s="215">
        <f t="shared" si="6"/>
        <v>1172.165</v>
      </c>
      <c r="K9" s="215">
        <f t="shared" si="6"/>
        <v>907.47700000000009</v>
      </c>
      <c r="L9" s="215">
        <f t="shared" si="6"/>
        <v>482.47699999999998</v>
      </c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 spans="1:26" ht="12.75" customHeight="1" x14ac:dyDescent="0.15">
      <c r="A10" s="196"/>
      <c r="B10" s="203" t="s">
        <v>225</v>
      </c>
      <c r="C10" s="211"/>
      <c r="D10" s="212">
        <v>-7.0819999999999999</v>
      </c>
      <c r="E10" s="212">
        <v>-10.475</v>
      </c>
      <c r="F10" s="208">
        <v>0</v>
      </c>
      <c r="G10" s="209">
        <f t="shared" ref="G10:L10" si="7">F10</f>
        <v>0</v>
      </c>
      <c r="H10" s="209">
        <f t="shared" si="7"/>
        <v>0</v>
      </c>
      <c r="I10" s="209">
        <f t="shared" si="7"/>
        <v>0</v>
      </c>
      <c r="J10" s="209">
        <f t="shared" si="7"/>
        <v>0</v>
      </c>
      <c r="K10" s="209">
        <f t="shared" si="7"/>
        <v>0</v>
      </c>
      <c r="L10" s="209">
        <f t="shared" si="7"/>
        <v>0</v>
      </c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 spans="1:26" ht="12.75" customHeight="1" x14ac:dyDescent="0.15">
      <c r="A11" s="196"/>
      <c r="B11" s="213" t="s">
        <v>150</v>
      </c>
      <c r="C11" s="216"/>
      <c r="D11" s="215">
        <f t="shared" ref="D11:L11" si="8">D9+D10</f>
        <v>674.577</v>
      </c>
      <c r="E11" s="215">
        <f t="shared" si="8"/>
        <v>666.91099999999994</v>
      </c>
      <c r="F11" s="215">
        <f t="shared" si="8"/>
        <v>1172.165</v>
      </c>
      <c r="G11" s="215">
        <f t="shared" si="8"/>
        <v>1172.165</v>
      </c>
      <c r="H11" s="215">
        <f t="shared" si="8"/>
        <v>1172.165</v>
      </c>
      <c r="I11" s="215">
        <f t="shared" si="8"/>
        <v>1172.165</v>
      </c>
      <c r="J11" s="215">
        <f t="shared" si="8"/>
        <v>1172.165</v>
      </c>
      <c r="K11" s="215">
        <f t="shared" si="8"/>
        <v>907.47700000000009</v>
      </c>
      <c r="L11" s="215">
        <f t="shared" si="8"/>
        <v>482.47699999999998</v>
      </c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 spans="1:26" ht="12.75" customHeight="1" x14ac:dyDescent="0.15">
      <c r="A12" s="196"/>
      <c r="B12" s="217" t="s">
        <v>226</v>
      </c>
      <c r="C12" s="210"/>
      <c r="D12" s="218"/>
      <c r="E12" s="219">
        <f t="shared" ref="E12:L12" si="9">E9-D9</f>
        <v>-4.2730000000000246</v>
      </c>
      <c r="F12" s="219">
        <f t="shared" si="9"/>
        <v>494.779</v>
      </c>
      <c r="G12" s="219">
        <f t="shared" si="9"/>
        <v>0</v>
      </c>
      <c r="H12" s="219">
        <f t="shared" si="9"/>
        <v>0</v>
      </c>
      <c r="I12" s="219">
        <f t="shared" si="9"/>
        <v>0</v>
      </c>
      <c r="J12" s="219">
        <f t="shared" si="9"/>
        <v>0</v>
      </c>
      <c r="K12" s="219">
        <f t="shared" si="9"/>
        <v>-264.68799999999987</v>
      </c>
      <c r="L12" s="219">
        <f t="shared" si="9"/>
        <v>-425.00000000000011</v>
      </c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 spans="1:26" ht="12.75" customHeight="1" x14ac:dyDescent="0.15">
      <c r="A13" s="196"/>
      <c r="B13" s="196"/>
      <c r="C13" s="210"/>
      <c r="D13" s="218"/>
      <c r="E13" s="218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spans="1:26" ht="12.75" customHeight="1" x14ac:dyDescent="0.15">
      <c r="A14" s="196"/>
      <c r="B14" s="196" t="s">
        <v>227</v>
      </c>
      <c r="C14" s="220">
        <v>0.03</v>
      </c>
      <c r="D14" s="221">
        <f>AVERAGE('BS - Gold Solution'!C4,'BS - Gold Solution'!D4)</f>
        <v>136.21</v>
      </c>
      <c r="E14" s="221">
        <f>AVERAGE('BS - Gold Solution'!D4,'BS - Gold Solution'!E4)</f>
        <v>271.72699999999998</v>
      </c>
      <c r="F14" s="221">
        <f ca="1">AVERAGE('BS - Gold Solution'!E4,'BS - Gold Solution'!F4)</f>
        <v>270.72080508017757</v>
      </c>
      <c r="G14" s="221">
        <f ca="1">AVERAGE('BS - Gold Solution'!F4,'BS - Gold Solution'!G4)</f>
        <v>257.94314423692299</v>
      </c>
      <c r="H14" s="221">
        <f ca="1">AVERAGE('BS - Gold Solution'!G4,'BS - Gold Solution'!H4)</f>
        <v>272.02993234109755</v>
      </c>
      <c r="I14" s="221">
        <f ca="1">AVERAGE('BS - Gold Solution'!H4,'BS - Gold Solution'!I4)</f>
        <v>325.23276586130095</v>
      </c>
      <c r="J14" s="221">
        <f ca="1">AVERAGE('BS - Gold Solution'!I4,'BS - Gold Solution'!J4)</f>
        <v>420.67617851549068</v>
      </c>
      <c r="K14" s="221">
        <f ca="1">AVERAGE('BS - Gold Solution'!J4,'BS - Gold Solution'!K4)</f>
        <v>434.02756755348582</v>
      </c>
      <c r="L14" s="221">
        <f ca="1">AVERAGE('BS - Gold Solution'!K4,'BS - Gold Solution'!L4)</f>
        <v>297.58458625402915</v>
      </c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spans="1:26" ht="12.75" customHeight="1" x14ac:dyDescent="0.15">
      <c r="A15" s="196"/>
      <c r="B15" s="196"/>
      <c r="C15" s="210"/>
      <c r="D15" s="218"/>
      <c r="E15" s="218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spans="1:26" ht="12.75" customHeight="1" x14ac:dyDescent="0.15">
      <c r="A16" s="196"/>
      <c r="B16" s="196"/>
      <c r="C16" s="210"/>
      <c r="D16" s="218"/>
      <c r="E16" s="218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spans="1:26" ht="12.75" customHeight="1" x14ac:dyDescent="0.15">
      <c r="A17" s="196"/>
      <c r="B17" s="196" t="s">
        <v>228</v>
      </c>
      <c r="C17" s="210"/>
      <c r="D17" s="222">
        <f t="shared" ref="D17:L17" si="10">SUMPRODUCT(D4:D6,$C$4:$C$6)</f>
        <v>49.367001000000002</v>
      </c>
      <c r="E17" s="222">
        <f t="shared" si="10"/>
        <v>48.951124</v>
      </c>
      <c r="F17" s="222">
        <f t="shared" si="10"/>
        <v>80.401123999999996</v>
      </c>
      <c r="G17" s="222">
        <f t="shared" si="10"/>
        <v>80.401123999999996</v>
      </c>
      <c r="H17" s="222">
        <f t="shared" si="10"/>
        <v>80.401123999999996</v>
      </c>
      <c r="I17" s="222">
        <f t="shared" si="10"/>
        <v>80.401123999999996</v>
      </c>
      <c r="J17" s="222">
        <f t="shared" si="10"/>
        <v>80.401123999999996</v>
      </c>
      <c r="K17" s="222">
        <f t="shared" si="10"/>
        <v>64.387500000000003</v>
      </c>
      <c r="L17" s="222">
        <f t="shared" si="10"/>
        <v>31.45</v>
      </c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spans="1:26" ht="12.75" customHeight="1" x14ac:dyDescent="0.15">
      <c r="A18" s="196"/>
      <c r="B18" s="196" t="s">
        <v>229</v>
      </c>
      <c r="C18" s="196"/>
      <c r="D18" s="223">
        <f t="shared" ref="D18:L18" si="11">D14*$C$14</f>
        <v>4.0863000000000005</v>
      </c>
      <c r="E18" s="223">
        <f t="shared" si="11"/>
        <v>8.1518099999999993</v>
      </c>
      <c r="F18" s="223">
        <f t="shared" ca="1" si="11"/>
        <v>8.1216241524053263</v>
      </c>
      <c r="G18" s="223">
        <f t="shared" ca="1" si="11"/>
        <v>7.7382943271076892</v>
      </c>
      <c r="H18" s="223">
        <f t="shared" ca="1" si="11"/>
        <v>8.1608979702329254</v>
      </c>
      <c r="I18" s="223">
        <f t="shared" ca="1" si="11"/>
        <v>9.7569829758390281</v>
      </c>
      <c r="J18" s="223">
        <f t="shared" ca="1" si="11"/>
        <v>12.62028535546472</v>
      </c>
      <c r="K18" s="223">
        <f t="shared" ca="1" si="11"/>
        <v>13.020827026604573</v>
      </c>
      <c r="L18" s="223">
        <f t="shared" ca="1" si="11"/>
        <v>8.9275375876208738</v>
      </c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spans="1:26" ht="12.75" customHeight="1" x14ac:dyDescent="0.15">
      <c r="A19" s="196"/>
      <c r="B19" s="196"/>
      <c r="C19" s="196"/>
      <c r="D19" s="196"/>
      <c r="E19" s="196"/>
      <c r="F19" s="213"/>
      <c r="G19" s="213"/>
      <c r="H19" s="213"/>
      <c r="I19" s="213"/>
      <c r="J19" s="213"/>
      <c r="K19" s="213"/>
      <c r="L19" s="213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spans="1:26" ht="12.75" customHeight="1" x14ac:dyDescent="0.15">
      <c r="A20" s="196"/>
      <c r="B20" s="196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spans="1:26" ht="12.75" customHeight="1" x14ac:dyDescent="0.15">
      <c r="A21" s="196"/>
      <c r="B21" s="196"/>
      <c r="C21" s="196"/>
      <c r="D21" s="196"/>
      <c r="E21" s="196"/>
      <c r="F21" s="213"/>
      <c r="G21" s="213"/>
      <c r="H21" s="213"/>
      <c r="I21" s="213"/>
      <c r="J21" s="213"/>
      <c r="K21" s="213"/>
      <c r="L21" s="213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 spans="1:26" ht="12.75" customHeight="1" x14ac:dyDescent="0.15">
      <c r="A22" s="196"/>
      <c r="B22" s="196"/>
      <c r="C22" s="210"/>
      <c r="D22" s="224"/>
      <c r="E22" s="224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 spans="1:26" ht="12.75" customHeight="1" x14ac:dyDescent="0.15">
      <c r="A23" s="196"/>
      <c r="B23" s="196"/>
      <c r="C23" s="225"/>
      <c r="D23" s="224"/>
      <c r="E23" s="224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 spans="1:26" ht="12.75" customHeight="1" x14ac:dyDescent="0.15">
      <c r="A24" s="196"/>
      <c r="B24" s="196"/>
      <c r="C24" s="225"/>
      <c r="D24" s="224"/>
      <c r="E24" s="224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 spans="1:26" ht="12.75" customHeight="1" x14ac:dyDescent="0.15">
      <c r="A25" s="196"/>
      <c r="B25" s="196"/>
      <c r="C25" s="225"/>
      <c r="D25" s="224"/>
      <c r="E25" s="224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 spans="1:26" ht="12.75" customHeight="1" x14ac:dyDescent="0.15">
      <c r="A26" s="196"/>
      <c r="B26" s="196"/>
      <c r="C26" s="225"/>
      <c r="D26" s="224"/>
      <c r="E26" s="224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 spans="1:26" ht="12.75" customHeight="1" x14ac:dyDescent="0.15">
      <c r="A27" s="196"/>
      <c r="B27" s="196"/>
      <c r="C27" s="225"/>
      <c r="D27" s="224"/>
      <c r="E27" s="224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 spans="1:26" ht="12.75" customHeight="1" x14ac:dyDescent="0.15">
      <c r="A28" s="196"/>
      <c r="B28" s="196"/>
      <c r="C28" s="225"/>
      <c r="D28" s="224"/>
      <c r="E28" s="224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 spans="1:26" ht="12.75" customHeight="1" x14ac:dyDescent="0.15">
      <c r="A29" s="196"/>
      <c r="B29" s="196"/>
      <c r="C29" s="225"/>
      <c r="D29" s="224"/>
      <c r="E29" s="224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spans="1:26" ht="12.75" customHeight="1" x14ac:dyDescent="0.15">
      <c r="A30" s="196"/>
      <c r="B30" s="196"/>
      <c r="C30" s="225"/>
      <c r="D30" s="224"/>
      <c r="E30" s="224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spans="1:26" ht="12.75" customHeight="1" x14ac:dyDescent="0.15">
      <c r="A31" s="196"/>
      <c r="B31" s="196"/>
      <c r="C31" s="225"/>
      <c r="D31" s="224"/>
      <c r="E31" s="224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spans="1:26" ht="12.75" customHeight="1" x14ac:dyDescent="0.15">
      <c r="A32" s="196"/>
      <c r="B32" s="196"/>
      <c r="C32" s="225"/>
      <c r="D32" s="224"/>
      <c r="E32" s="224"/>
      <c r="F32" s="196"/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26" ht="12.75" customHeight="1" x14ac:dyDescent="0.15">
      <c r="A33" s="196"/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spans="1:26" ht="12.75" customHeight="1" x14ac:dyDescent="0.15">
      <c r="A34" s="196"/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 spans="1:26" ht="12.75" customHeight="1" x14ac:dyDescent="0.15">
      <c r="A35" s="196"/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 spans="1:26" ht="12.75" customHeight="1" x14ac:dyDescent="0.15">
      <c r="A36" s="196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spans="1:26" ht="12.75" customHeight="1" x14ac:dyDescent="0.15">
      <c r="A37" s="196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 spans="1:26" ht="12.75" customHeight="1" x14ac:dyDescent="0.15">
      <c r="A38" s="196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 spans="1:26" ht="12.75" customHeight="1" x14ac:dyDescent="0.15">
      <c r="A39" s="196"/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 spans="1:26" ht="12.75" customHeight="1" x14ac:dyDescent="0.15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 spans="1:26" ht="12.75" customHeight="1" x14ac:dyDescent="0.15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 spans="1:26" ht="12.75" customHeight="1" x14ac:dyDescent="0.15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spans="1:26" ht="12.75" customHeight="1" x14ac:dyDescent="0.15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spans="1:26" ht="12.75" customHeight="1" x14ac:dyDescent="0.15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spans="1:26" ht="12.75" customHeight="1" x14ac:dyDescent="0.15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spans="1:26" ht="12.75" customHeight="1" x14ac:dyDescent="0.15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spans="1:26" ht="12.75" customHeight="1" x14ac:dyDescent="0.15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 spans="1:26" ht="12.75" customHeight="1" x14ac:dyDescent="0.15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 spans="1:26" ht="12.75" customHeight="1" x14ac:dyDescent="0.15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 spans="1:26" ht="12.75" customHeight="1" x14ac:dyDescent="0.15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 spans="1:26" ht="12.75" customHeight="1" x14ac:dyDescent="0.15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 spans="1:26" ht="12.75" customHeight="1" x14ac:dyDescent="0.15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 spans="1:26" ht="12.75" customHeight="1" x14ac:dyDescent="0.15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 spans="1:26" ht="12.75" customHeight="1" x14ac:dyDescent="0.15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 spans="1:26" ht="12.75" customHeight="1" x14ac:dyDescent="0.15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 spans="1:26" ht="12.75" customHeight="1" x14ac:dyDescent="0.15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 spans="1:26" ht="12.75" customHeight="1" x14ac:dyDescent="0.15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 spans="1:26" ht="12.75" customHeight="1" x14ac:dyDescent="0.15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 spans="1:26" ht="12.75" customHeight="1" x14ac:dyDescent="0.15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 spans="1:26" ht="12.75" customHeight="1" x14ac:dyDescent="0.15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 spans="1:26" ht="12.75" customHeight="1" x14ac:dyDescent="0.15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 spans="1:26" ht="12.75" customHeight="1" x14ac:dyDescent="0.15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 spans="1:26" ht="12.75" customHeight="1" x14ac:dyDescent="0.15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 spans="1:26" ht="12.75" customHeight="1" x14ac:dyDescent="0.15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 spans="1:26" ht="12.75" customHeight="1" x14ac:dyDescent="0.15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 spans="1:26" ht="12.75" customHeight="1" x14ac:dyDescent="0.15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 spans="1:26" ht="12.75" customHeight="1" x14ac:dyDescent="0.15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 spans="1:26" ht="12.75" customHeight="1" x14ac:dyDescent="0.15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 spans="1:26" ht="12.75" customHeight="1" x14ac:dyDescent="0.15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 spans="1:26" ht="12.75" customHeight="1" x14ac:dyDescent="0.15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 spans="1:26" ht="12.75" customHeight="1" x14ac:dyDescent="0.15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 spans="1:26" ht="12.75" customHeight="1" x14ac:dyDescent="0.15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 spans="1:26" ht="12.75" customHeight="1" x14ac:dyDescent="0.15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 spans="1:26" ht="12.75" customHeight="1" x14ac:dyDescent="0.15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 spans="1:26" ht="12.75" customHeight="1" x14ac:dyDescent="0.15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 spans="1:26" ht="12.75" customHeight="1" x14ac:dyDescent="0.15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 spans="1:26" ht="12.75" customHeight="1" x14ac:dyDescent="0.15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 spans="1:26" ht="12.75" customHeight="1" x14ac:dyDescent="0.15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 spans="1:26" ht="12.75" customHeight="1" x14ac:dyDescent="0.15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 spans="1:26" ht="12.75" customHeight="1" x14ac:dyDescent="0.15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 spans="1:26" ht="12.75" customHeight="1" x14ac:dyDescent="0.15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 spans="1:26" ht="12.75" customHeight="1" x14ac:dyDescent="0.15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 spans="1:26" ht="12.75" customHeight="1" x14ac:dyDescent="0.15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 spans="1:26" ht="12.75" customHeight="1" x14ac:dyDescent="0.15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 spans="1:26" ht="12.75" customHeight="1" x14ac:dyDescent="0.15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 spans="1:26" ht="12.75" customHeight="1" x14ac:dyDescent="0.15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 spans="1:26" ht="12.75" customHeight="1" x14ac:dyDescent="0.15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 spans="1:26" ht="12.75" customHeight="1" x14ac:dyDescent="0.15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 spans="1:26" ht="12.75" customHeight="1" x14ac:dyDescent="0.15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 spans="1:26" ht="12.75" customHeight="1" x14ac:dyDescent="0.15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 spans="1:26" ht="12.75" customHeight="1" x14ac:dyDescent="0.15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 spans="1:26" ht="12.75" customHeight="1" x14ac:dyDescent="0.15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 spans="1:26" ht="12.75" customHeight="1" x14ac:dyDescent="0.15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 spans="1:26" ht="12.75" customHeight="1" x14ac:dyDescent="0.15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 spans="1:26" ht="12.75" customHeight="1" x14ac:dyDescent="0.15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 spans="1:26" ht="12.75" customHeight="1" x14ac:dyDescent="0.15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 spans="1:26" ht="12.75" customHeight="1" x14ac:dyDescent="0.15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 spans="1:26" ht="12.75" customHeight="1" x14ac:dyDescent="0.15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 spans="1:26" ht="12.75" customHeight="1" x14ac:dyDescent="0.15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 spans="1:26" ht="12.75" customHeight="1" x14ac:dyDescent="0.15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 spans="1:26" ht="12.75" customHeight="1" x14ac:dyDescent="0.15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 spans="1:26" ht="12.75" customHeight="1" x14ac:dyDescent="0.15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 spans="1:26" ht="12.75" customHeight="1" x14ac:dyDescent="0.15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 spans="1:26" ht="12.75" customHeight="1" x14ac:dyDescent="0.15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 spans="1:26" ht="12.75" customHeight="1" x14ac:dyDescent="0.15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 spans="1:26" ht="12.75" customHeight="1" x14ac:dyDescent="0.15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 spans="1:26" ht="12.75" customHeight="1" x14ac:dyDescent="0.15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 spans="1:26" ht="12.75" customHeight="1" x14ac:dyDescent="0.15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 spans="1:26" ht="12.75" customHeight="1" x14ac:dyDescent="0.15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 spans="1:26" ht="12.75" customHeight="1" x14ac:dyDescent="0.15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 spans="1:26" ht="12.75" customHeight="1" x14ac:dyDescent="0.15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 spans="1:26" ht="12.75" customHeight="1" x14ac:dyDescent="0.15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 spans="1:26" ht="12.75" customHeight="1" x14ac:dyDescent="0.15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 spans="1:26" ht="12.75" customHeight="1" x14ac:dyDescent="0.15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 spans="1:26" ht="12.75" customHeight="1" x14ac:dyDescent="0.15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 spans="1:26" ht="12.75" customHeight="1" x14ac:dyDescent="0.15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 spans="1:26" ht="12.75" customHeight="1" x14ac:dyDescent="0.15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 spans="1:26" ht="12.75" customHeight="1" x14ac:dyDescent="0.15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 spans="1:26" ht="12.75" customHeight="1" x14ac:dyDescent="0.15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 spans="1:26" ht="12.75" customHeight="1" x14ac:dyDescent="0.15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 spans="1:26" ht="12.75" customHeight="1" x14ac:dyDescent="0.15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 spans="1:26" ht="12.75" customHeight="1" x14ac:dyDescent="0.15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 spans="1:26" ht="12.75" customHeight="1" x14ac:dyDescent="0.15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 spans="1:26" ht="12.75" customHeight="1" x14ac:dyDescent="0.15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 spans="1:26" ht="12.75" customHeight="1" x14ac:dyDescent="0.15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 spans="1:26" ht="12.75" customHeight="1" x14ac:dyDescent="0.15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 spans="1:26" ht="12.75" customHeight="1" x14ac:dyDescent="0.15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 spans="1:26" ht="12.75" customHeight="1" x14ac:dyDescent="0.15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 spans="1:26" ht="12.75" customHeight="1" x14ac:dyDescent="0.15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 spans="1:26" ht="12.75" customHeight="1" x14ac:dyDescent="0.15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 spans="1:26" ht="12.75" customHeight="1" x14ac:dyDescent="0.15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 spans="1:26" ht="12.75" customHeight="1" x14ac:dyDescent="0.15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 spans="1:26" ht="12.75" customHeight="1" x14ac:dyDescent="0.15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 spans="1:26" ht="12.75" customHeight="1" x14ac:dyDescent="0.15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 spans="1:26" ht="12.75" customHeight="1" x14ac:dyDescent="0.15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 spans="1:26" ht="12.75" customHeight="1" x14ac:dyDescent="0.15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 spans="1:26" ht="12.75" customHeight="1" x14ac:dyDescent="0.15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 spans="1:26" ht="12.75" customHeight="1" x14ac:dyDescent="0.15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 spans="1:26" ht="12.75" customHeight="1" x14ac:dyDescent="0.15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 spans="1:26" ht="12.75" customHeight="1" x14ac:dyDescent="0.15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 spans="1:26" ht="12.75" customHeight="1" x14ac:dyDescent="0.15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 spans="1:26" ht="12.75" customHeight="1" x14ac:dyDescent="0.15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 spans="1:26" ht="12.75" customHeight="1" x14ac:dyDescent="0.15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 spans="1:26" ht="12.75" customHeight="1" x14ac:dyDescent="0.15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 spans="1:26" ht="12.75" customHeight="1" x14ac:dyDescent="0.15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 spans="1:26" ht="12.75" customHeight="1" x14ac:dyDescent="0.15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 spans="1:26" ht="12.75" customHeight="1" x14ac:dyDescent="0.15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 spans="1:26" ht="12.75" customHeight="1" x14ac:dyDescent="0.15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 spans="1:26" ht="12.75" customHeight="1" x14ac:dyDescent="0.15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 spans="1:26" ht="12.75" customHeight="1" x14ac:dyDescent="0.15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 spans="1:26" ht="12.75" customHeight="1" x14ac:dyDescent="0.15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 spans="1:26" ht="12.75" customHeight="1" x14ac:dyDescent="0.15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 spans="1:26" ht="12.75" customHeight="1" x14ac:dyDescent="0.15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 spans="1:26" ht="12.75" customHeight="1" x14ac:dyDescent="0.15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 spans="1:26" ht="12.75" customHeight="1" x14ac:dyDescent="0.15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 spans="1:26" ht="12.75" customHeight="1" x14ac:dyDescent="0.15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 spans="1:26" ht="12.75" customHeight="1" x14ac:dyDescent="0.15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 spans="1:26" ht="12.75" customHeight="1" x14ac:dyDescent="0.15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 spans="1:26" ht="12.75" customHeight="1" x14ac:dyDescent="0.15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 spans="1:26" ht="12.75" customHeight="1" x14ac:dyDescent="0.15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 spans="1:26" ht="12.75" customHeight="1" x14ac:dyDescent="0.15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 spans="1:26" ht="12.75" customHeight="1" x14ac:dyDescent="0.15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 spans="1:26" ht="12.75" customHeight="1" x14ac:dyDescent="0.15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 spans="1:26" ht="12.75" customHeight="1" x14ac:dyDescent="0.15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 spans="1:26" ht="12.75" customHeight="1" x14ac:dyDescent="0.15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 spans="1:26" ht="12.75" customHeight="1" x14ac:dyDescent="0.15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 spans="1:26" ht="12.75" customHeight="1" x14ac:dyDescent="0.15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 spans="1:26" ht="12.75" customHeight="1" x14ac:dyDescent="0.15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 spans="1:26" ht="12.75" customHeight="1" x14ac:dyDescent="0.15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 spans="1:26" ht="12.75" customHeight="1" x14ac:dyDescent="0.15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 spans="1:26" ht="12.75" customHeight="1" x14ac:dyDescent="0.15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 spans="1:26" ht="12.75" customHeight="1" x14ac:dyDescent="0.15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 spans="1:26" ht="12.75" customHeight="1" x14ac:dyDescent="0.15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 spans="1:26" ht="12.75" customHeight="1" x14ac:dyDescent="0.15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 spans="1:26" ht="12.75" customHeight="1" x14ac:dyDescent="0.15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 spans="1:26" ht="12.75" customHeight="1" x14ac:dyDescent="0.15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 spans="1:26" ht="12.75" customHeight="1" x14ac:dyDescent="0.15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 spans="1:26" ht="12.75" customHeight="1" x14ac:dyDescent="0.15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 spans="1:26" ht="12.75" customHeight="1" x14ac:dyDescent="0.15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 spans="1:26" ht="12.75" customHeight="1" x14ac:dyDescent="0.15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 spans="1:26" ht="12.75" customHeight="1" x14ac:dyDescent="0.15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 spans="1:26" ht="12.75" customHeight="1" x14ac:dyDescent="0.15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 spans="1:26" ht="12.75" customHeight="1" x14ac:dyDescent="0.15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 spans="1:26" ht="12.75" customHeight="1" x14ac:dyDescent="0.15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 spans="1:26" ht="12.75" customHeight="1" x14ac:dyDescent="0.15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 spans="1:26" ht="12.75" customHeight="1" x14ac:dyDescent="0.15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 spans="1:26" ht="12.75" customHeight="1" x14ac:dyDescent="0.15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 spans="1:26" ht="12.75" customHeight="1" x14ac:dyDescent="0.15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 spans="1:26" ht="12.75" customHeight="1" x14ac:dyDescent="0.15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 spans="1:26" ht="12.75" customHeight="1" x14ac:dyDescent="0.15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 spans="1:26" ht="12.75" customHeight="1" x14ac:dyDescent="0.15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 spans="1:26" ht="12.75" customHeight="1" x14ac:dyDescent="0.15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 spans="1:26" ht="12.75" customHeight="1" x14ac:dyDescent="0.15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 spans="1:26" ht="12.75" customHeight="1" x14ac:dyDescent="0.15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 spans="1:26" ht="12.75" customHeight="1" x14ac:dyDescent="0.15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 spans="1:26" ht="12.75" customHeight="1" x14ac:dyDescent="0.15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 spans="1:26" ht="12.75" customHeight="1" x14ac:dyDescent="0.15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 spans="1:26" ht="12.75" customHeight="1" x14ac:dyDescent="0.15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 spans="1:26" ht="12.75" customHeight="1" x14ac:dyDescent="0.15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 spans="1:26" ht="12.75" customHeight="1" x14ac:dyDescent="0.15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 spans="1:26" ht="12.75" customHeight="1" x14ac:dyDescent="0.15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 spans="1:26" ht="12.75" customHeight="1" x14ac:dyDescent="0.15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 spans="1:26" ht="12.75" customHeight="1" x14ac:dyDescent="0.15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 spans="1:26" ht="12.75" customHeight="1" x14ac:dyDescent="0.15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 spans="1:26" ht="12.75" customHeight="1" x14ac:dyDescent="0.15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 spans="1:26" ht="12.75" customHeight="1" x14ac:dyDescent="0.15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 spans="1:26" ht="12.75" customHeight="1" x14ac:dyDescent="0.15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 spans="1:26" ht="12.75" customHeight="1" x14ac:dyDescent="0.15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 spans="1:26" ht="12.75" customHeight="1" x14ac:dyDescent="0.15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 spans="1:26" ht="12.75" customHeight="1" x14ac:dyDescent="0.15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 spans="1:26" ht="12.75" customHeight="1" x14ac:dyDescent="0.15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 spans="1:26" ht="12.75" customHeight="1" x14ac:dyDescent="0.15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 spans="1:26" ht="12.75" customHeight="1" x14ac:dyDescent="0.15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 spans="1:26" ht="12.75" customHeight="1" x14ac:dyDescent="0.15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 spans="1:26" ht="12.75" customHeight="1" x14ac:dyDescent="0.15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 spans="1:26" ht="12.75" customHeight="1" x14ac:dyDescent="0.15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 spans="1:26" ht="12.75" customHeight="1" x14ac:dyDescent="0.15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 spans="1:26" ht="12.75" customHeight="1" x14ac:dyDescent="0.15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 spans="1:26" ht="12.75" customHeight="1" x14ac:dyDescent="0.15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 spans="1:26" ht="12.75" customHeight="1" x14ac:dyDescent="0.15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 spans="1:26" ht="12.75" customHeight="1" x14ac:dyDescent="0.15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 spans="1:26" ht="12.75" customHeight="1" x14ac:dyDescent="0.15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 spans="1:26" ht="12.75" customHeight="1" x14ac:dyDescent="0.15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 spans="1:26" ht="12.75" customHeight="1" x14ac:dyDescent="0.15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 spans="1:26" ht="12.75" customHeight="1" x14ac:dyDescent="0.15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 spans="1:26" ht="12.75" customHeight="1" x14ac:dyDescent="0.15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 spans="1:26" ht="12.75" customHeight="1" x14ac:dyDescent="0.15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 spans="1:26" ht="12.75" customHeight="1" x14ac:dyDescent="0.15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 spans="1:26" ht="12.75" customHeight="1" x14ac:dyDescent="0.15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 spans="1:26" ht="12.75" customHeight="1" x14ac:dyDescent="0.15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 spans="1:26" ht="12.75" customHeight="1" x14ac:dyDescent="0.15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 spans="1:26" ht="12.75" customHeight="1" x14ac:dyDescent="0.15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 spans="1:26" ht="12.75" customHeight="1" x14ac:dyDescent="0.15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 spans="1:26" ht="12.75" customHeight="1" x14ac:dyDescent="0.15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 spans="1:26" ht="12.75" customHeight="1" x14ac:dyDescent="0.15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 spans="1:26" ht="12.75" customHeight="1" x14ac:dyDescent="0.15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 spans="1:26" ht="12.75" customHeight="1" x14ac:dyDescent="0.15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 spans="1:26" ht="12.75" customHeight="1" x14ac:dyDescent="0.15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 spans="1:26" ht="12.75" customHeight="1" x14ac:dyDescent="0.15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 spans="1:26" ht="12.75" customHeight="1" x14ac:dyDescent="0.15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 spans="1:26" ht="12.75" customHeight="1" x14ac:dyDescent="0.15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 spans="1:26" ht="12.75" customHeight="1" x14ac:dyDescent="0.15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 spans="1:26" ht="12.75" customHeight="1" x14ac:dyDescent="0.15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 spans="1:26" ht="12.75" customHeight="1" x14ac:dyDescent="0.15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 spans="1:26" ht="12.75" customHeight="1" x14ac:dyDescent="0.15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 spans="1:26" ht="12.75" customHeight="1" x14ac:dyDescent="0.15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 spans="1:26" ht="12.75" customHeight="1" x14ac:dyDescent="0.15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 spans="1:26" ht="12.75" customHeight="1" x14ac:dyDescent="0.15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 spans="1:26" ht="12.75" customHeight="1" x14ac:dyDescent="0.15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 spans="1:26" ht="12.75" customHeight="1" x14ac:dyDescent="0.15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 spans="1:26" ht="12.75" customHeight="1" x14ac:dyDescent="0.15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 spans="1:26" ht="12.75" customHeight="1" x14ac:dyDescent="0.15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 spans="1:26" ht="12.75" customHeight="1" x14ac:dyDescent="0.15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 spans="1:26" ht="12.75" customHeight="1" x14ac:dyDescent="0.15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 spans="1:26" ht="12.75" customHeight="1" x14ac:dyDescent="0.15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 spans="1:26" ht="12.75" customHeight="1" x14ac:dyDescent="0.15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 spans="1:26" ht="12.75" customHeight="1" x14ac:dyDescent="0.15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 spans="1:26" ht="12.75" customHeight="1" x14ac:dyDescent="0.15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 spans="1:26" ht="12.75" customHeight="1" x14ac:dyDescent="0.15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 spans="1:26" ht="12.75" customHeight="1" x14ac:dyDescent="0.15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 spans="1:26" ht="12.75" customHeight="1" x14ac:dyDescent="0.15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 spans="1:26" ht="12.75" customHeight="1" x14ac:dyDescent="0.15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 spans="1:26" ht="12.75" customHeight="1" x14ac:dyDescent="0.15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 spans="1:26" ht="12.75" customHeight="1" x14ac:dyDescent="0.15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 spans="1:26" ht="12.75" customHeight="1" x14ac:dyDescent="0.15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 spans="1:26" ht="12.75" customHeight="1" x14ac:dyDescent="0.15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 spans="1:26" ht="12.75" customHeight="1" x14ac:dyDescent="0.15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 spans="1:26" ht="12.75" customHeight="1" x14ac:dyDescent="0.15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 spans="1:26" ht="12.75" customHeight="1" x14ac:dyDescent="0.15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 spans="1:26" ht="12.75" customHeight="1" x14ac:dyDescent="0.15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 spans="1:26" ht="12.75" customHeight="1" x14ac:dyDescent="0.15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 spans="1:26" ht="12.75" customHeight="1" x14ac:dyDescent="0.15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 spans="1:26" ht="12.75" customHeight="1" x14ac:dyDescent="0.15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 spans="1:26" ht="12.75" customHeight="1" x14ac:dyDescent="0.15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 spans="1:26" ht="12.75" customHeight="1" x14ac:dyDescent="0.15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 spans="1:26" ht="12.75" customHeight="1" x14ac:dyDescent="0.15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 spans="1:26" ht="12.75" customHeight="1" x14ac:dyDescent="0.15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 spans="1:26" ht="12.75" customHeight="1" x14ac:dyDescent="0.15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 spans="1:26" ht="12.75" customHeight="1" x14ac:dyDescent="0.15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 spans="1:26" ht="12.75" customHeight="1" x14ac:dyDescent="0.15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 spans="1:26" ht="12.75" customHeight="1" x14ac:dyDescent="0.15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 spans="1:26" ht="12.75" customHeight="1" x14ac:dyDescent="0.15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 spans="1:26" ht="12.75" customHeight="1" x14ac:dyDescent="0.15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 spans="1:26" ht="12.75" customHeight="1" x14ac:dyDescent="0.15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 spans="1:26" ht="12.75" customHeight="1" x14ac:dyDescent="0.15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 spans="1:26" ht="12.75" customHeight="1" x14ac:dyDescent="0.15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 spans="1:26" ht="12.75" customHeight="1" x14ac:dyDescent="0.15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 spans="1:26" ht="12.75" customHeight="1" x14ac:dyDescent="0.15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 spans="1:26" ht="12.75" customHeight="1" x14ac:dyDescent="0.15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 spans="1:26" ht="12.75" customHeight="1" x14ac:dyDescent="0.15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 spans="1:26" ht="12.75" customHeight="1" x14ac:dyDescent="0.15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 spans="1:26" ht="12.75" customHeight="1" x14ac:dyDescent="0.15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 spans="1:26" ht="12.75" customHeight="1" x14ac:dyDescent="0.15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 spans="1:26" ht="12.75" customHeight="1" x14ac:dyDescent="0.15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 spans="1:26" ht="12.75" customHeight="1" x14ac:dyDescent="0.15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 spans="1:26" ht="12.75" customHeight="1" x14ac:dyDescent="0.15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 spans="1:26" ht="12.75" customHeight="1" x14ac:dyDescent="0.15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 spans="1:26" ht="12.75" customHeight="1" x14ac:dyDescent="0.15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 spans="1:26" ht="12.75" customHeight="1" x14ac:dyDescent="0.15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 spans="1:26" ht="12.75" customHeight="1" x14ac:dyDescent="0.15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 spans="1:26" ht="12.75" customHeight="1" x14ac:dyDescent="0.15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 spans="1:26" ht="12.75" customHeight="1" x14ac:dyDescent="0.15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 spans="1:26" ht="12.75" customHeight="1" x14ac:dyDescent="0.15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 spans="1:26" ht="12.75" customHeight="1" x14ac:dyDescent="0.15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 spans="1:26" ht="12.75" customHeight="1" x14ac:dyDescent="0.15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 spans="1:26" ht="12.75" customHeight="1" x14ac:dyDescent="0.15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 spans="1:26" ht="12.75" customHeight="1" x14ac:dyDescent="0.15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 spans="1:26" ht="12.75" customHeight="1" x14ac:dyDescent="0.15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 spans="1:26" ht="12.75" customHeight="1" x14ac:dyDescent="0.15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 spans="1:26" ht="12.75" customHeight="1" x14ac:dyDescent="0.15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 spans="1:26" ht="12.75" customHeight="1" x14ac:dyDescent="0.15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 spans="1:26" ht="12.75" customHeight="1" x14ac:dyDescent="0.15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 spans="1:26" ht="12.75" customHeight="1" x14ac:dyDescent="0.15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 spans="1:26" ht="12.75" customHeight="1" x14ac:dyDescent="0.15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 spans="1:26" ht="12.75" customHeight="1" x14ac:dyDescent="0.15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 spans="1:26" ht="12.75" customHeight="1" x14ac:dyDescent="0.15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 spans="1:26" ht="12.75" customHeight="1" x14ac:dyDescent="0.15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 spans="1:26" ht="12.75" customHeight="1" x14ac:dyDescent="0.15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 spans="1:26" ht="12.75" customHeight="1" x14ac:dyDescent="0.15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 spans="1:26" ht="12.75" customHeight="1" x14ac:dyDescent="0.15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 spans="1:26" ht="12.75" customHeight="1" x14ac:dyDescent="0.15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 spans="1:26" ht="12.75" customHeight="1" x14ac:dyDescent="0.15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 spans="1:26" ht="12.75" customHeight="1" x14ac:dyDescent="0.15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 spans="1:26" ht="12.75" customHeight="1" x14ac:dyDescent="0.15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 spans="1:26" ht="12.75" customHeight="1" x14ac:dyDescent="0.15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 spans="1:26" ht="12.75" customHeight="1" x14ac:dyDescent="0.15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 spans="1:26" ht="12.75" customHeight="1" x14ac:dyDescent="0.15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 spans="1:26" ht="12.75" customHeight="1" x14ac:dyDescent="0.15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 spans="1:26" ht="12.75" customHeight="1" x14ac:dyDescent="0.15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 spans="1:26" ht="12.75" customHeight="1" x14ac:dyDescent="0.15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 spans="1:26" ht="12.75" customHeight="1" x14ac:dyDescent="0.15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 spans="1:26" ht="12.75" customHeight="1" x14ac:dyDescent="0.15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 spans="1:26" ht="12.75" customHeight="1" x14ac:dyDescent="0.15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 spans="1:26" ht="12.75" customHeight="1" x14ac:dyDescent="0.15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 spans="1:26" ht="12.75" customHeight="1" x14ac:dyDescent="0.15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 spans="1:26" ht="12.75" customHeight="1" x14ac:dyDescent="0.15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 spans="1:26" ht="12.75" customHeight="1" x14ac:dyDescent="0.15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 spans="1:26" ht="12.75" customHeight="1" x14ac:dyDescent="0.15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 spans="1:26" ht="12.75" customHeight="1" x14ac:dyDescent="0.15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 spans="1:26" ht="12.75" customHeight="1" x14ac:dyDescent="0.15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 spans="1:26" ht="12.75" customHeight="1" x14ac:dyDescent="0.15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 spans="1:26" ht="12.75" customHeight="1" x14ac:dyDescent="0.15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 spans="1:26" ht="12.75" customHeight="1" x14ac:dyDescent="0.15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 spans="1:26" ht="12.75" customHeight="1" x14ac:dyDescent="0.15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 spans="1:26" ht="12.75" customHeight="1" x14ac:dyDescent="0.15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 spans="1:26" ht="12.75" customHeight="1" x14ac:dyDescent="0.15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 spans="1:26" ht="12.75" customHeight="1" x14ac:dyDescent="0.15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 spans="1:26" ht="12.75" customHeight="1" x14ac:dyDescent="0.15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 spans="1:26" ht="12.75" customHeight="1" x14ac:dyDescent="0.15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 spans="1:26" ht="12.75" customHeight="1" x14ac:dyDescent="0.15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 spans="1:26" ht="12.75" customHeight="1" x14ac:dyDescent="0.15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 spans="1:26" ht="12.75" customHeight="1" x14ac:dyDescent="0.15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 spans="1:26" ht="12.75" customHeight="1" x14ac:dyDescent="0.15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 spans="1:26" ht="12.75" customHeight="1" x14ac:dyDescent="0.15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 spans="1:26" ht="12.75" customHeight="1" x14ac:dyDescent="0.15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 spans="1:26" ht="12.75" customHeight="1" x14ac:dyDescent="0.15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 spans="1:26" ht="12.75" customHeight="1" x14ac:dyDescent="0.15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 spans="1:26" ht="12.75" customHeight="1" x14ac:dyDescent="0.15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 spans="1:26" ht="12.75" customHeight="1" x14ac:dyDescent="0.15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 spans="1:26" ht="12.75" customHeight="1" x14ac:dyDescent="0.15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 spans="1:26" ht="12.75" customHeight="1" x14ac:dyDescent="0.15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 spans="1:26" ht="12.75" customHeight="1" x14ac:dyDescent="0.15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 spans="1:26" ht="12.75" customHeight="1" x14ac:dyDescent="0.15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 spans="1:26" ht="12.75" customHeight="1" x14ac:dyDescent="0.15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 spans="1:26" ht="12.75" customHeight="1" x14ac:dyDescent="0.15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 spans="1:26" ht="12.75" customHeight="1" x14ac:dyDescent="0.15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 spans="1:26" ht="12.75" customHeight="1" x14ac:dyDescent="0.15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 spans="1:26" ht="12.75" customHeight="1" x14ac:dyDescent="0.15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 spans="1:26" ht="12.75" customHeight="1" x14ac:dyDescent="0.15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 spans="1:26" ht="12.75" customHeight="1" x14ac:dyDescent="0.15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 spans="1:26" ht="12.75" customHeight="1" x14ac:dyDescent="0.15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 spans="1:26" ht="12.75" customHeight="1" x14ac:dyDescent="0.15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 spans="1:26" ht="12.75" customHeight="1" x14ac:dyDescent="0.15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 spans="1:26" ht="12.75" customHeight="1" x14ac:dyDescent="0.15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 spans="1:26" ht="12.75" customHeight="1" x14ac:dyDescent="0.15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 spans="1:26" ht="12.75" customHeight="1" x14ac:dyDescent="0.15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 spans="1:26" ht="12.75" customHeight="1" x14ac:dyDescent="0.15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 spans="1:26" ht="12.75" customHeight="1" x14ac:dyDescent="0.15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 spans="1:26" ht="12.75" customHeight="1" x14ac:dyDescent="0.15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 spans="1:26" ht="12.75" customHeight="1" x14ac:dyDescent="0.15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 spans="1:26" ht="12.75" customHeight="1" x14ac:dyDescent="0.15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 spans="1:26" ht="12.75" customHeight="1" x14ac:dyDescent="0.15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 spans="1:26" ht="12.75" customHeight="1" x14ac:dyDescent="0.15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 spans="1:26" ht="12.75" customHeight="1" x14ac:dyDescent="0.15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 spans="1:26" ht="12.75" customHeight="1" x14ac:dyDescent="0.15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 spans="1:26" ht="12.75" customHeight="1" x14ac:dyDescent="0.15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 spans="1:26" ht="12.75" customHeight="1" x14ac:dyDescent="0.15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 spans="1:26" ht="12.75" customHeight="1" x14ac:dyDescent="0.15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 spans="1:26" ht="12.75" customHeight="1" x14ac:dyDescent="0.15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 spans="1:26" ht="12.75" customHeight="1" x14ac:dyDescent="0.15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 spans="1:26" ht="12.75" customHeight="1" x14ac:dyDescent="0.15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 spans="1:26" ht="12.75" customHeight="1" x14ac:dyDescent="0.15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 spans="1:26" ht="12.75" customHeight="1" x14ac:dyDescent="0.15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 spans="1:26" ht="12.75" customHeight="1" x14ac:dyDescent="0.15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 spans="1:26" ht="12.75" customHeight="1" x14ac:dyDescent="0.15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 spans="1:26" ht="12.75" customHeight="1" x14ac:dyDescent="0.15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 spans="1:26" ht="12.75" customHeight="1" x14ac:dyDescent="0.15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 spans="1:26" ht="12.75" customHeight="1" x14ac:dyDescent="0.15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 spans="1:26" ht="12.75" customHeight="1" x14ac:dyDescent="0.15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 spans="1:26" ht="12.75" customHeight="1" x14ac:dyDescent="0.15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 spans="1:26" ht="12.75" customHeight="1" x14ac:dyDescent="0.15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 spans="1:26" ht="12.75" customHeight="1" x14ac:dyDescent="0.15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 spans="1:26" ht="12.75" customHeight="1" x14ac:dyDescent="0.15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 spans="1:26" ht="12.75" customHeight="1" x14ac:dyDescent="0.15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 spans="1:26" ht="12.75" customHeight="1" x14ac:dyDescent="0.15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 spans="1:26" ht="12.75" customHeight="1" x14ac:dyDescent="0.15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 spans="1:26" ht="12.75" customHeight="1" x14ac:dyDescent="0.15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 spans="1:26" ht="12.75" customHeight="1" x14ac:dyDescent="0.15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 spans="1:26" ht="12.75" customHeight="1" x14ac:dyDescent="0.15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 spans="1:26" ht="12.75" customHeight="1" x14ac:dyDescent="0.15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 spans="1:26" ht="12.75" customHeight="1" x14ac:dyDescent="0.15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 spans="1:26" ht="12.75" customHeight="1" x14ac:dyDescent="0.15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 spans="1:26" ht="12.75" customHeight="1" x14ac:dyDescent="0.15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 spans="1:26" ht="12.75" customHeight="1" x14ac:dyDescent="0.15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 spans="1:26" ht="12.75" customHeight="1" x14ac:dyDescent="0.15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 spans="1:26" ht="12.75" customHeight="1" x14ac:dyDescent="0.15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 spans="1:26" ht="12.75" customHeight="1" x14ac:dyDescent="0.15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 spans="1:26" ht="12.75" customHeight="1" x14ac:dyDescent="0.15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 spans="1:26" ht="12.75" customHeight="1" x14ac:dyDescent="0.15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 spans="1:26" ht="12.75" customHeight="1" x14ac:dyDescent="0.15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 spans="1:26" ht="12.75" customHeight="1" x14ac:dyDescent="0.15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 spans="1:26" ht="12.75" customHeight="1" x14ac:dyDescent="0.15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 spans="1:26" ht="12.75" customHeight="1" x14ac:dyDescent="0.15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 spans="1:26" ht="12.75" customHeight="1" x14ac:dyDescent="0.15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 spans="1:26" ht="12.75" customHeight="1" x14ac:dyDescent="0.15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 spans="1:26" ht="12.75" customHeight="1" x14ac:dyDescent="0.15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 spans="1:26" ht="12.75" customHeight="1" x14ac:dyDescent="0.15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 spans="1:26" ht="12.75" customHeight="1" x14ac:dyDescent="0.15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 spans="1:26" ht="12.75" customHeight="1" x14ac:dyDescent="0.15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 spans="1:26" ht="12.75" customHeight="1" x14ac:dyDescent="0.15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 spans="1:26" ht="12.75" customHeight="1" x14ac:dyDescent="0.15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 spans="1:26" ht="12.75" customHeight="1" x14ac:dyDescent="0.15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 spans="1:26" ht="12.75" customHeight="1" x14ac:dyDescent="0.15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 spans="1:26" ht="12.75" customHeight="1" x14ac:dyDescent="0.15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 spans="1:26" ht="12.75" customHeight="1" x14ac:dyDescent="0.15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 spans="1:26" ht="12.75" customHeight="1" x14ac:dyDescent="0.15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 spans="1:26" ht="12.75" customHeight="1" x14ac:dyDescent="0.15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 spans="1:26" ht="12.75" customHeight="1" x14ac:dyDescent="0.15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 spans="1:26" ht="12.75" customHeight="1" x14ac:dyDescent="0.15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 spans="1:26" ht="12.75" customHeight="1" x14ac:dyDescent="0.15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 spans="1:26" ht="12.75" customHeight="1" x14ac:dyDescent="0.15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 spans="1:26" ht="12.75" customHeight="1" x14ac:dyDescent="0.15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 spans="1:26" ht="12.75" customHeight="1" x14ac:dyDescent="0.15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 spans="1:26" ht="12.75" customHeight="1" x14ac:dyDescent="0.15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 spans="1:26" ht="12.75" customHeight="1" x14ac:dyDescent="0.15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 spans="1:26" ht="12.75" customHeight="1" x14ac:dyDescent="0.15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 spans="1:26" ht="12.75" customHeight="1" x14ac:dyDescent="0.15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 spans="1:26" ht="12.75" customHeight="1" x14ac:dyDescent="0.15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 spans="1:26" ht="12.75" customHeight="1" x14ac:dyDescent="0.15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 spans="1:26" ht="12.75" customHeight="1" x14ac:dyDescent="0.15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 spans="1:26" ht="12.75" customHeight="1" x14ac:dyDescent="0.15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 spans="1:26" ht="12.75" customHeight="1" x14ac:dyDescent="0.15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 spans="1:26" ht="12.75" customHeight="1" x14ac:dyDescent="0.15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 spans="1:26" ht="12.75" customHeight="1" x14ac:dyDescent="0.15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 spans="1:26" ht="12.75" customHeight="1" x14ac:dyDescent="0.15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 spans="1:26" ht="12.75" customHeight="1" x14ac:dyDescent="0.15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 spans="1:26" ht="12.75" customHeight="1" x14ac:dyDescent="0.15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 spans="1:26" ht="12.75" customHeight="1" x14ac:dyDescent="0.15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 spans="1:26" ht="12.75" customHeight="1" x14ac:dyDescent="0.15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 spans="1:26" ht="12.75" customHeight="1" x14ac:dyDescent="0.15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 spans="1:26" ht="12.75" customHeight="1" x14ac:dyDescent="0.15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 spans="1:26" ht="12.75" customHeight="1" x14ac:dyDescent="0.15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 spans="1:26" ht="12.75" customHeight="1" x14ac:dyDescent="0.15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 spans="1:26" ht="12.75" customHeight="1" x14ac:dyDescent="0.15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 spans="1:26" ht="12.75" customHeight="1" x14ac:dyDescent="0.15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 spans="1:26" ht="12.75" customHeight="1" x14ac:dyDescent="0.15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 spans="1:26" ht="12.75" customHeight="1" x14ac:dyDescent="0.15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 spans="1:26" ht="12.75" customHeight="1" x14ac:dyDescent="0.15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 spans="1:26" ht="12.75" customHeight="1" x14ac:dyDescent="0.15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 spans="1:26" ht="12.75" customHeight="1" x14ac:dyDescent="0.15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 spans="1:26" ht="12.75" customHeight="1" x14ac:dyDescent="0.15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 spans="1:26" ht="12.75" customHeight="1" x14ac:dyDescent="0.15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 spans="1:26" ht="12.75" customHeight="1" x14ac:dyDescent="0.15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 spans="1:26" ht="12.75" customHeight="1" x14ac:dyDescent="0.15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 spans="1:26" ht="12.75" customHeight="1" x14ac:dyDescent="0.15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 spans="1:26" ht="12.75" customHeight="1" x14ac:dyDescent="0.15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 spans="1:26" ht="12.75" customHeight="1" x14ac:dyDescent="0.15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 spans="1:26" ht="12.75" customHeight="1" x14ac:dyDescent="0.15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 spans="1:26" ht="12.75" customHeight="1" x14ac:dyDescent="0.15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 spans="1:26" ht="12.75" customHeight="1" x14ac:dyDescent="0.15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 spans="1:26" ht="12.75" customHeight="1" x14ac:dyDescent="0.15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 spans="1:26" ht="12.75" customHeight="1" x14ac:dyDescent="0.15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 spans="1:26" ht="12.75" customHeight="1" x14ac:dyDescent="0.15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 spans="1:26" ht="12.75" customHeight="1" x14ac:dyDescent="0.15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 spans="1:26" ht="12.75" customHeight="1" x14ac:dyDescent="0.15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 spans="1:26" ht="12.75" customHeight="1" x14ac:dyDescent="0.15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 spans="1:26" ht="12.75" customHeight="1" x14ac:dyDescent="0.15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 spans="1:26" ht="12.75" customHeight="1" x14ac:dyDescent="0.15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 spans="1:26" ht="12.75" customHeight="1" x14ac:dyDescent="0.15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 spans="1:26" ht="12.75" customHeight="1" x14ac:dyDescent="0.15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 spans="1:26" ht="12.75" customHeight="1" x14ac:dyDescent="0.15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 spans="1:26" ht="12.75" customHeight="1" x14ac:dyDescent="0.15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 spans="1:26" ht="12.75" customHeight="1" x14ac:dyDescent="0.15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 spans="1:26" ht="12.75" customHeight="1" x14ac:dyDescent="0.15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 spans="1:26" ht="12.75" customHeight="1" x14ac:dyDescent="0.15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 spans="1:26" ht="12.75" customHeight="1" x14ac:dyDescent="0.15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 spans="1:26" ht="12.75" customHeight="1" x14ac:dyDescent="0.15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 spans="1:26" ht="12.75" customHeight="1" x14ac:dyDescent="0.15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 spans="1:26" ht="12.75" customHeight="1" x14ac:dyDescent="0.15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 spans="1:26" ht="12.75" customHeight="1" x14ac:dyDescent="0.15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 spans="1:26" ht="12.75" customHeight="1" x14ac:dyDescent="0.15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 spans="1:26" ht="12.75" customHeight="1" x14ac:dyDescent="0.15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 spans="1:26" ht="12.75" customHeight="1" x14ac:dyDescent="0.15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 spans="1:26" ht="12.75" customHeight="1" x14ac:dyDescent="0.15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 spans="1:26" ht="12.75" customHeight="1" x14ac:dyDescent="0.15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 spans="1:26" ht="12.75" customHeight="1" x14ac:dyDescent="0.15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 spans="1:26" ht="12.75" customHeight="1" x14ac:dyDescent="0.15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 spans="1:26" ht="12.75" customHeight="1" x14ac:dyDescent="0.15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 spans="1:26" ht="12.75" customHeight="1" x14ac:dyDescent="0.15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 spans="1:26" ht="12.75" customHeight="1" x14ac:dyDescent="0.15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 spans="1:26" ht="12.75" customHeight="1" x14ac:dyDescent="0.15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 spans="1:26" ht="12.75" customHeight="1" x14ac:dyDescent="0.15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 spans="1:26" ht="12.75" customHeight="1" x14ac:dyDescent="0.15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 spans="1:26" ht="12.75" customHeight="1" x14ac:dyDescent="0.15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 spans="1:26" ht="12.75" customHeight="1" x14ac:dyDescent="0.15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 spans="1:26" ht="12.75" customHeight="1" x14ac:dyDescent="0.15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 spans="1:26" ht="12.75" customHeight="1" x14ac:dyDescent="0.15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 spans="1:26" ht="12.75" customHeight="1" x14ac:dyDescent="0.15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 spans="1:26" ht="12.75" customHeight="1" x14ac:dyDescent="0.15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 spans="1:26" ht="12.75" customHeight="1" x14ac:dyDescent="0.15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 spans="1:26" ht="12.75" customHeight="1" x14ac:dyDescent="0.15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 spans="1:26" ht="12.75" customHeight="1" x14ac:dyDescent="0.15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 spans="1:26" ht="12.75" customHeight="1" x14ac:dyDescent="0.15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 spans="1:26" ht="12.75" customHeight="1" x14ac:dyDescent="0.15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 spans="1:26" ht="12.75" customHeight="1" x14ac:dyDescent="0.15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 spans="1:26" ht="12.75" customHeight="1" x14ac:dyDescent="0.15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 spans="1:26" ht="12.75" customHeight="1" x14ac:dyDescent="0.15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 spans="1:26" ht="12.75" customHeight="1" x14ac:dyDescent="0.15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 spans="1:26" ht="12.75" customHeight="1" x14ac:dyDescent="0.15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 spans="1:26" ht="12.75" customHeight="1" x14ac:dyDescent="0.15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 spans="1:26" ht="12.75" customHeight="1" x14ac:dyDescent="0.15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 spans="1:26" ht="12.75" customHeight="1" x14ac:dyDescent="0.15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 spans="1:26" ht="12.75" customHeight="1" x14ac:dyDescent="0.15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 spans="1:26" ht="12.75" customHeight="1" x14ac:dyDescent="0.15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 spans="1:26" ht="12.75" customHeight="1" x14ac:dyDescent="0.15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 spans="1:26" ht="12.75" customHeight="1" x14ac:dyDescent="0.15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 spans="1:26" ht="12.75" customHeight="1" x14ac:dyDescent="0.15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 spans="1:26" ht="12.75" customHeight="1" x14ac:dyDescent="0.15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 spans="1:26" ht="12.75" customHeight="1" x14ac:dyDescent="0.15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 spans="1:26" ht="12.75" customHeight="1" x14ac:dyDescent="0.15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 spans="1:26" ht="12.75" customHeight="1" x14ac:dyDescent="0.15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 spans="1:26" ht="12.75" customHeight="1" x14ac:dyDescent="0.15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 spans="1:26" ht="12.75" customHeight="1" x14ac:dyDescent="0.15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 spans="1:26" ht="12.75" customHeight="1" x14ac:dyDescent="0.15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 spans="1:26" ht="12.75" customHeight="1" x14ac:dyDescent="0.15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 spans="1:26" ht="12.75" customHeight="1" x14ac:dyDescent="0.15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 spans="1:26" ht="12.75" customHeight="1" x14ac:dyDescent="0.15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 spans="1:26" ht="12.75" customHeight="1" x14ac:dyDescent="0.15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 spans="1:26" ht="12.75" customHeight="1" x14ac:dyDescent="0.15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 spans="1:26" ht="12.75" customHeight="1" x14ac:dyDescent="0.15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 spans="1:26" ht="12.75" customHeight="1" x14ac:dyDescent="0.15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 spans="1:26" ht="12.75" customHeight="1" x14ac:dyDescent="0.15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 spans="1:26" ht="12.75" customHeight="1" x14ac:dyDescent="0.15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 spans="1:26" ht="12.75" customHeight="1" x14ac:dyDescent="0.15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 spans="1:26" ht="12.75" customHeight="1" x14ac:dyDescent="0.15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 spans="1:26" ht="12.75" customHeight="1" x14ac:dyDescent="0.15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 spans="1:26" ht="12.75" customHeight="1" x14ac:dyDescent="0.15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 spans="1:26" ht="12.75" customHeight="1" x14ac:dyDescent="0.15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 spans="1:26" ht="12.75" customHeight="1" x14ac:dyDescent="0.15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 spans="1:26" ht="12.75" customHeight="1" x14ac:dyDescent="0.15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 spans="1:26" ht="12.75" customHeight="1" x14ac:dyDescent="0.15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 spans="1:26" ht="12.75" customHeight="1" x14ac:dyDescent="0.15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 spans="1:26" ht="12.75" customHeight="1" x14ac:dyDescent="0.15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 spans="1:26" ht="12.75" customHeight="1" x14ac:dyDescent="0.15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 spans="1:26" ht="12.75" customHeight="1" x14ac:dyDescent="0.15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 spans="1:26" ht="12.75" customHeight="1" x14ac:dyDescent="0.15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 spans="1:26" ht="12.75" customHeight="1" x14ac:dyDescent="0.15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 spans="1:26" ht="12.75" customHeight="1" x14ac:dyDescent="0.15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 spans="1:26" ht="12.75" customHeight="1" x14ac:dyDescent="0.15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 spans="1:26" ht="12.75" customHeight="1" x14ac:dyDescent="0.15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 spans="1:26" ht="12.75" customHeight="1" x14ac:dyDescent="0.15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 spans="1:26" ht="12.75" customHeight="1" x14ac:dyDescent="0.15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 spans="1:26" ht="12.75" customHeight="1" x14ac:dyDescent="0.15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 spans="1:26" ht="12.75" customHeight="1" x14ac:dyDescent="0.15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 spans="1:26" ht="12.75" customHeight="1" x14ac:dyDescent="0.15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 spans="1:26" ht="12.75" customHeight="1" x14ac:dyDescent="0.15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 spans="1:26" ht="12.75" customHeight="1" x14ac:dyDescent="0.15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 spans="1:26" ht="12.75" customHeight="1" x14ac:dyDescent="0.15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 spans="1:26" ht="12.75" customHeight="1" x14ac:dyDescent="0.15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 spans="1:26" ht="12.75" customHeight="1" x14ac:dyDescent="0.15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 spans="1:26" ht="12.75" customHeight="1" x14ac:dyDescent="0.15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 spans="1:26" ht="12.75" customHeight="1" x14ac:dyDescent="0.15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 spans="1:26" ht="12.75" customHeight="1" x14ac:dyDescent="0.15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 spans="1:26" ht="12.75" customHeight="1" x14ac:dyDescent="0.15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 spans="1:26" ht="12.75" customHeight="1" x14ac:dyDescent="0.15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 spans="1:26" ht="12.75" customHeight="1" x14ac:dyDescent="0.15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 spans="1:26" ht="12.75" customHeight="1" x14ac:dyDescent="0.15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 spans="1:26" ht="12.75" customHeight="1" x14ac:dyDescent="0.15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 spans="1:26" ht="12.75" customHeight="1" x14ac:dyDescent="0.15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 spans="1:26" ht="12.75" customHeight="1" x14ac:dyDescent="0.15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 spans="1:26" ht="12.75" customHeight="1" x14ac:dyDescent="0.15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 spans="1:26" ht="12.75" customHeight="1" x14ac:dyDescent="0.15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 spans="1:26" ht="12.75" customHeight="1" x14ac:dyDescent="0.15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 spans="1:26" ht="12.75" customHeight="1" x14ac:dyDescent="0.15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 spans="1:26" ht="12.75" customHeight="1" x14ac:dyDescent="0.15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 spans="1:26" ht="12.75" customHeight="1" x14ac:dyDescent="0.15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 spans="1:26" ht="12.75" customHeight="1" x14ac:dyDescent="0.15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 spans="1:26" ht="12.75" customHeight="1" x14ac:dyDescent="0.15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 spans="1:26" ht="12.75" customHeight="1" x14ac:dyDescent="0.15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 spans="1:26" ht="12.75" customHeight="1" x14ac:dyDescent="0.15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 spans="1:26" ht="12.75" customHeight="1" x14ac:dyDescent="0.15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 spans="1:26" ht="12.75" customHeight="1" x14ac:dyDescent="0.15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 spans="1:26" ht="12.75" customHeight="1" x14ac:dyDescent="0.15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 spans="1:26" ht="12.75" customHeight="1" x14ac:dyDescent="0.15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 spans="1:26" ht="12.75" customHeight="1" x14ac:dyDescent="0.15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 spans="1:26" ht="12.75" customHeight="1" x14ac:dyDescent="0.15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 spans="1:26" ht="12.75" customHeight="1" x14ac:dyDescent="0.15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 spans="1:26" ht="12.75" customHeight="1" x14ac:dyDescent="0.15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 spans="1:26" ht="12.75" customHeight="1" x14ac:dyDescent="0.15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 spans="1:26" ht="12.75" customHeight="1" x14ac:dyDescent="0.15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 spans="1:26" ht="12.75" customHeight="1" x14ac:dyDescent="0.15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 spans="1:26" ht="12.75" customHeight="1" x14ac:dyDescent="0.15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 spans="1:26" ht="12.75" customHeight="1" x14ac:dyDescent="0.15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 spans="1:26" ht="12.75" customHeight="1" x14ac:dyDescent="0.15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 spans="1:26" ht="12.75" customHeight="1" x14ac:dyDescent="0.15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 spans="1:26" ht="12.75" customHeight="1" x14ac:dyDescent="0.15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 spans="1:26" ht="12.75" customHeight="1" x14ac:dyDescent="0.15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 spans="1:26" ht="12.75" customHeight="1" x14ac:dyDescent="0.15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 spans="1:26" ht="12.75" customHeight="1" x14ac:dyDescent="0.15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 spans="1:26" ht="12.75" customHeight="1" x14ac:dyDescent="0.15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 spans="1:26" ht="12.75" customHeight="1" x14ac:dyDescent="0.15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 spans="1:26" ht="12.75" customHeight="1" x14ac:dyDescent="0.15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 spans="1:26" ht="12.75" customHeight="1" x14ac:dyDescent="0.15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 spans="1:26" ht="12.75" customHeight="1" x14ac:dyDescent="0.15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 spans="1:26" ht="12.75" customHeight="1" x14ac:dyDescent="0.15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 spans="1:26" ht="12.75" customHeight="1" x14ac:dyDescent="0.15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 spans="1:26" ht="12.75" customHeight="1" x14ac:dyDescent="0.15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 spans="1:26" ht="12.75" customHeight="1" x14ac:dyDescent="0.15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 spans="1:26" ht="12.75" customHeight="1" x14ac:dyDescent="0.15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 spans="1:26" ht="12.75" customHeight="1" x14ac:dyDescent="0.15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 spans="1:26" ht="12.75" customHeight="1" x14ac:dyDescent="0.15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 spans="1:26" ht="12.75" customHeight="1" x14ac:dyDescent="0.15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 spans="1:26" ht="12.75" customHeight="1" x14ac:dyDescent="0.15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 spans="1:26" ht="12.75" customHeight="1" x14ac:dyDescent="0.15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 spans="1:26" ht="12.75" customHeight="1" x14ac:dyDescent="0.15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 spans="1:26" ht="12.75" customHeight="1" x14ac:dyDescent="0.15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 spans="1:26" ht="12.75" customHeight="1" x14ac:dyDescent="0.15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 spans="1:26" ht="12.75" customHeight="1" x14ac:dyDescent="0.15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 spans="1:26" ht="12.75" customHeight="1" x14ac:dyDescent="0.15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 spans="1:26" ht="12.75" customHeight="1" x14ac:dyDescent="0.15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 spans="1:26" ht="12.75" customHeight="1" x14ac:dyDescent="0.15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 spans="1:26" ht="12.75" customHeight="1" x14ac:dyDescent="0.15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 spans="1:26" ht="12.75" customHeight="1" x14ac:dyDescent="0.15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 spans="1:26" ht="12.75" customHeight="1" x14ac:dyDescent="0.15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 spans="1:26" ht="12.75" customHeight="1" x14ac:dyDescent="0.15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 spans="1:26" ht="12.75" customHeight="1" x14ac:dyDescent="0.15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 spans="1:26" ht="12.75" customHeight="1" x14ac:dyDescent="0.15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 spans="1:26" ht="12.75" customHeight="1" x14ac:dyDescent="0.15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 spans="1:26" ht="12.75" customHeight="1" x14ac:dyDescent="0.15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 spans="1:26" ht="12.75" customHeight="1" x14ac:dyDescent="0.15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 spans="1:26" ht="12.75" customHeight="1" x14ac:dyDescent="0.15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 spans="1:26" ht="12.75" customHeight="1" x14ac:dyDescent="0.15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 spans="1:26" ht="12.75" customHeight="1" x14ac:dyDescent="0.15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 spans="1:26" ht="12.75" customHeight="1" x14ac:dyDescent="0.15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 spans="1:26" ht="12.75" customHeight="1" x14ac:dyDescent="0.15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 spans="1:26" ht="12.75" customHeight="1" x14ac:dyDescent="0.15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 spans="1:26" ht="12.75" customHeight="1" x14ac:dyDescent="0.15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 spans="1:26" ht="12.75" customHeight="1" x14ac:dyDescent="0.15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 spans="1:26" ht="12.75" customHeight="1" x14ac:dyDescent="0.15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 spans="1:26" ht="12.75" customHeight="1" x14ac:dyDescent="0.15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 spans="1:26" ht="12.75" customHeight="1" x14ac:dyDescent="0.15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 spans="1:26" ht="12.75" customHeight="1" x14ac:dyDescent="0.15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 spans="1:26" ht="12.75" customHeight="1" x14ac:dyDescent="0.15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 spans="1:26" ht="12.75" customHeight="1" x14ac:dyDescent="0.15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 spans="1:26" ht="12.75" customHeight="1" x14ac:dyDescent="0.15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 spans="1:26" ht="12.75" customHeight="1" x14ac:dyDescent="0.15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 spans="1:26" ht="12.75" customHeight="1" x14ac:dyDescent="0.15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 spans="1:26" ht="12.75" customHeight="1" x14ac:dyDescent="0.15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 spans="1:26" ht="12.75" customHeight="1" x14ac:dyDescent="0.15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 spans="1:26" ht="12.75" customHeight="1" x14ac:dyDescent="0.15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 spans="1:26" ht="12.75" customHeight="1" x14ac:dyDescent="0.15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 spans="1:26" ht="12.75" customHeight="1" x14ac:dyDescent="0.15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 spans="1:26" ht="12.75" customHeight="1" x14ac:dyDescent="0.15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 spans="1:26" ht="12.75" customHeight="1" x14ac:dyDescent="0.15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 spans="1:26" ht="12.75" customHeight="1" x14ac:dyDescent="0.15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 spans="1:26" ht="12.75" customHeight="1" x14ac:dyDescent="0.15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 spans="1:26" ht="12.75" customHeight="1" x14ac:dyDescent="0.15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 spans="1:26" ht="12.75" customHeight="1" x14ac:dyDescent="0.15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 spans="1:26" ht="12.75" customHeight="1" x14ac:dyDescent="0.15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 spans="1:26" ht="12.75" customHeight="1" x14ac:dyDescent="0.15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 spans="1:26" ht="12.75" customHeight="1" x14ac:dyDescent="0.15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 spans="1:26" ht="12.75" customHeight="1" x14ac:dyDescent="0.15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 spans="1:26" ht="12.75" customHeight="1" x14ac:dyDescent="0.15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 spans="1:26" ht="12.75" customHeight="1" x14ac:dyDescent="0.15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 spans="1:26" ht="12.75" customHeight="1" x14ac:dyDescent="0.15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 spans="1:26" ht="12.75" customHeight="1" x14ac:dyDescent="0.15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 spans="1:26" ht="12.75" customHeight="1" x14ac:dyDescent="0.15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 spans="1:26" ht="12.75" customHeight="1" x14ac:dyDescent="0.15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 spans="1:26" ht="12.75" customHeight="1" x14ac:dyDescent="0.15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 spans="1:26" ht="12.75" customHeight="1" x14ac:dyDescent="0.15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 spans="1:26" ht="12.75" customHeight="1" x14ac:dyDescent="0.15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 spans="1:26" ht="12.75" customHeight="1" x14ac:dyDescent="0.15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 spans="1:26" ht="12.75" customHeight="1" x14ac:dyDescent="0.15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 spans="1:26" ht="12.75" customHeight="1" x14ac:dyDescent="0.15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 spans="1:26" ht="12.75" customHeight="1" x14ac:dyDescent="0.15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 spans="1:26" ht="12.75" customHeight="1" x14ac:dyDescent="0.15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 spans="1:26" ht="12.75" customHeight="1" x14ac:dyDescent="0.15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 spans="1:26" ht="12.75" customHeight="1" x14ac:dyDescent="0.15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 spans="1:26" ht="12.75" customHeight="1" x14ac:dyDescent="0.15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 spans="1:26" ht="12.75" customHeight="1" x14ac:dyDescent="0.15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 spans="1:26" ht="12.75" customHeight="1" x14ac:dyDescent="0.15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 spans="1:26" ht="12.75" customHeight="1" x14ac:dyDescent="0.15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 spans="1:26" ht="12.75" customHeight="1" x14ac:dyDescent="0.15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 spans="1:26" ht="12.75" customHeight="1" x14ac:dyDescent="0.15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 spans="1:26" ht="12.75" customHeight="1" x14ac:dyDescent="0.15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 spans="1:26" ht="12.75" customHeight="1" x14ac:dyDescent="0.15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 spans="1:26" ht="12.75" customHeight="1" x14ac:dyDescent="0.15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 spans="1:26" ht="12.75" customHeight="1" x14ac:dyDescent="0.15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 spans="1:26" ht="12.75" customHeight="1" x14ac:dyDescent="0.15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 spans="1:26" ht="12.75" customHeight="1" x14ac:dyDescent="0.15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 spans="1:26" ht="12.75" customHeight="1" x14ac:dyDescent="0.15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 spans="1:26" ht="12.75" customHeight="1" x14ac:dyDescent="0.15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 spans="1:26" ht="12.75" customHeight="1" x14ac:dyDescent="0.15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 spans="1:26" ht="12.75" customHeight="1" x14ac:dyDescent="0.15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 spans="1:26" ht="12.75" customHeight="1" x14ac:dyDescent="0.15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 spans="1:26" ht="12.75" customHeight="1" x14ac:dyDescent="0.15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 spans="1:26" ht="12.75" customHeight="1" x14ac:dyDescent="0.15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 spans="1:26" ht="12.75" customHeight="1" x14ac:dyDescent="0.15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 spans="1:26" ht="12.75" customHeight="1" x14ac:dyDescent="0.15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 spans="1:26" ht="12.75" customHeight="1" x14ac:dyDescent="0.15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 spans="1:26" ht="12.75" customHeight="1" x14ac:dyDescent="0.15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 spans="1:26" ht="12.75" customHeight="1" x14ac:dyDescent="0.15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 spans="1:26" ht="12.75" customHeight="1" x14ac:dyDescent="0.15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 spans="1:26" ht="12.75" customHeight="1" x14ac:dyDescent="0.15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 spans="1:26" ht="12.75" customHeight="1" x14ac:dyDescent="0.15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 spans="1:26" ht="12.75" customHeight="1" x14ac:dyDescent="0.15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 spans="1:26" ht="12.75" customHeight="1" x14ac:dyDescent="0.15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 spans="1:26" ht="12.75" customHeight="1" x14ac:dyDescent="0.15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 spans="1:26" ht="12.75" customHeight="1" x14ac:dyDescent="0.15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 spans="1:26" ht="12.75" customHeight="1" x14ac:dyDescent="0.15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 spans="1:26" ht="12.75" customHeight="1" x14ac:dyDescent="0.15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 spans="1:26" ht="12.75" customHeight="1" x14ac:dyDescent="0.15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 spans="1:26" ht="12.75" customHeight="1" x14ac:dyDescent="0.15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 spans="1:26" ht="12.75" customHeight="1" x14ac:dyDescent="0.15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 spans="1:26" ht="12.75" customHeight="1" x14ac:dyDescent="0.15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 spans="1:26" ht="12.75" customHeight="1" x14ac:dyDescent="0.15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 spans="1:26" ht="12.75" customHeight="1" x14ac:dyDescent="0.15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 spans="1:26" ht="12.75" customHeight="1" x14ac:dyDescent="0.15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 spans="1:26" ht="12.75" customHeight="1" x14ac:dyDescent="0.15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 spans="1:26" ht="12.75" customHeight="1" x14ac:dyDescent="0.15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 spans="1:26" ht="12.75" customHeight="1" x14ac:dyDescent="0.15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 spans="1:26" ht="12.75" customHeight="1" x14ac:dyDescent="0.15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 spans="1:26" ht="12.75" customHeight="1" x14ac:dyDescent="0.15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 spans="1:26" ht="12.75" customHeight="1" x14ac:dyDescent="0.15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 spans="1:26" ht="12.75" customHeight="1" x14ac:dyDescent="0.15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 spans="1:26" ht="12.75" customHeight="1" x14ac:dyDescent="0.15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 spans="1:26" ht="12.75" customHeight="1" x14ac:dyDescent="0.15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 spans="1:26" ht="12.75" customHeight="1" x14ac:dyDescent="0.15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 spans="1:26" ht="12.75" customHeight="1" x14ac:dyDescent="0.15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 spans="1:26" ht="12.75" customHeight="1" x14ac:dyDescent="0.15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 spans="1:26" ht="12.75" customHeight="1" x14ac:dyDescent="0.15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 spans="1:26" ht="12.75" customHeight="1" x14ac:dyDescent="0.15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 spans="1:26" ht="12.75" customHeight="1" x14ac:dyDescent="0.15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 spans="1:26" ht="12.75" customHeight="1" x14ac:dyDescent="0.15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 spans="1:26" ht="12.75" customHeight="1" x14ac:dyDescent="0.15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 spans="1:26" ht="12.75" customHeight="1" x14ac:dyDescent="0.15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 spans="1:26" ht="12.75" customHeight="1" x14ac:dyDescent="0.15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 spans="1:26" ht="12.75" customHeight="1" x14ac:dyDescent="0.15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 spans="1:26" ht="12.75" customHeight="1" x14ac:dyDescent="0.15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 spans="1:26" ht="12.75" customHeight="1" x14ac:dyDescent="0.15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 spans="1:26" ht="12.75" customHeight="1" x14ac:dyDescent="0.15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 spans="1:26" ht="12.75" customHeight="1" x14ac:dyDescent="0.15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 spans="1:26" ht="12.75" customHeight="1" x14ac:dyDescent="0.15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 spans="1:26" ht="12.75" customHeight="1" x14ac:dyDescent="0.15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 spans="1:26" ht="12.75" customHeight="1" x14ac:dyDescent="0.15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 spans="1:26" ht="12.75" customHeight="1" x14ac:dyDescent="0.15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 spans="1:26" ht="12.75" customHeight="1" x14ac:dyDescent="0.15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 spans="1:26" ht="12.75" customHeight="1" x14ac:dyDescent="0.15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 spans="1:26" ht="12.75" customHeight="1" x14ac:dyDescent="0.15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 spans="1:26" ht="12.75" customHeight="1" x14ac:dyDescent="0.15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 spans="1:26" ht="12.75" customHeight="1" x14ac:dyDescent="0.15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 spans="1:26" ht="12.75" customHeight="1" x14ac:dyDescent="0.15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 spans="1:26" ht="12.75" customHeight="1" x14ac:dyDescent="0.15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 spans="1:26" ht="12.75" customHeight="1" x14ac:dyDescent="0.15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 spans="1:26" ht="12.75" customHeight="1" x14ac:dyDescent="0.15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 spans="1:26" ht="12.75" customHeight="1" x14ac:dyDescent="0.15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 spans="1:26" ht="12.75" customHeight="1" x14ac:dyDescent="0.15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 spans="1:26" ht="12.75" customHeight="1" x14ac:dyDescent="0.15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 spans="1:26" ht="12.75" customHeight="1" x14ac:dyDescent="0.15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 spans="1:26" ht="12.75" customHeight="1" x14ac:dyDescent="0.15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 spans="1:26" ht="12.75" customHeight="1" x14ac:dyDescent="0.15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 spans="1:26" ht="12.75" customHeight="1" x14ac:dyDescent="0.15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 spans="1:26" ht="12.75" customHeight="1" x14ac:dyDescent="0.15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 spans="1:26" ht="12.75" customHeight="1" x14ac:dyDescent="0.15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 spans="1:26" ht="12.75" customHeight="1" x14ac:dyDescent="0.15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 spans="1:26" ht="12.75" customHeight="1" x14ac:dyDescent="0.15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 spans="1:26" ht="12.75" customHeight="1" x14ac:dyDescent="0.15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 spans="1:26" ht="12.75" customHeight="1" x14ac:dyDescent="0.15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 spans="1:26" ht="12.75" customHeight="1" x14ac:dyDescent="0.15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 spans="1:26" ht="12.75" customHeight="1" x14ac:dyDescent="0.15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 spans="1:26" ht="12.75" customHeight="1" x14ac:dyDescent="0.15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 spans="1:26" ht="12.75" customHeight="1" x14ac:dyDescent="0.15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 spans="1:26" ht="12.75" customHeight="1" x14ac:dyDescent="0.15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 spans="1:26" ht="12.75" customHeight="1" x14ac:dyDescent="0.15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 spans="1:26" ht="12.75" customHeight="1" x14ac:dyDescent="0.15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 spans="1:26" ht="12.75" customHeight="1" x14ac:dyDescent="0.15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 spans="1:26" ht="12.75" customHeight="1" x14ac:dyDescent="0.15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 spans="1:26" ht="12.75" customHeight="1" x14ac:dyDescent="0.15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 spans="1:26" ht="12.75" customHeight="1" x14ac:dyDescent="0.15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 spans="1:26" ht="12.75" customHeight="1" x14ac:dyDescent="0.15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 spans="1:26" ht="12.75" customHeight="1" x14ac:dyDescent="0.15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 spans="1:26" ht="12.75" customHeight="1" x14ac:dyDescent="0.15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 spans="1:26" ht="12.75" customHeight="1" x14ac:dyDescent="0.15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 spans="1:26" ht="12.75" customHeight="1" x14ac:dyDescent="0.15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 spans="1:26" ht="12.75" customHeight="1" x14ac:dyDescent="0.15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 spans="1:26" ht="12.75" customHeight="1" x14ac:dyDescent="0.15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 spans="1:26" ht="12.75" customHeight="1" x14ac:dyDescent="0.15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 spans="1:26" ht="12.75" customHeight="1" x14ac:dyDescent="0.15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 spans="1:26" ht="12.75" customHeight="1" x14ac:dyDescent="0.15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 spans="1:26" ht="12.75" customHeight="1" x14ac:dyDescent="0.15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 spans="1:26" ht="12.75" customHeight="1" x14ac:dyDescent="0.15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 spans="1:26" ht="12.75" customHeight="1" x14ac:dyDescent="0.15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 spans="1:26" ht="12.75" customHeight="1" x14ac:dyDescent="0.15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 spans="1:26" ht="12.75" customHeight="1" x14ac:dyDescent="0.15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 spans="1:26" ht="12.75" customHeight="1" x14ac:dyDescent="0.15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 spans="1:26" ht="12.75" customHeight="1" x14ac:dyDescent="0.15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 spans="1:26" ht="12.75" customHeight="1" x14ac:dyDescent="0.15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 spans="1:26" ht="12.75" customHeight="1" x14ac:dyDescent="0.15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 spans="1:26" ht="12.75" customHeight="1" x14ac:dyDescent="0.15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 spans="1:26" ht="12.75" customHeight="1" x14ac:dyDescent="0.15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 spans="1:26" ht="12.75" customHeight="1" x14ac:dyDescent="0.15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 spans="1:26" ht="12.75" customHeight="1" x14ac:dyDescent="0.15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 spans="1:26" ht="12.75" customHeight="1" x14ac:dyDescent="0.15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 spans="1:26" ht="12.75" customHeight="1" x14ac:dyDescent="0.15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 spans="1:26" ht="12.75" customHeight="1" x14ac:dyDescent="0.15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 spans="1:26" ht="12.75" customHeight="1" x14ac:dyDescent="0.15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 spans="1:26" ht="12.75" customHeight="1" x14ac:dyDescent="0.15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 spans="1:26" ht="12.75" customHeight="1" x14ac:dyDescent="0.15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 spans="1:26" ht="12.75" customHeight="1" x14ac:dyDescent="0.15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 spans="1:26" ht="12.75" customHeight="1" x14ac:dyDescent="0.15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 spans="1:26" ht="12.75" customHeight="1" x14ac:dyDescent="0.15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 spans="1:26" ht="12.75" customHeight="1" x14ac:dyDescent="0.15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 spans="1:26" ht="12.75" customHeight="1" x14ac:dyDescent="0.15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 spans="1:26" ht="12.75" customHeight="1" x14ac:dyDescent="0.15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 spans="1:26" ht="12.75" customHeight="1" x14ac:dyDescent="0.15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 spans="1:26" ht="12.75" customHeight="1" x14ac:dyDescent="0.15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 spans="1:26" ht="12.75" customHeight="1" x14ac:dyDescent="0.15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 spans="1:26" ht="12.75" customHeight="1" x14ac:dyDescent="0.15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 spans="1:26" ht="12.75" customHeight="1" x14ac:dyDescent="0.15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 spans="1:26" ht="12.75" customHeight="1" x14ac:dyDescent="0.15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 spans="1:26" ht="12.75" customHeight="1" x14ac:dyDescent="0.15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 spans="1:26" ht="12.75" customHeight="1" x14ac:dyDescent="0.15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 spans="1:26" ht="12.75" customHeight="1" x14ac:dyDescent="0.15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 spans="1:26" ht="12.75" customHeight="1" x14ac:dyDescent="0.15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 spans="1:26" ht="12.75" customHeight="1" x14ac:dyDescent="0.15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 spans="1:26" ht="12.75" customHeight="1" x14ac:dyDescent="0.15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 spans="1:26" ht="12.75" customHeight="1" x14ac:dyDescent="0.15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 spans="1:26" ht="12.75" customHeight="1" x14ac:dyDescent="0.15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 spans="1:26" ht="12.75" customHeight="1" x14ac:dyDescent="0.15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 spans="1:26" ht="12.75" customHeight="1" x14ac:dyDescent="0.15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 spans="1:26" ht="12.75" customHeight="1" x14ac:dyDescent="0.15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 spans="1:26" ht="12.75" customHeight="1" x14ac:dyDescent="0.15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 spans="1:26" ht="12.75" customHeight="1" x14ac:dyDescent="0.15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 spans="1:26" ht="12.75" customHeight="1" x14ac:dyDescent="0.15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 spans="1:26" ht="12.75" customHeight="1" x14ac:dyDescent="0.15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 spans="1:26" ht="12.75" customHeight="1" x14ac:dyDescent="0.15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 spans="1:26" ht="12.75" customHeight="1" x14ac:dyDescent="0.15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 spans="1:26" ht="12.75" customHeight="1" x14ac:dyDescent="0.15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 spans="1:26" ht="12.75" customHeight="1" x14ac:dyDescent="0.15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 spans="1:26" ht="12.75" customHeight="1" x14ac:dyDescent="0.15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 spans="1:26" ht="12.75" customHeight="1" x14ac:dyDescent="0.15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 spans="1:26" ht="12.75" customHeight="1" x14ac:dyDescent="0.15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 spans="1:26" ht="12.75" customHeight="1" x14ac:dyDescent="0.15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 spans="1:26" ht="12.75" customHeight="1" x14ac:dyDescent="0.15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 spans="1:26" ht="12.75" customHeight="1" x14ac:dyDescent="0.15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 spans="1:26" ht="12.75" customHeight="1" x14ac:dyDescent="0.15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 spans="1:26" ht="12.75" customHeight="1" x14ac:dyDescent="0.15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 spans="1:26" ht="12.75" customHeight="1" x14ac:dyDescent="0.15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 spans="1:26" ht="12.75" customHeight="1" x14ac:dyDescent="0.15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 spans="1:26" ht="12.75" customHeight="1" x14ac:dyDescent="0.15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 spans="1:26" ht="12.75" customHeight="1" x14ac:dyDescent="0.15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 spans="1:26" ht="12.75" customHeight="1" x14ac:dyDescent="0.15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 spans="1:26" ht="12.75" customHeight="1" x14ac:dyDescent="0.15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 spans="1:26" ht="12.75" customHeight="1" x14ac:dyDescent="0.15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 spans="1:26" ht="12.75" customHeight="1" x14ac:dyDescent="0.15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 spans="1:26" ht="12.75" customHeight="1" x14ac:dyDescent="0.15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 spans="1:26" ht="12.75" customHeight="1" x14ac:dyDescent="0.15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 spans="1:26" ht="12.75" customHeight="1" x14ac:dyDescent="0.15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 spans="1:26" ht="12.75" customHeight="1" x14ac:dyDescent="0.15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 spans="1:26" ht="12.75" customHeight="1" x14ac:dyDescent="0.15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 spans="1:26" ht="12.75" customHeight="1" x14ac:dyDescent="0.15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 spans="1:26" ht="12.75" customHeight="1" x14ac:dyDescent="0.15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 spans="1:26" ht="12.75" customHeight="1" x14ac:dyDescent="0.15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 spans="1:26" ht="12.75" customHeight="1" x14ac:dyDescent="0.15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 spans="1:26" ht="12.75" customHeight="1" x14ac:dyDescent="0.15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 spans="1:26" ht="12.75" customHeight="1" x14ac:dyDescent="0.15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 spans="1:26" ht="12.75" customHeight="1" x14ac:dyDescent="0.15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 spans="1:26" ht="12.75" customHeight="1" x14ac:dyDescent="0.15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 spans="1:26" ht="12.75" customHeight="1" x14ac:dyDescent="0.15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 spans="1:26" ht="12.75" customHeight="1" x14ac:dyDescent="0.15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 spans="1:26" ht="12.75" customHeight="1" x14ac:dyDescent="0.15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 spans="1:26" ht="12.75" customHeight="1" x14ac:dyDescent="0.15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 spans="1:26" ht="12.75" customHeight="1" x14ac:dyDescent="0.15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 spans="1:26" ht="12.75" customHeight="1" x14ac:dyDescent="0.15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 spans="1:26" ht="12.75" customHeight="1" x14ac:dyDescent="0.15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 spans="1:26" ht="12.75" customHeight="1" x14ac:dyDescent="0.15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 spans="1:26" ht="12.75" customHeight="1" x14ac:dyDescent="0.15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 spans="1:26" ht="12.75" customHeight="1" x14ac:dyDescent="0.15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 spans="1:26" ht="12.75" customHeight="1" x14ac:dyDescent="0.15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 spans="1:26" ht="12.75" customHeight="1" x14ac:dyDescent="0.15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 spans="1:26" ht="12.75" customHeight="1" x14ac:dyDescent="0.15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 spans="1:26" ht="12.75" customHeight="1" x14ac:dyDescent="0.15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 spans="1:26" ht="12.75" customHeight="1" x14ac:dyDescent="0.15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 spans="1:26" ht="12.75" customHeight="1" x14ac:dyDescent="0.15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 spans="1:26" ht="12.75" customHeight="1" x14ac:dyDescent="0.15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 spans="1:26" ht="12.75" customHeight="1" x14ac:dyDescent="0.15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 spans="1:26" ht="12.75" customHeight="1" x14ac:dyDescent="0.15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 spans="1:26" ht="12.75" customHeight="1" x14ac:dyDescent="0.15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 spans="1:26" ht="12.75" customHeight="1" x14ac:dyDescent="0.15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 spans="1:26" ht="12.75" customHeight="1" x14ac:dyDescent="0.15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 spans="1:26" ht="12.75" customHeight="1" x14ac:dyDescent="0.15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 spans="1:26" ht="12.75" customHeight="1" x14ac:dyDescent="0.15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 spans="1:26" ht="12.75" customHeight="1" x14ac:dyDescent="0.15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 spans="1:26" ht="12.75" customHeight="1" x14ac:dyDescent="0.15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 spans="1:26" ht="12.75" customHeight="1" x14ac:dyDescent="0.15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 spans="1:26" ht="12.75" customHeight="1" x14ac:dyDescent="0.15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 spans="1:26" ht="12.75" customHeight="1" x14ac:dyDescent="0.15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 spans="1:26" ht="12.75" customHeight="1" x14ac:dyDescent="0.15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 spans="1:26" ht="12.75" customHeight="1" x14ac:dyDescent="0.15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 spans="1:26" ht="12.75" customHeight="1" x14ac:dyDescent="0.15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 spans="1:26" ht="12.75" customHeight="1" x14ac:dyDescent="0.15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 spans="1:26" ht="12.75" customHeight="1" x14ac:dyDescent="0.15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 spans="1:26" ht="12.75" customHeight="1" x14ac:dyDescent="0.15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 spans="1:26" ht="12.75" customHeight="1" x14ac:dyDescent="0.15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 spans="1:26" ht="12.75" customHeight="1" x14ac:dyDescent="0.15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 spans="1:26" ht="12.75" customHeight="1" x14ac:dyDescent="0.15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 spans="1:26" ht="12.75" customHeight="1" x14ac:dyDescent="0.15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 spans="1:26" ht="12.75" customHeight="1" x14ac:dyDescent="0.15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 spans="1:26" ht="12.75" customHeight="1" x14ac:dyDescent="0.15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 spans="1:26" ht="12.75" customHeight="1" x14ac:dyDescent="0.15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 spans="1:26" ht="12.75" customHeight="1" x14ac:dyDescent="0.15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 spans="1:26" ht="12.75" customHeight="1" x14ac:dyDescent="0.15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 spans="1:26" ht="12.75" customHeight="1" x14ac:dyDescent="0.15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 spans="1:26" ht="12.75" customHeight="1" x14ac:dyDescent="0.15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 spans="1:26" ht="12.75" customHeight="1" x14ac:dyDescent="0.15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 spans="1:26" ht="12.75" customHeight="1" x14ac:dyDescent="0.15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 spans="1:26" ht="12.75" customHeight="1" x14ac:dyDescent="0.15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 spans="1:26" ht="12.75" customHeight="1" x14ac:dyDescent="0.15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 spans="1:26" ht="12.75" customHeight="1" x14ac:dyDescent="0.15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 spans="1:26" ht="12.75" customHeight="1" x14ac:dyDescent="0.15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 spans="1:26" ht="12.75" customHeight="1" x14ac:dyDescent="0.15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 spans="1:26" ht="12.75" customHeight="1" x14ac:dyDescent="0.15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 spans="1:26" ht="12.75" customHeight="1" x14ac:dyDescent="0.15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 spans="1:26" ht="12.75" customHeight="1" x14ac:dyDescent="0.15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 spans="1:26" ht="12.75" customHeight="1" x14ac:dyDescent="0.15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 spans="1:26" ht="12.75" customHeight="1" x14ac:dyDescent="0.15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 spans="1:26" ht="12.75" customHeight="1" x14ac:dyDescent="0.15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 spans="1:26" ht="12.75" customHeight="1" x14ac:dyDescent="0.15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 spans="1:26" ht="12.75" customHeight="1" x14ac:dyDescent="0.15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 spans="1:26" ht="12.75" customHeight="1" x14ac:dyDescent="0.15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 spans="1:26" ht="12.75" customHeight="1" x14ac:dyDescent="0.15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 spans="1:26" ht="12.75" customHeight="1" x14ac:dyDescent="0.15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 spans="1:26" ht="12.75" customHeight="1" x14ac:dyDescent="0.15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 spans="1:26" ht="12.75" customHeight="1" x14ac:dyDescent="0.15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 spans="1:26" ht="12.75" customHeight="1" x14ac:dyDescent="0.15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 spans="1:26" ht="12.75" customHeight="1" x14ac:dyDescent="0.15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 spans="1:26" ht="12.75" customHeight="1" x14ac:dyDescent="0.15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 spans="1:26" ht="12.75" customHeight="1" x14ac:dyDescent="0.15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 spans="1:26" ht="12.75" customHeight="1" x14ac:dyDescent="0.15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 spans="1:26" ht="12.75" customHeight="1" x14ac:dyDescent="0.15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 spans="1:26" ht="12.75" customHeight="1" x14ac:dyDescent="0.15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 spans="1:26" ht="12.75" customHeight="1" x14ac:dyDescent="0.15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 spans="1:26" ht="12.75" customHeight="1" x14ac:dyDescent="0.15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 spans="1:26" ht="12.75" customHeight="1" x14ac:dyDescent="0.15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 spans="1:26" ht="12.75" customHeight="1" x14ac:dyDescent="0.15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 spans="1:26" ht="12.75" customHeight="1" x14ac:dyDescent="0.15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 spans="1:26" ht="12.75" customHeight="1" x14ac:dyDescent="0.15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 spans="1:26" ht="12.75" customHeight="1" x14ac:dyDescent="0.15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 spans="1:26" ht="12.75" customHeight="1" x14ac:dyDescent="0.15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 spans="1:26" ht="12.75" customHeight="1" x14ac:dyDescent="0.15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 spans="1:26" ht="12.75" customHeight="1" x14ac:dyDescent="0.15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 spans="1:26" ht="12.75" customHeight="1" x14ac:dyDescent="0.15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 spans="1:26" ht="12.75" customHeight="1" x14ac:dyDescent="0.15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 spans="1:26" ht="12.75" customHeight="1" x14ac:dyDescent="0.15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 spans="1:26" ht="12.75" customHeight="1" x14ac:dyDescent="0.15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 spans="1:26" ht="12.75" customHeight="1" x14ac:dyDescent="0.15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 spans="1:26" ht="12.75" customHeight="1" x14ac:dyDescent="0.15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 spans="1:26" ht="12.75" customHeight="1" x14ac:dyDescent="0.15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 spans="1:26" ht="12.75" customHeight="1" x14ac:dyDescent="0.15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 spans="1:26" ht="12.75" customHeight="1" x14ac:dyDescent="0.15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 spans="1:26" ht="12.75" customHeight="1" x14ac:dyDescent="0.15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 spans="1:26" ht="12.75" customHeight="1" x14ac:dyDescent="0.15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 spans="1:26" ht="12.75" customHeight="1" x14ac:dyDescent="0.15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 spans="1:26" ht="12.75" customHeight="1" x14ac:dyDescent="0.15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 spans="1:26" ht="12.75" customHeight="1" x14ac:dyDescent="0.15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 spans="1:26" ht="12.75" customHeight="1" x14ac:dyDescent="0.15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 spans="1:26" ht="12.75" customHeight="1" x14ac:dyDescent="0.15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 spans="1:26" ht="12.75" customHeight="1" x14ac:dyDescent="0.15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 spans="1:26" ht="12.75" customHeight="1" x14ac:dyDescent="0.15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 spans="1:26" ht="12.75" customHeight="1" x14ac:dyDescent="0.15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 spans="1:26" ht="12.75" customHeight="1" x14ac:dyDescent="0.15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 spans="1:26" ht="12.75" customHeight="1" x14ac:dyDescent="0.15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 spans="1:26" ht="12.75" customHeight="1" x14ac:dyDescent="0.15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 spans="1:26" ht="12.75" customHeight="1" x14ac:dyDescent="0.15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 spans="1:26" ht="12.75" customHeight="1" x14ac:dyDescent="0.15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 spans="1:26" ht="12.75" customHeight="1" x14ac:dyDescent="0.15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 spans="1:26" ht="12.75" customHeight="1" x14ac:dyDescent="0.15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 spans="1:26" ht="12.75" customHeight="1" x14ac:dyDescent="0.15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 spans="1:26" ht="12.75" customHeight="1" x14ac:dyDescent="0.15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 spans="1:26" ht="12.75" customHeight="1" x14ac:dyDescent="0.15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Grading</vt:lpstr>
      <vt:lpstr>Valuation - Gold Solution</vt:lpstr>
      <vt:lpstr>IS - Gold Solution</vt:lpstr>
      <vt:lpstr>BS - Gold Solution</vt:lpstr>
      <vt:lpstr>CFS - Gold Solution</vt:lpstr>
      <vt:lpstr>Debt - Gold Solution</vt:lpstr>
      <vt:lpstr>'IS - Gold Solution'!CIRC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rohith venkat</cp:lastModifiedBy>
  <dcterms:created xsi:type="dcterms:W3CDTF">2025-08-22T04:17:21Z</dcterms:created>
  <dcterms:modified xsi:type="dcterms:W3CDTF">2025-10-03T20:45:43Z</dcterms:modified>
</cp:coreProperties>
</file>