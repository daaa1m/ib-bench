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alazmi\Desktop\House Stuff\1. Model\Model test\MDP - CIM\"/>
    </mc:Choice>
  </mc:AlternateContent>
  <xr:revisionPtr revIDLastSave="0" documentId="13_ncr:1_{E8396245-8B83-4900-8A1D-82234E1F7EE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inancials" sheetId="1" r:id="rId1"/>
    <sheet name="vDIA" sheetId="2" r:id="rId2"/>
  </sheets>
  <definedNames>
    <definedName name="circ">vDIA!$T$10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EXPENSE_CODE_">"NB12825"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Financials!$B$2:$K$57</definedName>
    <definedName name="tax">#REF!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0" i="2" l="1"/>
  <c r="P147" i="2"/>
  <c r="P146" i="2"/>
  <c r="P145" i="2"/>
  <c r="K137" i="2"/>
  <c r="K138" i="2" s="1"/>
  <c r="K139" i="2" s="1"/>
  <c r="K136" i="2"/>
  <c r="N134" i="2"/>
  <c r="O134" i="2"/>
  <c r="P134" i="2"/>
  <c r="M134" i="2"/>
  <c r="M119" i="2"/>
  <c r="N119" i="2"/>
  <c r="O119" i="2"/>
  <c r="P119" i="2"/>
  <c r="L119" i="2"/>
  <c r="M117" i="2"/>
  <c r="N117" i="2" s="1"/>
  <c r="O117" i="2" s="1"/>
  <c r="P117" i="2" s="1"/>
  <c r="L105" i="2"/>
  <c r="M102" i="2"/>
  <c r="N102" i="2" s="1"/>
  <c r="L97" i="2"/>
  <c r="M97" i="2" s="1"/>
  <c r="N97" i="2" s="1"/>
  <c r="O97" i="2" s="1"/>
  <c r="P97" i="2" s="1"/>
  <c r="M84" i="2"/>
  <c r="N84" i="2" s="1"/>
  <c r="O84" i="2" s="1"/>
  <c r="P84" i="2" s="1"/>
  <c r="M46" i="2"/>
  <c r="M91" i="2" s="1"/>
  <c r="N46" i="2"/>
  <c r="N91" i="2" s="1"/>
  <c r="O46" i="2"/>
  <c r="O91" i="2" s="1"/>
  <c r="P46" i="2"/>
  <c r="P91" i="2" s="1"/>
  <c r="L46" i="2"/>
  <c r="L91" i="2" s="1"/>
  <c r="G46" i="2"/>
  <c r="H46" i="2"/>
  <c r="I46" i="2"/>
  <c r="F46" i="2"/>
  <c r="M38" i="2"/>
  <c r="N38" i="2"/>
  <c r="O38" i="2"/>
  <c r="P38" i="2"/>
  <c r="L38" i="2"/>
  <c r="I70" i="2"/>
  <c r="I67" i="2"/>
  <c r="K67" i="2" s="1"/>
  <c r="L67" i="2" s="1"/>
  <c r="I66" i="2"/>
  <c r="J16" i="2" s="1"/>
  <c r="I63" i="2"/>
  <c r="I62" i="2"/>
  <c r="K62" i="2" s="1"/>
  <c r="B63" i="2"/>
  <c r="B62" i="2"/>
  <c r="I59" i="2"/>
  <c r="I58" i="2"/>
  <c r="K58" i="2" s="1"/>
  <c r="I51" i="2"/>
  <c r="K51" i="2" s="1"/>
  <c r="I52" i="2"/>
  <c r="K52" i="2" s="1"/>
  <c r="I53" i="2"/>
  <c r="K53" i="2" s="1"/>
  <c r="I50" i="2"/>
  <c r="K50" i="2" s="1"/>
  <c r="L99" i="2" s="1"/>
  <c r="B53" i="2"/>
  <c r="B51" i="2"/>
  <c r="B52" i="2"/>
  <c r="B50" i="2"/>
  <c r="L49" i="2"/>
  <c r="M49" i="2" s="1"/>
  <c r="N49" i="2" s="1"/>
  <c r="O49" i="2" s="1"/>
  <c r="P49" i="2" s="1"/>
  <c r="M43" i="2"/>
  <c r="M86" i="2" s="1"/>
  <c r="N43" i="2"/>
  <c r="N86" i="2" s="1"/>
  <c r="O43" i="2"/>
  <c r="O86" i="2" s="1"/>
  <c r="P43" i="2"/>
  <c r="P86" i="2" s="1"/>
  <c r="L43" i="2"/>
  <c r="L86" i="2" s="1"/>
  <c r="G43" i="2"/>
  <c r="H43" i="2"/>
  <c r="I43" i="2"/>
  <c r="F43" i="2"/>
  <c r="M28" i="2"/>
  <c r="N28" i="2"/>
  <c r="O28" i="2"/>
  <c r="P28" i="2"/>
  <c r="L28" i="2"/>
  <c r="G28" i="2"/>
  <c r="H28" i="2"/>
  <c r="I28" i="2"/>
  <c r="F28" i="2"/>
  <c r="M25" i="2"/>
  <c r="N25" i="2"/>
  <c r="O25" i="2"/>
  <c r="P25" i="2"/>
  <c r="L25" i="2"/>
  <c r="G25" i="2"/>
  <c r="H25" i="2"/>
  <c r="I25" i="2"/>
  <c r="F25" i="2"/>
  <c r="P22" i="2"/>
  <c r="M22" i="2"/>
  <c r="N22" i="2"/>
  <c r="O22" i="2"/>
  <c r="L22" i="2"/>
  <c r="G22" i="2"/>
  <c r="H22" i="2"/>
  <c r="I22" i="2"/>
  <c r="F22" i="2"/>
  <c r="H6" i="2"/>
  <c r="F6" i="2"/>
  <c r="G21" i="2"/>
  <c r="H21" i="2" s="1"/>
  <c r="I21" i="2" s="1"/>
  <c r="L21" i="2" s="1"/>
  <c r="M21" i="2" s="1"/>
  <c r="N21" i="2" s="1"/>
  <c r="O21" i="2" s="1"/>
  <c r="P21" i="2" s="1"/>
  <c r="C29" i="1"/>
  <c r="D29" i="1"/>
  <c r="E29" i="1"/>
  <c r="F29" i="1"/>
  <c r="G29" i="1"/>
  <c r="H29" i="1"/>
  <c r="I29" i="1"/>
  <c r="J29" i="1"/>
  <c r="K29" i="1"/>
  <c r="O102" i="2" l="1"/>
  <c r="N105" i="2"/>
  <c r="M105" i="2"/>
  <c r="I80" i="2"/>
  <c r="M80" i="2" s="1"/>
  <c r="M62" i="2" s="1"/>
  <c r="I81" i="2"/>
  <c r="M81" i="2" s="1"/>
  <c r="M63" i="2" s="1"/>
  <c r="L58" i="2"/>
  <c r="M58" i="2" s="1"/>
  <c r="N58" i="2" s="1"/>
  <c r="O58" i="2" s="1"/>
  <c r="P58" i="2" s="1"/>
  <c r="M67" i="2"/>
  <c r="I79" i="2"/>
  <c r="I77" i="2"/>
  <c r="I78" i="2"/>
  <c r="I64" i="2"/>
  <c r="I68" i="2" s="1"/>
  <c r="K59" i="2"/>
  <c r="L59" i="2" s="1"/>
  <c r="M59" i="2" s="1"/>
  <c r="N59" i="2" s="1"/>
  <c r="O59" i="2" s="1"/>
  <c r="P59" i="2" s="1"/>
  <c r="I26" i="2"/>
  <c r="I54" i="2"/>
  <c r="I60" i="2" s="1"/>
  <c r="K63" i="2"/>
  <c r="K64" i="2" s="1"/>
  <c r="E14" i="2"/>
  <c r="K54" i="2"/>
  <c r="G26" i="2"/>
  <c r="H30" i="2"/>
  <c r="H44" i="2" s="1"/>
  <c r="O11" i="2"/>
  <c r="O26" i="2"/>
  <c r="N30" i="2"/>
  <c r="H26" i="2"/>
  <c r="I30" i="2"/>
  <c r="I31" i="2" s="1"/>
  <c r="L26" i="2"/>
  <c r="L30" i="2"/>
  <c r="L31" i="2" s="1"/>
  <c r="P26" i="2"/>
  <c r="G30" i="2"/>
  <c r="F30" i="2"/>
  <c r="F31" i="2" s="1"/>
  <c r="M30" i="2"/>
  <c r="M31" i="2" s="1"/>
  <c r="O30" i="2"/>
  <c r="O31" i="2" s="1"/>
  <c r="P30" i="2"/>
  <c r="P31" i="2" s="1"/>
  <c r="N26" i="2"/>
  <c r="F26" i="2"/>
  <c r="M26" i="2"/>
  <c r="O81" i="2" l="1"/>
  <c r="O63" i="2" s="1"/>
  <c r="L80" i="2"/>
  <c r="L62" i="2" s="1"/>
  <c r="P102" i="2"/>
  <c r="P105" i="2" s="1"/>
  <c r="O105" i="2"/>
  <c r="M64" i="2"/>
  <c r="N81" i="2"/>
  <c r="N63" i="2" s="1"/>
  <c r="P80" i="2"/>
  <c r="P62" i="2" s="1"/>
  <c r="O80" i="2"/>
  <c r="O62" i="2" s="1"/>
  <c r="O64" i="2" s="1"/>
  <c r="N80" i="2"/>
  <c r="N62" i="2" s="1"/>
  <c r="P81" i="2"/>
  <c r="P63" i="2" s="1"/>
  <c r="L81" i="2"/>
  <c r="L63" i="2" s="1"/>
  <c r="L64" i="2" s="1"/>
  <c r="L78" i="2"/>
  <c r="L52" i="2" s="1"/>
  <c r="M78" i="2"/>
  <c r="M52" i="2" s="1"/>
  <c r="O78" i="2"/>
  <c r="O52" i="2" s="1"/>
  <c r="N78" i="2"/>
  <c r="N52" i="2" s="1"/>
  <c r="P78" i="2"/>
  <c r="P52" i="2" s="1"/>
  <c r="N67" i="2"/>
  <c r="O77" i="2"/>
  <c r="O51" i="2" s="1"/>
  <c r="P77" i="2"/>
  <c r="P51" i="2" s="1"/>
  <c r="L77" i="2"/>
  <c r="L51" i="2" s="1"/>
  <c r="N77" i="2"/>
  <c r="N51" i="2" s="1"/>
  <c r="M77" i="2"/>
  <c r="M51" i="2" s="1"/>
  <c r="K75" i="2"/>
  <c r="M79" i="2"/>
  <c r="M53" i="2" s="1"/>
  <c r="N79" i="2"/>
  <c r="N53" i="2" s="1"/>
  <c r="O79" i="2"/>
  <c r="O53" i="2" s="1"/>
  <c r="P79" i="2"/>
  <c r="P53" i="2" s="1"/>
  <c r="L79" i="2"/>
  <c r="L53" i="2" s="1"/>
  <c r="I72" i="2"/>
  <c r="F44" i="2"/>
  <c r="H31" i="2"/>
  <c r="G31" i="2"/>
  <c r="G44" i="2"/>
  <c r="I44" i="2"/>
  <c r="O44" i="2"/>
  <c r="O118" i="2" s="1"/>
  <c r="O120" i="2" s="1"/>
  <c r="N31" i="2"/>
  <c r="N44" i="2"/>
  <c r="N118" i="2" s="1"/>
  <c r="N120" i="2" s="1"/>
  <c r="P44" i="2"/>
  <c r="P118" i="2" s="1"/>
  <c r="P120" i="2" s="1"/>
  <c r="M44" i="2"/>
  <c r="M118" i="2" s="1"/>
  <c r="M120" i="2" s="1"/>
  <c r="L44" i="2"/>
  <c r="L118" i="2" s="1"/>
  <c r="L120" i="2" s="1"/>
  <c r="P64" i="2" l="1"/>
  <c r="N64" i="2"/>
  <c r="M75" i="2"/>
  <c r="L75" i="2"/>
  <c r="M88" i="2" s="1"/>
  <c r="N75" i="2"/>
  <c r="P75" i="2"/>
  <c r="O75" i="2"/>
  <c r="O67" i="2"/>
  <c r="J10" i="2"/>
  <c r="K106" i="2" s="1"/>
  <c r="E10" i="2"/>
  <c r="E12" i="2" s="1"/>
  <c r="E15" i="2" s="1"/>
  <c r="J15" i="2" s="1"/>
  <c r="J11" i="2"/>
  <c r="K111" i="2" s="1"/>
  <c r="L109" i="2" s="1"/>
  <c r="L104" i="2" l="1"/>
  <c r="L106" i="2" s="1"/>
  <c r="L107" i="2"/>
  <c r="O88" i="2"/>
  <c r="N88" i="2"/>
  <c r="L88" i="2"/>
  <c r="P88" i="2"/>
  <c r="P67" i="2"/>
  <c r="J66" i="2"/>
  <c r="K66" i="2" s="1"/>
  <c r="K68" i="2" s="1"/>
  <c r="O10" i="2"/>
  <c r="O12" i="2" s="1"/>
  <c r="J57" i="2" s="1"/>
  <c r="K57" i="2" s="1"/>
  <c r="L57" i="2" s="1"/>
  <c r="J17" i="2"/>
  <c r="M104" i="2" l="1"/>
  <c r="M106" i="2" s="1"/>
  <c r="M107" i="2"/>
  <c r="M57" i="2"/>
  <c r="L34" i="2"/>
  <c r="J18" i="2"/>
  <c r="J13" i="2" s="1"/>
  <c r="J12" i="2" s="1"/>
  <c r="J70" i="2" s="1"/>
  <c r="K70" i="2" s="1"/>
  <c r="J56" i="2"/>
  <c r="K56" i="2" s="1"/>
  <c r="N104" i="2" l="1"/>
  <c r="N106" i="2" s="1"/>
  <c r="N107" i="2"/>
  <c r="L87" i="2"/>
  <c r="K60" i="2"/>
  <c r="K72" i="2" s="1"/>
  <c r="L56" i="2"/>
  <c r="N57" i="2"/>
  <c r="M34" i="2"/>
  <c r="O104" i="2" l="1"/>
  <c r="O106" i="2" s="1"/>
  <c r="O107" i="2" s="1"/>
  <c r="M87" i="2"/>
  <c r="M56" i="2"/>
  <c r="O57" i="2"/>
  <c r="N34" i="2"/>
  <c r="N87" i="2" s="1"/>
  <c r="P104" i="2" l="1"/>
  <c r="P106" i="2" s="1"/>
  <c r="P107" i="2"/>
  <c r="N56" i="2"/>
  <c r="P57" i="2"/>
  <c r="O34" i="2"/>
  <c r="O87" i="2" l="1"/>
  <c r="O56" i="2"/>
  <c r="P34" i="2"/>
  <c r="P87" i="2" l="1"/>
  <c r="P56" i="2"/>
  <c r="L33" i="2"/>
  <c r="M33" i="2"/>
  <c r="N33" i="2"/>
  <c r="O33" i="2"/>
  <c r="P33" i="2"/>
  <c r="L36" i="2"/>
  <c r="M36" i="2"/>
  <c r="N36" i="2"/>
  <c r="O36" i="2"/>
  <c r="P36" i="2"/>
  <c r="L40" i="2"/>
  <c r="M40" i="2"/>
  <c r="N40" i="2"/>
  <c r="O40" i="2"/>
  <c r="P40" i="2"/>
  <c r="L50" i="2"/>
  <c r="M50" i="2"/>
  <c r="N50" i="2"/>
  <c r="O50" i="2"/>
  <c r="P50" i="2"/>
  <c r="L54" i="2"/>
  <c r="M54" i="2"/>
  <c r="N54" i="2"/>
  <c r="O54" i="2"/>
  <c r="P54" i="2"/>
  <c r="L60" i="2"/>
  <c r="M60" i="2"/>
  <c r="N60" i="2"/>
  <c r="O60" i="2"/>
  <c r="P60" i="2"/>
  <c r="L66" i="2"/>
  <c r="M66" i="2"/>
  <c r="N66" i="2"/>
  <c r="O66" i="2"/>
  <c r="P66" i="2"/>
  <c r="L68" i="2"/>
  <c r="M68" i="2"/>
  <c r="N68" i="2"/>
  <c r="O68" i="2"/>
  <c r="P68" i="2"/>
  <c r="L70" i="2"/>
  <c r="M70" i="2"/>
  <c r="N70" i="2"/>
  <c r="O70" i="2"/>
  <c r="P70" i="2"/>
  <c r="L72" i="2"/>
  <c r="M72" i="2"/>
  <c r="N72" i="2"/>
  <c r="O72" i="2"/>
  <c r="P72" i="2"/>
  <c r="L85" i="2"/>
  <c r="M85" i="2"/>
  <c r="N85" i="2"/>
  <c r="O85" i="2"/>
  <c r="P85" i="2"/>
  <c r="L89" i="2"/>
  <c r="M89" i="2"/>
  <c r="N89" i="2"/>
  <c r="O89" i="2"/>
  <c r="P89" i="2"/>
  <c r="L92" i="2"/>
  <c r="M92" i="2"/>
  <c r="N92" i="2"/>
  <c r="O92" i="2"/>
  <c r="P92" i="2"/>
  <c r="L94" i="2"/>
  <c r="M94" i="2"/>
  <c r="N94" i="2"/>
  <c r="O94" i="2"/>
  <c r="P94" i="2"/>
  <c r="L98" i="2"/>
  <c r="M98" i="2"/>
  <c r="N98" i="2"/>
  <c r="O98" i="2"/>
  <c r="P98" i="2"/>
  <c r="M99" i="2"/>
  <c r="N99" i="2"/>
  <c r="O99" i="2"/>
  <c r="P99" i="2"/>
  <c r="L100" i="2"/>
  <c r="M100" i="2"/>
  <c r="N100" i="2"/>
  <c r="O100" i="2"/>
  <c r="P100" i="2"/>
  <c r="M109" i="2"/>
  <c r="N109" i="2"/>
  <c r="O109" i="2"/>
  <c r="P109" i="2"/>
  <c r="L110" i="2"/>
  <c r="M110" i="2"/>
  <c r="N110" i="2"/>
  <c r="O110" i="2"/>
  <c r="P110" i="2"/>
  <c r="L111" i="2"/>
  <c r="M111" i="2"/>
  <c r="N111" i="2"/>
  <c r="O111" i="2"/>
  <c r="P111" i="2"/>
  <c r="L112" i="2"/>
  <c r="M112" i="2"/>
  <c r="N112" i="2"/>
  <c r="O112" i="2"/>
  <c r="P112" i="2"/>
  <c r="L114" i="2"/>
  <c r="M114" i="2"/>
  <c r="N114" i="2"/>
  <c r="O114" i="2"/>
  <c r="P114" i="2"/>
  <c r="L122" i="2"/>
  <c r="M122" i="2"/>
  <c r="N122" i="2"/>
  <c r="O122" i="2"/>
  <c r="P122" i="2"/>
  <c r="L123" i="2"/>
  <c r="M123" i="2"/>
  <c r="N123" i="2"/>
  <c r="O123" i="2"/>
  <c r="P123" i="2"/>
  <c r="L125" i="2"/>
  <c r="M125" i="2"/>
  <c r="N125" i="2"/>
  <c r="O125" i="2"/>
  <c r="P125" i="2"/>
  <c r="L126" i="2"/>
  <c r="M126" i="2"/>
  <c r="N126" i="2"/>
  <c r="O126" i="2"/>
  <c r="P126" i="2"/>
  <c r="L128" i="2"/>
  <c r="M128" i="2"/>
  <c r="N128" i="2"/>
  <c r="O128" i="2"/>
  <c r="P128" i="2"/>
  <c r="L129" i="2"/>
  <c r="M129" i="2"/>
  <c r="N129" i="2"/>
  <c r="O129" i="2"/>
  <c r="P129" i="2"/>
  <c r="L130" i="2"/>
  <c r="M130" i="2"/>
  <c r="N130" i="2"/>
  <c r="O130" i="2"/>
  <c r="P130" i="2"/>
  <c r="K134" i="2"/>
  <c r="P143" i="2"/>
  <c r="P149" i="2"/>
  <c r="P152" i="2"/>
  <c r="P153" i="2"/>
</calcChain>
</file>

<file path=xl/sharedStrings.xml><?xml version="1.0" encoding="utf-8"?>
<sst xmlns="http://schemas.openxmlformats.org/spreadsheetml/2006/main" count="210" uniqueCount="144">
  <si>
    <t>Bolthouse Farms Financial Summary</t>
  </si>
  <si>
    <t>($ millions, FYE March 31st)</t>
  </si>
  <si>
    <t>Historical</t>
  </si>
  <si>
    <t>Budget</t>
  </si>
  <si>
    <t>Projected</t>
  </si>
  <si>
    <t>Revenue:</t>
  </si>
  <si>
    <t>Cut &amp; Peel</t>
  </si>
  <si>
    <t>Organic</t>
  </si>
  <si>
    <t>Beverage</t>
  </si>
  <si>
    <t>Other</t>
  </si>
  <si>
    <t>Total Revenue</t>
  </si>
  <si>
    <t>Gross Profit:</t>
  </si>
  <si>
    <t>Operating Expenses</t>
  </si>
  <si>
    <t>EBITDA</t>
  </si>
  <si>
    <t>Gross Profit</t>
  </si>
  <si>
    <t>EBIT</t>
  </si>
  <si>
    <t>Plus: D&amp;A</t>
  </si>
  <si>
    <t>Capital Expenditures</t>
  </si>
  <si>
    <t>Maintenance</t>
  </si>
  <si>
    <t>Expansion</t>
  </si>
  <si>
    <t>Total Capital Expenditures</t>
  </si>
  <si>
    <t>Assets:</t>
  </si>
  <si>
    <t>Cash</t>
  </si>
  <si>
    <t>Accounts Receivable</t>
  </si>
  <si>
    <t>Inventory</t>
  </si>
  <si>
    <t>Total Current Assets</t>
  </si>
  <si>
    <t>PP&amp;E</t>
  </si>
  <si>
    <t>Total Assets</t>
  </si>
  <si>
    <t>Liabilities and Shareholder Equity</t>
  </si>
  <si>
    <t>Accounts Payable</t>
  </si>
  <si>
    <t>Other Current Liabilities</t>
  </si>
  <si>
    <t>Total Current Liabilities</t>
  </si>
  <si>
    <t>Prepayments and Other Current Assets</t>
  </si>
  <si>
    <t>Long-Term Debt</t>
  </si>
  <si>
    <t>Other Long-Term Liabilities</t>
  </si>
  <si>
    <t>Total Liabilities</t>
  </si>
  <si>
    <t>Shareholder Equity</t>
  </si>
  <si>
    <t>Total Liabilities and Shareholder Equity</t>
  </si>
  <si>
    <t>Clean SG&amp;A</t>
  </si>
  <si>
    <t>x</t>
  </si>
  <si>
    <t>Txn assumptions</t>
  </si>
  <si>
    <t>P&amp;L</t>
  </si>
  <si>
    <t>Revenue</t>
  </si>
  <si>
    <t>Financing</t>
  </si>
  <si>
    <t>TLB</t>
  </si>
  <si>
    <t>Snr sub</t>
  </si>
  <si>
    <t>xEBITDA</t>
  </si>
  <si>
    <t>Floor</t>
  </si>
  <si>
    <t>Margin</t>
  </si>
  <si>
    <t>Interest rate</t>
  </si>
  <si>
    <t>Term</t>
  </si>
  <si>
    <t>Amort'</t>
  </si>
  <si>
    <t>Fee</t>
  </si>
  <si>
    <t>% YoY</t>
  </si>
  <si>
    <t>Gross profit</t>
  </si>
  <si>
    <t>% margin</t>
  </si>
  <si>
    <t>Opex</t>
  </si>
  <si>
    <t>Interest</t>
  </si>
  <si>
    <t>D&amp;A</t>
  </si>
  <si>
    <t>FY26 EBITDA</t>
  </si>
  <si>
    <t>Entry multiple</t>
  </si>
  <si>
    <t>Entry EV</t>
  </si>
  <si>
    <t>(-) net debt</t>
  </si>
  <si>
    <t>BS</t>
  </si>
  <si>
    <t>PF</t>
  </si>
  <si>
    <t>Adj.</t>
  </si>
  <si>
    <t>Current assets</t>
  </si>
  <si>
    <t>PPE</t>
  </si>
  <si>
    <t>Total assets</t>
  </si>
  <si>
    <t>Current liabilities</t>
  </si>
  <si>
    <t>LT debt</t>
  </si>
  <si>
    <t>Other LT liabilities</t>
  </si>
  <si>
    <t>Total liabilities</t>
  </si>
  <si>
    <t>SHE</t>
  </si>
  <si>
    <t>CHECK</t>
  </si>
  <si>
    <t>Purchase EqV</t>
  </si>
  <si>
    <t>Deal parameters</t>
  </si>
  <si>
    <t>S&amp;U</t>
  </si>
  <si>
    <t>Sponsor equity</t>
  </si>
  <si>
    <t>Total sources</t>
  </si>
  <si>
    <t>Purchase equity</t>
  </si>
  <si>
    <t>Refi debt</t>
  </si>
  <si>
    <t>Financing fees</t>
  </si>
  <si>
    <t>Total uses</t>
  </si>
  <si>
    <t>Purchase accounting</t>
  </si>
  <si>
    <t>Purchase price</t>
  </si>
  <si>
    <t>(-) net identifieable assets</t>
  </si>
  <si>
    <t>Goodwill</t>
  </si>
  <si>
    <t>Deferred financing fees</t>
  </si>
  <si>
    <t>EBT</t>
  </si>
  <si>
    <t>Amort DFF</t>
  </si>
  <si>
    <t>Amort of DFF</t>
  </si>
  <si>
    <t>Other assumptions</t>
  </si>
  <si>
    <t>MIP</t>
  </si>
  <si>
    <t>Tax</t>
  </si>
  <si>
    <t>Tax rate</t>
  </si>
  <si>
    <t>Net income</t>
  </si>
  <si>
    <t>Memo</t>
  </si>
  <si>
    <t>Capex</t>
  </si>
  <si>
    <t>NWC</t>
  </si>
  <si>
    <t>DSO</t>
  </si>
  <si>
    <t>Inventory days</t>
  </si>
  <si>
    <t>Prepayments and others as a % of revenue</t>
  </si>
  <si>
    <t>DPO</t>
  </si>
  <si>
    <t>Other current liabilities as a % of COGS</t>
  </si>
  <si>
    <t>CFS</t>
  </si>
  <si>
    <t>in USDm unless otherwise stated</t>
  </si>
  <si>
    <t>Chg in NWC</t>
  </si>
  <si>
    <t>Operating CF</t>
  </si>
  <si>
    <t>Repayment of debt</t>
  </si>
  <si>
    <t>Net cash flows</t>
  </si>
  <si>
    <t>Debt schedule</t>
  </si>
  <si>
    <t>FCF</t>
  </si>
  <si>
    <t>BoP cash</t>
  </si>
  <si>
    <t>CFADS</t>
  </si>
  <si>
    <t>BoP TLB</t>
  </si>
  <si>
    <t>Repayment</t>
  </si>
  <si>
    <t>EoP TLB</t>
  </si>
  <si>
    <t xml:space="preserve">Year </t>
  </si>
  <si>
    <t>BoP Snr sub</t>
  </si>
  <si>
    <t>EoP Snr sub</t>
  </si>
  <si>
    <t>Switches</t>
  </si>
  <si>
    <t>Circularity</t>
  </si>
  <si>
    <t>Snr sub sweep</t>
  </si>
  <si>
    <t>LBO</t>
  </si>
  <si>
    <t>Exit multiple</t>
  </si>
  <si>
    <t>Exit EV</t>
  </si>
  <si>
    <t>Exit EqV</t>
  </si>
  <si>
    <t>Mgmt options</t>
  </si>
  <si>
    <t>EqV to sponsor</t>
  </si>
  <si>
    <t>MOIC</t>
  </si>
  <si>
    <t>IRR</t>
  </si>
  <si>
    <t>Sponsor profit</t>
  </si>
  <si>
    <t>Sensitivity</t>
  </si>
  <si>
    <t xml:space="preserve">Abbility to pay </t>
  </si>
  <si>
    <t>Required return</t>
  </si>
  <si>
    <t>Required sponsor equity at entry</t>
  </si>
  <si>
    <t>(+) txn debt</t>
  </si>
  <si>
    <t>(-) old debt</t>
  </si>
  <si>
    <t>(-) fees</t>
  </si>
  <si>
    <t>Required purchase EqV</t>
  </si>
  <si>
    <t>(+) old net debt</t>
  </si>
  <si>
    <t>Required entry EV</t>
  </si>
  <si>
    <t>Required entry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</si>
</sst>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&quot;$&quot;0.0"/>
    <numFmt numFmtId="165" formatCode="0.0"/>
    <numFmt numFmtId="166" formatCode="#,##0.0"/>
    <numFmt numFmtId="167" formatCode="0.0\x"/>
  </numFmts>
  <fonts count="1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</font>
    <font>
      <sz val="10"/>
      <color rgb="FF0000FF"/>
      <name val="Arial"/>
      <family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sz val="10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0" fontId="1" fillId="0" borderId="0" xfId="0" applyFont="1" applyFill="1" applyBorder="1" applyAlignment="1">
      <alignment horizontal="left" indent="2"/>
    </xf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166" fontId="0" fillId="0" borderId="1" xfId="0" applyNumberFormat="1" applyBorder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4" fillId="0" borderId="0" xfId="0" applyNumberFormat="1" applyFont="1"/>
    <xf numFmtId="164" fontId="5" fillId="0" borderId="0" xfId="0" applyNumberFormat="1" applyFont="1"/>
    <xf numFmtId="0" fontId="0" fillId="0" borderId="2" xfId="0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164" fontId="0" fillId="0" borderId="3" xfId="0" applyNumberFormat="1" applyBorder="1"/>
    <xf numFmtId="165" fontId="0" fillId="0" borderId="3" xfId="0" applyNumberFormat="1" applyBorder="1"/>
    <xf numFmtId="164" fontId="1" fillId="0" borderId="3" xfId="0" applyNumberFormat="1" applyFont="1" applyBorder="1"/>
    <xf numFmtId="0" fontId="1" fillId="0" borderId="3" xfId="0" applyFont="1" applyBorder="1"/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164" fontId="1" fillId="0" borderId="0" xfId="0" applyNumberFormat="1" applyFont="1" applyBorder="1"/>
    <xf numFmtId="0" fontId="1" fillId="0" borderId="0" xfId="0" applyFont="1" applyBorder="1"/>
    <xf numFmtId="165" fontId="0" fillId="0" borderId="2" xfId="0" applyNumberFormat="1" applyBorder="1"/>
    <xf numFmtId="166" fontId="0" fillId="0" borderId="3" xfId="0" applyNumberFormat="1" applyBorder="1"/>
    <xf numFmtId="0" fontId="0" fillId="0" borderId="4" xfId="0" applyBorder="1"/>
    <xf numFmtId="164" fontId="5" fillId="0" borderId="4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41" fontId="0" fillId="0" borderId="0" xfId="1" applyFont="1"/>
    <xf numFmtId="167" fontId="7" fillId="0" borderId="0" xfId="1" applyNumberFormat="1" applyFont="1"/>
    <xf numFmtId="9" fontId="0" fillId="0" borderId="0" xfId="1" applyNumberFormat="1" applyFont="1"/>
    <xf numFmtId="9" fontId="0" fillId="0" borderId="0" xfId="2" applyFont="1"/>
    <xf numFmtId="9" fontId="7" fillId="0" borderId="0" xfId="2" applyFont="1"/>
    <xf numFmtId="41" fontId="7" fillId="0" borderId="0" xfId="1" applyFont="1"/>
    <xf numFmtId="41" fontId="8" fillId="0" borderId="0" xfId="1" applyFont="1"/>
    <xf numFmtId="41" fontId="0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41" fontId="10" fillId="0" borderId="0" xfId="1" applyFont="1" applyAlignment="1">
      <alignment horizontal="center"/>
    </xf>
    <xf numFmtId="41" fontId="1" fillId="0" borderId="0" xfId="1" applyFont="1"/>
    <xf numFmtId="41" fontId="11" fillId="0" borderId="0" xfId="1" applyFont="1"/>
    <xf numFmtId="0" fontId="0" fillId="0" borderId="5" xfId="0" applyBorder="1"/>
    <xf numFmtId="41" fontId="0" fillId="0" borderId="5" xfId="1" applyFont="1" applyBorder="1"/>
    <xf numFmtId="41" fontId="1" fillId="0" borderId="5" xfId="1" applyFont="1" applyBorder="1"/>
    <xf numFmtId="0" fontId="9" fillId="0" borderId="0" xfId="0" applyFont="1"/>
    <xf numFmtId="9" fontId="7" fillId="0" borderId="0" xfId="1" applyNumberFormat="1" applyFont="1"/>
    <xf numFmtId="41" fontId="0" fillId="0" borderId="0" xfId="1" applyFont="1" applyBorder="1"/>
    <xf numFmtId="41" fontId="12" fillId="0" borderId="0" xfId="1" applyFont="1" applyBorder="1"/>
    <xf numFmtId="41" fontId="0" fillId="0" borderId="0" xfId="1" applyFont="1" applyFill="1"/>
    <xf numFmtId="167" fontId="4" fillId="0" borderId="0" xfId="1" applyNumberFormat="1" applyFont="1"/>
    <xf numFmtId="9" fontId="12" fillId="0" borderId="0" xfId="1" applyNumberFormat="1" applyFont="1"/>
    <xf numFmtId="41" fontId="0" fillId="0" borderId="0" xfId="1" applyFont="1" applyAlignment="1">
      <alignment horizontal="centerContinuous"/>
    </xf>
    <xf numFmtId="9" fontId="0" fillId="0" borderId="6" xfId="2" applyFont="1" applyBorder="1"/>
    <xf numFmtId="9" fontId="0" fillId="0" borderId="5" xfId="2" applyFont="1" applyBorder="1"/>
    <xf numFmtId="9" fontId="0" fillId="0" borderId="7" xfId="2" applyFont="1" applyBorder="1"/>
    <xf numFmtId="9" fontId="0" fillId="0" borderId="0" xfId="2" applyFont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00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69"/>
  <sheetViews>
    <sheetView topLeftCell="A37" workbookViewId="0">
      <selection activeCell="A2" sqref="A2"/>
    </sheetView>
  </sheetViews>
  <sheetFormatPr defaultRowHeight="12.75" x14ac:dyDescent="0.2"/>
  <cols>
    <col min="1" max="1" width="1.28515625" customWidth="1"/>
    <col min="2" max="2" width="36.7109375" customWidth="1"/>
    <col min="5" max="5" width="9.5703125" customWidth="1"/>
    <col min="6" max="6" width="9.5703125" style="19" customWidth="1"/>
    <col min="7" max="7" width="9.140625" style="19"/>
    <col min="8" max="10" width="9.140625" style="25"/>
    <col min="11" max="11" width="10" style="25" customWidth="1"/>
  </cols>
  <sheetData>
    <row r="2" spans="2:11" x14ac:dyDescent="0.2">
      <c r="B2" s="2" t="s">
        <v>0</v>
      </c>
      <c r="C2" s="1"/>
      <c r="D2" s="1"/>
      <c r="E2" s="1"/>
      <c r="F2" s="18"/>
      <c r="G2" s="18"/>
      <c r="H2" s="1"/>
      <c r="I2" s="1"/>
      <c r="J2" s="1"/>
      <c r="K2" s="1"/>
    </row>
    <row r="3" spans="2:11" x14ac:dyDescent="0.2">
      <c r="B3" s="3" t="s">
        <v>1</v>
      </c>
    </row>
    <row r="5" spans="2:11" x14ac:dyDescent="0.2">
      <c r="C5" s="34" t="s">
        <v>2</v>
      </c>
      <c r="D5" s="34"/>
      <c r="E5" s="34"/>
      <c r="F5" s="20" t="s">
        <v>3</v>
      </c>
      <c r="G5" s="35" t="s">
        <v>4</v>
      </c>
      <c r="H5" s="34"/>
      <c r="I5" s="34"/>
      <c r="J5" s="34"/>
      <c r="K5" s="34"/>
    </row>
    <row r="6" spans="2:11" x14ac:dyDescent="0.2">
      <c r="C6" s="11">
        <v>2003</v>
      </c>
      <c r="D6" s="11">
        <v>2004</v>
      </c>
      <c r="E6" s="11">
        <v>2005</v>
      </c>
      <c r="F6" s="20">
        <v>2006</v>
      </c>
      <c r="G6" s="20">
        <v>2007</v>
      </c>
      <c r="H6" s="11">
        <v>2008</v>
      </c>
      <c r="I6" s="11">
        <v>2009</v>
      </c>
      <c r="J6" s="11">
        <v>2010</v>
      </c>
      <c r="K6" s="11">
        <v>2011</v>
      </c>
    </row>
    <row r="7" spans="2:11" x14ac:dyDescent="0.2">
      <c r="B7" s="4" t="s">
        <v>5</v>
      </c>
    </row>
    <row r="8" spans="2:11" x14ac:dyDescent="0.2">
      <c r="B8" s="5" t="s">
        <v>6</v>
      </c>
      <c r="C8" s="6">
        <v>211.9</v>
      </c>
      <c r="D8" s="6">
        <v>217</v>
      </c>
      <c r="E8" s="6">
        <v>207.5</v>
      </c>
      <c r="F8" s="21">
        <v>231.2</v>
      </c>
      <c r="G8" s="21">
        <v>254</v>
      </c>
      <c r="H8" s="26">
        <v>269.2</v>
      </c>
      <c r="I8" s="26">
        <v>282.7</v>
      </c>
      <c r="J8" s="26">
        <v>291.10000000000002</v>
      </c>
      <c r="K8" s="26">
        <v>299.74959320834813</v>
      </c>
    </row>
    <row r="9" spans="2:11" x14ac:dyDescent="0.2">
      <c r="B9" s="5" t="s">
        <v>7</v>
      </c>
      <c r="C9" s="7">
        <v>19</v>
      </c>
      <c r="D9" s="7">
        <v>20.9</v>
      </c>
      <c r="E9" s="7">
        <v>26.5</v>
      </c>
      <c r="F9" s="22">
        <v>40.6</v>
      </c>
      <c r="G9" s="22">
        <v>51.4</v>
      </c>
      <c r="H9" s="27">
        <v>57.8</v>
      </c>
      <c r="I9" s="27">
        <v>64.7</v>
      </c>
      <c r="J9" s="27">
        <v>71.099999999999994</v>
      </c>
      <c r="K9" s="27">
        <v>78.133075734157643</v>
      </c>
    </row>
    <row r="10" spans="2:11" x14ac:dyDescent="0.2">
      <c r="B10" s="5" t="s">
        <v>8</v>
      </c>
      <c r="C10" s="7">
        <v>0.1</v>
      </c>
      <c r="D10" s="7">
        <v>7.4</v>
      </c>
      <c r="E10" s="7">
        <v>37.799999999999997</v>
      </c>
      <c r="F10" s="22">
        <v>88</v>
      </c>
      <c r="G10" s="22">
        <v>169.6</v>
      </c>
      <c r="H10" s="27">
        <v>219.6</v>
      </c>
      <c r="I10" s="27">
        <v>270.8</v>
      </c>
      <c r="J10" s="27">
        <v>321.39999999999998</v>
      </c>
      <c r="K10" s="27">
        <v>381.4548005908419</v>
      </c>
    </row>
    <row r="11" spans="2:11" x14ac:dyDescent="0.2">
      <c r="B11" s="5" t="s">
        <v>9</v>
      </c>
      <c r="C11" s="1">
        <v>98.8</v>
      </c>
      <c r="D11" s="1">
        <v>106.3</v>
      </c>
      <c r="E11" s="1">
        <v>123.3</v>
      </c>
      <c r="F11" s="18">
        <v>126.4</v>
      </c>
      <c r="G11" s="18">
        <v>133.1</v>
      </c>
      <c r="H11" s="1">
        <v>136.1</v>
      </c>
      <c r="I11" s="1">
        <v>139.5</v>
      </c>
      <c r="J11" s="1">
        <v>144.1</v>
      </c>
      <c r="K11" s="8">
        <v>148.85168458781359</v>
      </c>
    </row>
    <row r="12" spans="2:11" x14ac:dyDescent="0.2">
      <c r="B12" s="9" t="s">
        <v>10</v>
      </c>
      <c r="C12" s="10">
        <v>329.8</v>
      </c>
      <c r="D12" s="10">
        <v>351.6</v>
      </c>
      <c r="E12" s="10">
        <v>395.1</v>
      </c>
      <c r="F12" s="23">
        <v>486.20000000000005</v>
      </c>
      <c r="G12" s="23">
        <v>608.1</v>
      </c>
      <c r="H12" s="28">
        <v>682.7</v>
      </c>
      <c r="I12" s="28">
        <v>757.7</v>
      </c>
      <c r="J12" s="28">
        <v>827.7</v>
      </c>
      <c r="K12" s="28">
        <v>908.18915412116132</v>
      </c>
    </row>
    <row r="14" spans="2:11" x14ac:dyDescent="0.2">
      <c r="B14" s="4" t="s">
        <v>11</v>
      </c>
    </row>
    <row r="15" spans="2:11" x14ac:dyDescent="0.2">
      <c r="B15" s="5" t="s">
        <v>6</v>
      </c>
      <c r="C15" s="6">
        <v>72.400000000000006</v>
      </c>
      <c r="D15" s="6">
        <v>76.3</v>
      </c>
      <c r="E15" s="6">
        <v>61</v>
      </c>
      <c r="F15" s="21">
        <v>70.3</v>
      </c>
      <c r="G15" s="21">
        <v>78.2</v>
      </c>
      <c r="H15" s="26">
        <v>83.4</v>
      </c>
      <c r="I15" s="26">
        <v>87.6</v>
      </c>
      <c r="J15" s="26">
        <v>90.3</v>
      </c>
      <c r="K15" s="26">
        <v>92.983126989741777</v>
      </c>
    </row>
    <row r="16" spans="2:11" x14ac:dyDescent="0.2">
      <c r="B16" s="5" t="s">
        <v>7</v>
      </c>
      <c r="C16" s="7">
        <v>6</v>
      </c>
      <c r="D16" s="7">
        <v>6.9</v>
      </c>
      <c r="E16" s="7">
        <v>8.1999999999999993</v>
      </c>
      <c r="F16" s="22">
        <v>12.7</v>
      </c>
      <c r="G16" s="22">
        <v>16.2</v>
      </c>
      <c r="H16" s="27">
        <v>18.3</v>
      </c>
      <c r="I16" s="27">
        <v>20.6</v>
      </c>
      <c r="J16" s="27">
        <v>22.6</v>
      </c>
      <c r="K16" s="27">
        <v>24.835548686244202</v>
      </c>
    </row>
    <row r="17" spans="2:11" x14ac:dyDescent="0.2">
      <c r="B17" s="5" t="s">
        <v>8</v>
      </c>
      <c r="C17" s="7">
        <v>-1.5</v>
      </c>
      <c r="D17" s="7">
        <v>-4.0999999999999996</v>
      </c>
      <c r="E17" s="7">
        <v>6.3</v>
      </c>
      <c r="F17" s="22">
        <v>33.299999999999997</v>
      </c>
      <c r="G17" s="22">
        <v>57.6</v>
      </c>
      <c r="H17" s="27">
        <v>75.5</v>
      </c>
      <c r="I17" s="27">
        <v>97.2</v>
      </c>
      <c r="J17" s="27">
        <v>122.1</v>
      </c>
      <c r="K17" s="27">
        <v>144.91484490398815</v>
      </c>
    </row>
    <row r="18" spans="2:11" x14ac:dyDescent="0.2">
      <c r="B18" s="5" t="s">
        <v>9</v>
      </c>
      <c r="C18" s="8">
        <v>13</v>
      </c>
      <c r="D18" s="1">
        <v>6.7</v>
      </c>
      <c r="E18" s="1">
        <v>10.199999999999999</v>
      </c>
      <c r="F18" s="18">
        <v>14.8</v>
      </c>
      <c r="G18" s="18">
        <v>20.3</v>
      </c>
      <c r="H18" s="1">
        <v>22.7</v>
      </c>
      <c r="I18" s="1">
        <v>25.6</v>
      </c>
      <c r="J18" s="8">
        <v>29</v>
      </c>
      <c r="K18" s="8">
        <v>29.95627240143369</v>
      </c>
    </row>
    <row r="19" spans="2:11" x14ac:dyDescent="0.2">
      <c r="B19" s="9" t="s">
        <v>14</v>
      </c>
      <c r="C19" s="10">
        <v>89.9</v>
      </c>
      <c r="D19" s="10">
        <v>85.800000000000011</v>
      </c>
      <c r="E19" s="10">
        <v>85.7</v>
      </c>
      <c r="F19" s="23">
        <v>131.1</v>
      </c>
      <c r="G19" s="23">
        <v>172.3</v>
      </c>
      <c r="H19" s="28">
        <v>199.89999999999998</v>
      </c>
      <c r="I19" s="28">
        <v>230.99999999999997</v>
      </c>
      <c r="J19" s="28">
        <v>264</v>
      </c>
      <c r="K19" s="28">
        <v>292.68979298140783</v>
      </c>
    </row>
    <row r="21" spans="2:11" x14ac:dyDescent="0.2">
      <c r="B21" s="12" t="s">
        <v>12</v>
      </c>
      <c r="C21" s="6">
        <v>24</v>
      </c>
      <c r="D21" s="6">
        <v>27.300000000000011</v>
      </c>
      <c r="E21" s="6">
        <v>28</v>
      </c>
      <c r="F21" s="21">
        <v>35.899999999999991</v>
      </c>
      <c r="G21" s="21">
        <v>41.400000000000006</v>
      </c>
      <c r="H21" s="26">
        <v>44.899999999999977</v>
      </c>
      <c r="I21" s="26">
        <v>48.799999999999983</v>
      </c>
      <c r="J21" s="26">
        <v>53.099999999999994</v>
      </c>
      <c r="K21" s="26">
        <v>61.280958132848099</v>
      </c>
    </row>
    <row r="22" spans="2:11" x14ac:dyDescent="0.2">
      <c r="B22" s="12"/>
      <c r="C22" s="6"/>
      <c r="D22" s="6"/>
      <c r="E22" s="6"/>
      <c r="F22" s="21"/>
      <c r="G22" s="21"/>
      <c r="H22" s="26"/>
      <c r="I22" s="26"/>
      <c r="J22" s="26"/>
      <c r="K22" s="26"/>
    </row>
    <row r="23" spans="2:11" x14ac:dyDescent="0.2">
      <c r="B23" s="12" t="s">
        <v>15</v>
      </c>
      <c r="C23" s="6">
        <v>65.900000000000006</v>
      </c>
      <c r="D23" s="6">
        <v>58.5</v>
      </c>
      <c r="E23" s="6">
        <v>57.7</v>
      </c>
      <c r="F23" s="21">
        <v>95.2</v>
      </c>
      <c r="G23" s="21">
        <v>130.9</v>
      </c>
      <c r="H23" s="26">
        <v>155</v>
      </c>
      <c r="I23" s="26">
        <v>182.2</v>
      </c>
      <c r="J23" s="26">
        <v>210.9</v>
      </c>
      <c r="K23" s="26">
        <v>231.40883484855974</v>
      </c>
    </row>
    <row r="24" spans="2:11" x14ac:dyDescent="0.2">
      <c r="B24" s="12"/>
      <c r="C24" s="6"/>
      <c r="D24" s="6"/>
      <c r="E24" s="6"/>
      <c r="F24" s="21"/>
      <c r="G24" s="21"/>
      <c r="H24" s="26"/>
      <c r="I24" s="26"/>
      <c r="J24" s="26"/>
      <c r="K24" s="26"/>
    </row>
    <row r="25" spans="2:11" x14ac:dyDescent="0.2">
      <c r="B25" s="5" t="s">
        <v>16</v>
      </c>
      <c r="C25" s="6">
        <v>28</v>
      </c>
      <c r="D25" s="6">
        <v>34.700000000000003</v>
      </c>
      <c r="E25" s="6">
        <v>32.599999999999994</v>
      </c>
      <c r="F25" s="21">
        <v>30.899999999999991</v>
      </c>
      <c r="G25" s="21">
        <v>38.799999999999983</v>
      </c>
      <c r="H25" s="26">
        <v>43.699999999999989</v>
      </c>
      <c r="I25" s="26">
        <v>48.400000000000006</v>
      </c>
      <c r="J25" s="26">
        <v>52.700000000000017</v>
      </c>
      <c r="K25" s="26">
        <v>57.824777603220042</v>
      </c>
    </row>
    <row r="26" spans="2:11" x14ac:dyDescent="0.2">
      <c r="B26" s="5"/>
      <c r="C26" s="7"/>
      <c r="D26" s="7"/>
      <c r="E26" s="7"/>
      <c r="F26" s="22"/>
      <c r="G26" s="22"/>
      <c r="H26" s="27"/>
      <c r="I26" s="27"/>
      <c r="J26" s="27"/>
      <c r="K26" s="27"/>
    </row>
    <row r="27" spans="2:11" x14ac:dyDescent="0.2">
      <c r="B27" s="4" t="s">
        <v>13</v>
      </c>
      <c r="C27" s="10">
        <v>93.9</v>
      </c>
      <c r="D27" s="10">
        <v>93.2</v>
      </c>
      <c r="E27" s="10">
        <v>90.3</v>
      </c>
      <c r="F27" s="23">
        <v>126.1</v>
      </c>
      <c r="G27" s="23">
        <v>169.7</v>
      </c>
      <c r="H27" s="28">
        <v>198.7</v>
      </c>
      <c r="I27" s="28">
        <v>230.6</v>
      </c>
      <c r="J27" s="28">
        <v>263.60000000000002</v>
      </c>
      <c r="K27" s="28">
        <v>289.23361245177978</v>
      </c>
    </row>
    <row r="28" spans="2:11" x14ac:dyDescent="0.2">
      <c r="F28" s="32"/>
      <c r="G28" s="25"/>
    </row>
    <row r="29" spans="2:11" x14ac:dyDescent="0.2">
      <c r="B29" s="16" t="s">
        <v>38</v>
      </c>
      <c r="C29" s="17">
        <f>+C21-C25</f>
        <v>-4</v>
      </c>
      <c r="D29" s="17">
        <f t="shared" ref="D29:K29" si="0">+D21-D25</f>
        <v>-7.3999999999999915</v>
      </c>
      <c r="E29" s="17">
        <f t="shared" si="0"/>
        <v>-4.5999999999999943</v>
      </c>
      <c r="F29" s="33">
        <f t="shared" si="0"/>
        <v>5</v>
      </c>
      <c r="G29" s="17">
        <f t="shared" si="0"/>
        <v>2.6000000000000227</v>
      </c>
      <c r="H29" s="17">
        <f t="shared" si="0"/>
        <v>1.1999999999999886</v>
      </c>
      <c r="I29" s="17">
        <f t="shared" si="0"/>
        <v>0.39999999999997726</v>
      </c>
      <c r="J29" s="17">
        <f t="shared" si="0"/>
        <v>0.39999999999997726</v>
      </c>
      <c r="K29" s="17">
        <f t="shared" si="0"/>
        <v>3.4561805296280568</v>
      </c>
    </row>
    <row r="30" spans="2:11" x14ac:dyDescent="0.2">
      <c r="F30" s="32"/>
      <c r="G30" s="25"/>
    </row>
    <row r="32" spans="2:11" x14ac:dyDescent="0.2">
      <c r="B32" s="4" t="s">
        <v>17</v>
      </c>
      <c r="C32" s="10"/>
      <c r="D32" s="10"/>
      <c r="E32" s="10"/>
      <c r="F32" s="23"/>
      <c r="G32" s="23"/>
      <c r="H32" s="28"/>
      <c r="I32" s="28"/>
      <c r="J32" s="28"/>
      <c r="K32" s="28"/>
    </row>
    <row r="33" spans="2:11" x14ac:dyDescent="0.2">
      <c r="B33" s="5" t="s">
        <v>18</v>
      </c>
      <c r="C33" s="6">
        <v>5.9</v>
      </c>
      <c r="D33" s="6">
        <v>4.9000000000000004</v>
      </c>
      <c r="E33" s="6">
        <v>5.3</v>
      </c>
      <c r="F33" s="21">
        <v>8.4</v>
      </c>
      <c r="G33" s="21">
        <v>6.5</v>
      </c>
      <c r="H33" s="26">
        <v>6.5</v>
      </c>
      <c r="I33" s="26">
        <v>6.5</v>
      </c>
      <c r="J33" s="26">
        <v>6.5</v>
      </c>
      <c r="K33" s="26">
        <v>6.5</v>
      </c>
    </row>
    <row r="34" spans="2:11" x14ac:dyDescent="0.2">
      <c r="B34" s="5" t="s">
        <v>19</v>
      </c>
      <c r="C34" s="13">
        <v>51.800000000000004</v>
      </c>
      <c r="D34" s="13">
        <v>30.5</v>
      </c>
      <c r="E34" s="13">
        <v>42.2</v>
      </c>
      <c r="F34" s="30">
        <v>109</v>
      </c>
      <c r="G34" s="18">
        <v>20.5</v>
      </c>
      <c r="H34" s="1">
        <v>23.5</v>
      </c>
      <c r="I34" s="1">
        <v>8.5</v>
      </c>
      <c r="J34" s="1">
        <v>8.5</v>
      </c>
      <c r="K34" s="1">
        <v>8.5</v>
      </c>
    </row>
    <row r="35" spans="2:11" x14ac:dyDescent="0.2">
      <c r="B35" s="4" t="s">
        <v>20</v>
      </c>
      <c r="C35" s="6">
        <v>57.7</v>
      </c>
      <c r="D35" s="6">
        <v>35.4</v>
      </c>
      <c r="E35" s="6">
        <v>47.5</v>
      </c>
      <c r="F35" s="21">
        <v>117.4</v>
      </c>
      <c r="G35" s="21">
        <v>27</v>
      </c>
      <c r="H35" s="26">
        <v>30</v>
      </c>
      <c r="I35" s="26">
        <v>15</v>
      </c>
      <c r="J35" s="26">
        <v>15</v>
      </c>
      <c r="K35" s="26">
        <v>15</v>
      </c>
    </row>
    <row r="37" spans="2:11" x14ac:dyDescent="0.2">
      <c r="C37" s="34" t="s">
        <v>2</v>
      </c>
      <c r="D37" s="34"/>
      <c r="E37" s="34"/>
      <c r="F37" s="20" t="s">
        <v>3</v>
      </c>
    </row>
    <row r="38" spans="2:11" x14ac:dyDescent="0.2">
      <c r="C38" s="11">
        <v>2003</v>
      </c>
      <c r="D38" s="11">
        <v>2004</v>
      </c>
      <c r="E38" s="11">
        <v>2005</v>
      </c>
      <c r="F38" s="20">
        <v>2006</v>
      </c>
    </row>
    <row r="39" spans="2:11" x14ac:dyDescent="0.2">
      <c r="B39" s="4" t="s">
        <v>21</v>
      </c>
    </row>
    <row r="40" spans="2:11" x14ac:dyDescent="0.2">
      <c r="B40" s="5" t="s">
        <v>22</v>
      </c>
      <c r="D40" s="6">
        <v>4.4000000000000004</v>
      </c>
      <c r="E40" s="6">
        <v>3</v>
      </c>
      <c r="F40" s="21">
        <v>0</v>
      </c>
      <c r="G40" s="21"/>
      <c r="H40" s="26"/>
      <c r="I40" s="26"/>
      <c r="J40" s="26"/>
      <c r="K40" s="26"/>
    </row>
    <row r="41" spans="2:11" x14ac:dyDescent="0.2">
      <c r="B41" s="5" t="s">
        <v>23</v>
      </c>
      <c r="D41" s="7">
        <v>33.1</v>
      </c>
      <c r="E41" s="7">
        <v>38.6</v>
      </c>
      <c r="F41" s="22">
        <v>47.500177170336627</v>
      </c>
      <c r="G41" s="22"/>
      <c r="H41" s="27"/>
      <c r="I41" s="27"/>
      <c r="J41" s="27"/>
      <c r="K41" s="27"/>
    </row>
    <row r="42" spans="2:11" x14ac:dyDescent="0.2">
      <c r="B42" s="5" t="s">
        <v>24</v>
      </c>
      <c r="D42" s="7">
        <v>45.8</v>
      </c>
      <c r="E42" s="7">
        <v>56.3</v>
      </c>
      <c r="F42" s="22">
        <v>69.281346494558335</v>
      </c>
      <c r="G42" s="22"/>
      <c r="H42" s="27"/>
      <c r="I42" s="27"/>
      <c r="J42" s="27"/>
      <c r="K42" s="27"/>
    </row>
    <row r="43" spans="2:11" x14ac:dyDescent="0.2">
      <c r="B43" s="5" t="s">
        <v>32</v>
      </c>
      <c r="D43" s="1">
        <v>6.5</v>
      </c>
      <c r="E43" s="1">
        <v>7.4</v>
      </c>
      <c r="F43" s="30">
        <v>9.1062515818780074</v>
      </c>
    </row>
    <row r="44" spans="2:11" x14ac:dyDescent="0.2">
      <c r="B44" s="14" t="s">
        <v>25</v>
      </c>
      <c r="D44" s="6">
        <v>89.8</v>
      </c>
      <c r="E44" s="6">
        <v>105.30000000000001</v>
      </c>
      <c r="F44" s="21">
        <v>125.88777524677297</v>
      </c>
    </row>
    <row r="45" spans="2:11" x14ac:dyDescent="0.2">
      <c r="B45" s="5" t="s">
        <v>26</v>
      </c>
      <c r="D45">
        <v>232.7</v>
      </c>
      <c r="E45">
        <v>238.1</v>
      </c>
      <c r="F45" s="31">
        <v>324.60000000000002</v>
      </c>
    </row>
    <row r="46" spans="2:11" x14ac:dyDescent="0.2">
      <c r="B46" s="5" t="s">
        <v>9</v>
      </c>
      <c r="D46" s="1">
        <v>9.1</v>
      </c>
      <c r="E46" s="1">
        <v>16.899999999999999</v>
      </c>
      <c r="F46" s="30">
        <v>20.796709693748415</v>
      </c>
    </row>
    <row r="47" spans="2:11" x14ac:dyDescent="0.2">
      <c r="B47" s="15" t="s">
        <v>27</v>
      </c>
      <c r="C47" s="4"/>
      <c r="D47" s="10">
        <v>331.6</v>
      </c>
      <c r="E47" s="10">
        <v>360.29999999999995</v>
      </c>
      <c r="F47" s="23">
        <v>471.28448494052145</v>
      </c>
      <c r="G47" s="24"/>
      <c r="H47" s="29"/>
      <c r="I47" s="29"/>
      <c r="J47" s="29"/>
      <c r="K47" s="29"/>
    </row>
    <row r="49" spans="2:6" x14ac:dyDescent="0.2">
      <c r="B49" s="4" t="s">
        <v>28</v>
      </c>
    </row>
    <row r="50" spans="2:6" x14ac:dyDescent="0.2">
      <c r="B50" s="5" t="s">
        <v>29</v>
      </c>
      <c r="D50" s="6">
        <v>17.3</v>
      </c>
      <c r="E50" s="6">
        <v>26.3</v>
      </c>
      <c r="F50" s="21">
        <v>30.184647705235939</v>
      </c>
    </row>
    <row r="51" spans="2:6" x14ac:dyDescent="0.2">
      <c r="B51" s="5" t="s">
        <v>30</v>
      </c>
      <c r="D51" s="1">
        <v>12.2</v>
      </c>
      <c r="E51" s="1">
        <v>18.799999999999997</v>
      </c>
      <c r="F51" s="30">
        <v>23.134801316122498</v>
      </c>
    </row>
    <row r="52" spans="2:6" x14ac:dyDescent="0.2">
      <c r="B52" s="14" t="s">
        <v>31</v>
      </c>
      <c r="D52" s="6">
        <v>29.5</v>
      </c>
      <c r="E52" s="6">
        <v>45.099999999999994</v>
      </c>
      <c r="F52" s="21">
        <v>53.319449021358437</v>
      </c>
    </row>
    <row r="53" spans="2:6" x14ac:dyDescent="0.2">
      <c r="B53" s="5" t="s">
        <v>33</v>
      </c>
      <c r="D53">
        <v>28.799999999999997</v>
      </c>
      <c r="E53">
        <v>24.8</v>
      </c>
      <c r="F53" s="22">
        <v>60.860556040651176</v>
      </c>
    </row>
    <row r="54" spans="2:6" x14ac:dyDescent="0.2">
      <c r="B54" s="5" t="s">
        <v>34</v>
      </c>
      <c r="D54" s="1">
        <v>19.5</v>
      </c>
      <c r="E54" s="1">
        <v>16.5</v>
      </c>
      <c r="F54" s="30">
        <v>20.304479878511767</v>
      </c>
    </row>
    <row r="55" spans="2:6" x14ac:dyDescent="0.2">
      <c r="B55" s="14" t="s">
        <v>35</v>
      </c>
      <c r="D55" s="6">
        <v>77.8</v>
      </c>
      <c r="E55" s="6">
        <v>86.399999999999991</v>
      </c>
      <c r="F55" s="21">
        <v>134.48448494052138</v>
      </c>
    </row>
    <row r="56" spans="2:6" x14ac:dyDescent="0.2">
      <c r="B56" s="5" t="s">
        <v>36</v>
      </c>
      <c r="D56" s="1">
        <v>253.8</v>
      </c>
      <c r="E56" s="1">
        <v>273.89999999999998</v>
      </c>
      <c r="F56" s="30">
        <v>336.80000000000007</v>
      </c>
    </row>
    <row r="57" spans="2:6" x14ac:dyDescent="0.2">
      <c r="B57" s="15" t="s">
        <v>37</v>
      </c>
      <c r="D57" s="10">
        <v>331.6</v>
      </c>
      <c r="E57" s="10">
        <v>360.29999999999995</v>
      </c>
      <c r="F57" s="23">
        <v>471.28448494052145</v>
      </c>
    </row>
    <row r="58" spans="2:6" x14ac:dyDescent="0.2">
      <c r="F58" s="23"/>
    </row>
    <row r="61" spans="2:6" x14ac:dyDescent="0.2">
      <c r="F61" s="21"/>
    </row>
    <row r="64" spans="2:6" x14ac:dyDescent="0.2">
      <c r="F64" s="21"/>
    </row>
    <row r="65" spans="6:6" x14ac:dyDescent="0.2">
      <c r="F65" s="21"/>
    </row>
    <row r="66" spans="6:6" x14ac:dyDescent="0.2">
      <c r="F66" s="21"/>
    </row>
    <row r="68" spans="6:6" x14ac:dyDescent="0.2">
      <c r="F68" s="21"/>
    </row>
    <row r="69" spans="6:6" x14ac:dyDescent="0.2">
      <c r="F69" s="21"/>
    </row>
  </sheetData>
  <mergeCells count="3">
    <mergeCell ref="C5:E5"/>
    <mergeCell ref="G5:K5"/>
    <mergeCell ref="C37:E37"/>
  </mergeCells>
  <phoneticPr fontId="3" type="noConversion"/>
  <pageMargins left="0.17" right="0.19" top="0.28000000000000003" bottom="1" header="0.5" footer="0.5"/>
  <pageSetup scale="87" orientation="portrait"/>
  <headerFooter alignWithMargins="0">
    <oddFooter>&amp;CFor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3880-5A93-4381-8955-243F54B30F97}">
  <dimension ref="A1:V153"/>
  <sheetViews>
    <sheetView showGridLines="0" tabSelected="1" topLeftCell="A70" zoomScale="85" zoomScaleNormal="85" workbookViewId="0">
      <selection activeCell="C4" sqref="C4"/>
    </sheetView>
  </sheetViews>
  <sheetFormatPr defaultColWidth="10.7109375" defaultRowHeight="12.75" x14ac:dyDescent="0.2"/>
  <cols>
    <col min="1" max="1" width="1.7109375" customWidth="1"/>
  </cols>
  <sheetData>
    <row r="1" spans="1:22" x14ac:dyDescent="0.2">
      <c r="A1" s="3" t="s">
        <v>106</v>
      </c>
      <c r="F1" s="36"/>
      <c r="G1" s="36"/>
      <c r="H1" s="36"/>
      <c r="I1" s="36"/>
      <c r="L1" s="36"/>
      <c r="M1" s="36"/>
      <c r="N1" s="36"/>
      <c r="O1" s="36"/>
    </row>
    <row r="2" spans="1:22" x14ac:dyDescent="0.2">
      <c r="F2" s="4"/>
      <c r="G2" s="4"/>
      <c r="H2" s="4"/>
      <c r="I2" s="4"/>
      <c r="L2" s="4"/>
      <c r="M2" s="4"/>
      <c r="N2" s="4"/>
      <c r="O2" s="4"/>
    </row>
    <row r="3" spans="1:22" x14ac:dyDescent="0.2">
      <c r="A3" t="s">
        <v>39</v>
      </c>
      <c r="B3" s="52" t="s">
        <v>40</v>
      </c>
    </row>
    <row r="4" spans="1:22" x14ac:dyDescent="0.2"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2" x14ac:dyDescent="0.2">
      <c r="B5" s="4" t="s">
        <v>43</v>
      </c>
      <c r="C5" s="37" t="s">
        <v>46</v>
      </c>
      <c r="D5" s="37" t="s">
        <v>47</v>
      </c>
      <c r="E5" s="37" t="s">
        <v>48</v>
      </c>
      <c r="F5" s="37" t="s">
        <v>49</v>
      </c>
      <c r="G5" s="37" t="s">
        <v>50</v>
      </c>
      <c r="H5" s="37" t="s">
        <v>51</v>
      </c>
      <c r="I5" s="37" t="s">
        <v>52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pans="1:22" x14ac:dyDescent="0.2">
      <c r="B6" t="s">
        <v>44</v>
      </c>
      <c r="C6" s="38">
        <v>3</v>
      </c>
      <c r="D6" s="41">
        <v>0.03</v>
      </c>
      <c r="E6" s="41">
        <v>0.05</v>
      </c>
      <c r="F6" s="40">
        <f>+E6+D6</f>
        <v>0.08</v>
      </c>
      <c r="G6" s="42">
        <v>8</v>
      </c>
      <c r="H6" s="37">
        <f>+G6</f>
        <v>8</v>
      </c>
      <c r="I6" s="41">
        <v>0.04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</row>
    <row r="7" spans="1:22" x14ac:dyDescent="0.2">
      <c r="B7" t="s">
        <v>45</v>
      </c>
      <c r="C7" s="38">
        <v>1.5</v>
      </c>
      <c r="D7" s="41"/>
      <c r="E7" s="37"/>
      <c r="F7" s="41">
        <v>0.1</v>
      </c>
      <c r="G7" s="37"/>
      <c r="H7" s="37"/>
      <c r="I7" s="41">
        <v>0.05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 spans="1:22" x14ac:dyDescent="0.2"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 spans="1:22" x14ac:dyDescent="0.2">
      <c r="B9" s="4" t="s">
        <v>76</v>
      </c>
      <c r="C9" s="37"/>
      <c r="D9" s="37"/>
      <c r="E9" s="37"/>
      <c r="F9" s="37"/>
      <c r="G9" s="47" t="s">
        <v>77</v>
      </c>
      <c r="H9" s="37"/>
      <c r="I9" s="37"/>
      <c r="J9" s="37"/>
      <c r="K9" s="37"/>
      <c r="L9" s="47" t="s">
        <v>84</v>
      </c>
      <c r="M9" s="37"/>
      <c r="N9" s="37"/>
      <c r="O9" s="37"/>
      <c r="P9" s="37"/>
      <c r="Q9" s="47" t="s">
        <v>121</v>
      </c>
      <c r="R9" s="37"/>
      <c r="S9" s="37"/>
      <c r="T9" s="37"/>
      <c r="U9" s="37"/>
      <c r="V9" s="37"/>
    </row>
    <row r="10" spans="1:22" x14ac:dyDescent="0.2">
      <c r="B10" t="s">
        <v>59</v>
      </c>
      <c r="C10" s="37"/>
      <c r="D10" s="37"/>
      <c r="E10" s="37">
        <f>+I44</f>
        <v>126.1</v>
      </c>
      <c r="F10" s="37"/>
      <c r="G10" s="37" t="s">
        <v>44</v>
      </c>
      <c r="H10" s="37"/>
      <c r="I10" s="37"/>
      <c r="J10" s="37">
        <f>+C6*$I$44</f>
        <v>378.29999999999995</v>
      </c>
      <c r="K10" s="37"/>
      <c r="L10" s="37" t="s">
        <v>85</v>
      </c>
      <c r="M10" s="37"/>
      <c r="N10" s="37"/>
      <c r="O10" s="37">
        <f>+J15</f>
        <v>947.93944395934875</v>
      </c>
      <c r="P10" s="37"/>
      <c r="Q10" s="37" t="s">
        <v>122</v>
      </c>
      <c r="R10" s="37"/>
      <c r="S10" s="37"/>
      <c r="T10" s="42">
        <v>1</v>
      </c>
      <c r="U10" s="37"/>
      <c r="V10" s="37"/>
    </row>
    <row r="11" spans="1:22" x14ac:dyDescent="0.2">
      <c r="B11" t="s">
        <v>60</v>
      </c>
      <c r="C11" s="37"/>
      <c r="D11" s="37"/>
      <c r="E11" s="38">
        <v>8</v>
      </c>
      <c r="F11" s="37"/>
      <c r="G11" s="37" t="s">
        <v>45</v>
      </c>
      <c r="H11" s="37"/>
      <c r="I11" s="37"/>
      <c r="J11" s="37">
        <f>+C7*$I$44</f>
        <v>189.14999999999998</v>
      </c>
      <c r="K11" s="37"/>
      <c r="L11" s="37" t="s">
        <v>86</v>
      </c>
      <c r="M11" s="37"/>
      <c r="N11" s="37"/>
      <c r="O11" s="37">
        <f>+I70</f>
        <v>336.80000000000007</v>
      </c>
      <c r="P11" s="37"/>
      <c r="Q11" s="37" t="s">
        <v>123</v>
      </c>
      <c r="R11" s="37"/>
      <c r="S11" s="37"/>
      <c r="T11" s="42">
        <v>1</v>
      </c>
      <c r="U11" s="37"/>
      <c r="V11" s="37"/>
    </row>
    <row r="12" spans="1:22" x14ac:dyDescent="0.2">
      <c r="B12" s="49" t="s">
        <v>61</v>
      </c>
      <c r="C12" s="50"/>
      <c r="D12" s="50"/>
      <c r="E12" s="50">
        <f>+E11*E10</f>
        <v>1008.8</v>
      </c>
      <c r="F12" s="37"/>
      <c r="G12" s="37" t="s">
        <v>78</v>
      </c>
      <c r="H12" s="37"/>
      <c r="I12" s="37"/>
      <c r="J12" s="37">
        <f>+J13-J11-J10</f>
        <v>465.93950000000007</v>
      </c>
      <c r="K12" s="37"/>
      <c r="L12" s="50" t="s">
        <v>87</v>
      </c>
      <c r="M12" s="50"/>
      <c r="N12" s="50"/>
      <c r="O12" s="50">
        <f>+O10-O11</f>
        <v>611.13944395934868</v>
      </c>
      <c r="P12" s="37"/>
      <c r="Q12" s="37"/>
      <c r="R12" s="37"/>
      <c r="S12" s="37"/>
      <c r="T12" s="37"/>
      <c r="U12" s="37"/>
      <c r="V12" s="37"/>
    </row>
    <row r="13" spans="1:22" x14ac:dyDescent="0.2">
      <c r="C13" s="37"/>
      <c r="D13" s="37"/>
      <c r="E13" s="37"/>
      <c r="F13" s="37"/>
      <c r="G13" s="51" t="s">
        <v>79</v>
      </c>
      <c r="H13" s="50"/>
      <c r="I13" s="50"/>
      <c r="J13" s="50">
        <f>+J18</f>
        <v>1033.3895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</row>
    <row r="14" spans="1:22" x14ac:dyDescent="0.2">
      <c r="B14" t="s">
        <v>62</v>
      </c>
      <c r="C14" s="37"/>
      <c r="D14" s="37"/>
      <c r="E14" s="37">
        <f>+I66-I50</f>
        <v>60.860556040651176</v>
      </c>
      <c r="F14" s="37"/>
      <c r="G14" s="37"/>
      <c r="H14" s="37"/>
      <c r="I14" s="37"/>
      <c r="J14" s="37"/>
      <c r="K14" s="37"/>
      <c r="L14" s="47" t="s">
        <v>92</v>
      </c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5" spans="1:22" x14ac:dyDescent="0.2">
      <c r="B15" t="s">
        <v>75</v>
      </c>
      <c r="C15" s="37"/>
      <c r="D15" s="37"/>
      <c r="E15" s="37">
        <f>+E12-E14</f>
        <v>947.93944395934875</v>
      </c>
      <c r="F15" s="37"/>
      <c r="G15" s="37" t="s">
        <v>80</v>
      </c>
      <c r="H15" s="37"/>
      <c r="I15" s="37"/>
      <c r="J15" s="37">
        <f>+E15</f>
        <v>947.93944395934875</v>
      </c>
      <c r="K15" s="37"/>
      <c r="L15" t="s">
        <v>91</v>
      </c>
      <c r="M15" s="37"/>
      <c r="N15" s="37"/>
      <c r="O15" s="42">
        <v>5</v>
      </c>
      <c r="P15" s="37"/>
      <c r="Q15" s="37"/>
      <c r="R15" s="37"/>
      <c r="S15" s="37"/>
      <c r="T15" s="37"/>
      <c r="U15" s="37"/>
      <c r="V15" s="37"/>
    </row>
    <row r="16" spans="1:22" x14ac:dyDescent="0.2">
      <c r="C16" s="37"/>
      <c r="D16" s="37"/>
      <c r="E16" s="37"/>
      <c r="F16" s="37"/>
      <c r="G16" s="37" t="s">
        <v>81</v>
      </c>
      <c r="H16" s="37"/>
      <c r="I16" s="37"/>
      <c r="J16" s="37">
        <f>+I66</f>
        <v>60.860556040651176</v>
      </c>
      <c r="K16" s="37"/>
      <c r="L16" t="s">
        <v>93</v>
      </c>
      <c r="M16" s="37"/>
      <c r="N16" s="37"/>
      <c r="O16" s="41">
        <v>0.1</v>
      </c>
      <c r="P16" s="37"/>
      <c r="Q16" s="37"/>
      <c r="R16" s="37"/>
      <c r="S16" s="37"/>
      <c r="T16" s="37"/>
      <c r="U16" s="37"/>
      <c r="V16" s="37"/>
    </row>
    <row r="17" spans="1:22" x14ac:dyDescent="0.2">
      <c r="C17" s="37"/>
      <c r="D17" s="37"/>
      <c r="E17" s="37"/>
      <c r="F17" s="37"/>
      <c r="G17" s="37" t="s">
        <v>82</v>
      </c>
      <c r="H17" s="37"/>
      <c r="I17" s="37"/>
      <c r="J17" s="37">
        <f>+I6*J10+J11*I7</f>
        <v>24.589499999999997</v>
      </c>
      <c r="K17" s="37"/>
      <c r="L17" t="s">
        <v>94</v>
      </c>
      <c r="M17" s="37"/>
      <c r="N17" s="37"/>
      <c r="O17" s="41">
        <v>0.37</v>
      </c>
      <c r="P17" s="37"/>
      <c r="Q17" s="37"/>
      <c r="R17" s="37"/>
      <c r="S17" s="37"/>
      <c r="T17" s="37"/>
      <c r="U17" s="37"/>
      <c r="V17" s="37"/>
    </row>
    <row r="18" spans="1:22" x14ac:dyDescent="0.2">
      <c r="C18" s="37"/>
      <c r="D18" s="37"/>
      <c r="E18" s="37"/>
      <c r="F18" s="37"/>
      <c r="G18" s="51" t="s">
        <v>83</v>
      </c>
      <c r="H18" s="50"/>
      <c r="I18" s="50"/>
      <c r="J18" s="50">
        <f>SUM(J15:J17)</f>
        <v>1033.3895</v>
      </c>
      <c r="K18" s="37"/>
      <c r="L18" t="s">
        <v>125</v>
      </c>
      <c r="M18" s="37"/>
      <c r="N18" s="37"/>
      <c r="O18" s="38">
        <v>7</v>
      </c>
      <c r="P18" s="37"/>
      <c r="Q18" s="37"/>
      <c r="R18" s="37"/>
      <c r="S18" s="37"/>
      <c r="T18" s="37"/>
      <c r="U18" s="37"/>
      <c r="V18" s="37"/>
    </row>
    <row r="19" spans="1:22" x14ac:dyDescent="0.2"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</row>
    <row r="20" spans="1:22" x14ac:dyDescent="0.2">
      <c r="C20" s="37"/>
      <c r="D20" s="37"/>
      <c r="E20" s="37"/>
      <c r="F20" s="36" t="s">
        <v>2</v>
      </c>
      <c r="G20" s="36" t="s">
        <v>2</v>
      </c>
      <c r="H20" s="36" t="s">
        <v>2</v>
      </c>
      <c r="I20" s="36" t="s">
        <v>3</v>
      </c>
      <c r="J20" s="37"/>
      <c r="K20" s="37"/>
      <c r="L20" s="36" t="s">
        <v>4</v>
      </c>
      <c r="M20" s="36" t="s">
        <v>4</v>
      </c>
      <c r="N20" s="36" t="s">
        <v>4</v>
      </c>
      <c r="O20" s="36" t="s">
        <v>4</v>
      </c>
      <c r="P20" s="36" t="s">
        <v>4</v>
      </c>
      <c r="Q20" s="37"/>
      <c r="R20" s="37"/>
      <c r="S20" s="37"/>
      <c r="T20" s="37"/>
      <c r="U20" s="37"/>
      <c r="V20" s="37"/>
    </row>
    <row r="21" spans="1:22" x14ac:dyDescent="0.2">
      <c r="A21" t="s">
        <v>39</v>
      </c>
      <c r="B21" s="52" t="s">
        <v>41</v>
      </c>
      <c r="C21" s="37"/>
      <c r="D21" s="37"/>
      <c r="E21" s="37"/>
      <c r="F21" s="45">
        <v>2003</v>
      </c>
      <c r="G21" s="45">
        <f>+F21+1</f>
        <v>2004</v>
      </c>
      <c r="H21" s="45">
        <f t="shared" ref="H21:I21" si="0">+G21+1</f>
        <v>2005</v>
      </c>
      <c r="I21" s="45">
        <f t="shared" si="0"/>
        <v>2006</v>
      </c>
      <c r="J21" s="46"/>
      <c r="K21" s="46"/>
      <c r="L21" s="45">
        <f>+I21+1</f>
        <v>2007</v>
      </c>
      <c r="M21" s="45">
        <f>+L21+1</f>
        <v>2008</v>
      </c>
      <c r="N21" s="45">
        <f>+M21+1</f>
        <v>2009</v>
      </c>
      <c r="O21" s="45">
        <f>+N21+1</f>
        <v>2010</v>
      </c>
      <c r="P21" s="45">
        <f>+O21+1</f>
        <v>2011</v>
      </c>
      <c r="Q21" s="37"/>
      <c r="R21" s="37"/>
      <c r="S21" s="37"/>
      <c r="T21" s="37"/>
      <c r="U21" s="37"/>
      <c r="V21" s="37"/>
    </row>
    <row r="22" spans="1:22" x14ac:dyDescent="0.2">
      <c r="B22" t="s">
        <v>42</v>
      </c>
      <c r="C22" s="37"/>
      <c r="D22" s="37"/>
      <c r="E22" s="37"/>
      <c r="F22" s="43">
        <f>+Financials!C12</f>
        <v>329.8</v>
      </c>
      <c r="G22" s="43">
        <f>+Financials!D12</f>
        <v>351.6</v>
      </c>
      <c r="H22" s="43">
        <f>+Financials!E12</f>
        <v>395.1</v>
      </c>
      <c r="I22" s="43">
        <f>+Financials!F12</f>
        <v>486.20000000000005</v>
      </c>
      <c r="J22" s="37"/>
      <c r="K22" s="37"/>
      <c r="L22" s="43">
        <f>+Financials!G12</f>
        <v>608.1</v>
      </c>
      <c r="M22" s="43">
        <f>+Financials!H12</f>
        <v>682.7</v>
      </c>
      <c r="N22" s="43">
        <f>+Financials!I12</f>
        <v>757.7</v>
      </c>
      <c r="O22" s="43">
        <f>+Financials!J12</f>
        <v>827.7</v>
      </c>
      <c r="P22" s="43">
        <f>+Financials!K12</f>
        <v>908.18915412116132</v>
      </c>
      <c r="Q22" s="37"/>
      <c r="R22" s="37"/>
      <c r="S22" s="37"/>
      <c r="T22" s="37"/>
      <c r="U22" s="37"/>
      <c r="V22" s="37"/>
    </row>
    <row r="23" spans="1:22" x14ac:dyDescent="0.2">
      <c r="B23" t="s">
        <v>53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 spans="1:22" x14ac:dyDescent="0.2"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 spans="1:22" x14ac:dyDescent="0.2">
      <c r="B25" t="s">
        <v>54</v>
      </c>
      <c r="C25" s="37"/>
      <c r="D25" s="37"/>
      <c r="E25" s="37"/>
      <c r="F25" s="43">
        <f>+Financials!C19</f>
        <v>89.9</v>
      </c>
      <c r="G25" s="43">
        <f>+Financials!D19</f>
        <v>85.800000000000011</v>
      </c>
      <c r="H25" s="43">
        <f>+Financials!E19</f>
        <v>85.7</v>
      </c>
      <c r="I25" s="43">
        <f>+Financials!F19</f>
        <v>131.1</v>
      </c>
      <c r="J25" s="37"/>
      <c r="K25" s="37"/>
      <c r="L25" s="43">
        <f>+Financials!G19</f>
        <v>172.3</v>
      </c>
      <c r="M25" s="43">
        <f>+Financials!H19</f>
        <v>199.89999999999998</v>
      </c>
      <c r="N25" s="43">
        <f>+Financials!I19</f>
        <v>230.99999999999997</v>
      </c>
      <c r="O25" s="43">
        <f>+Financials!J19</f>
        <v>264</v>
      </c>
      <c r="P25" s="43">
        <f>+Financials!K19</f>
        <v>292.68979298140783</v>
      </c>
      <c r="Q25" s="37"/>
      <c r="R25" s="37"/>
      <c r="S25" s="37"/>
      <c r="T25" s="37"/>
      <c r="U25" s="37"/>
      <c r="V25" s="37"/>
    </row>
    <row r="26" spans="1:22" x14ac:dyDescent="0.2">
      <c r="B26" t="s">
        <v>55</v>
      </c>
      <c r="C26" s="37"/>
      <c r="D26" s="37"/>
      <c r="E26" s="37"/>
      <c r="F26" s="40">
        <f>+F25/F22</f>
        <v>0.27258944815039421</v>
      </c>
      <c r="G26" s="40">
        <f t="shared" ref="G26:I26" si="1">+G25/G22</f>
        <v>0.24402730375426623</v>
      </c>
      <c r="H26" s="40">
        <f t="shared" si="1"/>
        <v>0.21690711212351302</v>
      </c>
      <c r="I26" s="40">
        <f t="shared" si="1"/>
        <v>0.269642122583299</v>
      </c>
      <c r="J26" s="37"/>
      <c r="K26" s="37"/>
      <c r="L26" s="40">
        <f t="shared" ref="L26" si="2">+L25/L22</f>
        <v>0.28334155566518665</v>
      </c>
      <c r="M26" s="40">
        <f t="shared" ref="M26" si="3">+M25/M22</f>
        <v>0.29280796836091982</v>
      </c>
      <c r="N26" s="40">
        <f t="shared" ref="N26" si="4">+N25/N22</f>
        <v>0.30487000131978348</v>
      </c>
      <c r="O26" s="40">
        <f t="shared" ref="O26" si="5">+O25/O22</f>
        <v>0.31895614353026458</v>
      </c>
      <c r="P26" s="40">
        <f t="shared" ref="P26" si="6">+P25/P22</f>
        <v>0.32227845009296396</v>
      </c>
      <c r="Q26" s="37"/>
      <c r="R26" s="37"/>
      <c r="S26" s="37"/>
      <c r="T26" s="37"/>
      <c r="U26" s="37"/>
      <c r="V26" s="37"/>
    </row>
    <row r="27" spans="1:22" x14ac:dyDescent="0.2"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1:22" x14ac:dyDescent="0.2">
      <c r="B28" t="s">
        <v>56</v>
      </c>
      <c r="C28" s="37"/>
      <c r="D28" s="37"/>
      <c r="E28" s="37"/>
      <c r="F28" s="43">
        <f>+Financials!C21*-1</f>
        <v>-24</v>
      </c>
      <c r="G28" s="43">
        <f>+Financials!D21*-1</f>
        <v>-27.300000000000011</v>
      </c>
      <c r="H28" s="43">
        <f>+Financials!E21*-1</f>
        <v>-28</v>
      </c>
      <c r="I28" s="43">
        <f>+Financials!F21*-1</f>
        <v>-35.899999999999991</v>
      </c>
      <c r="J28" s="37"/>
      <c r="K28" s="37"/>
      <c r="L28" s="43">
        <f>+Financials!G21*-1</f>
        <v>-41.400000000000006</v>
      </c>
      <c r="M28" s="43">
        <f>+Financials!H21*-1</f>
        <v>-44.899999999999977</v>
      </c>
      <c r="N28" s="43">
        <f>+Financials!I21*-1</f>
        <v>-48.799999999999983</v>
      </c>
      <c r="O28" s="43">
        <f>+Financials!J21*-1</f>
        <v>-53.099999999999994</v>
      </c>
      <c r="P28" s="43">
        <f>+Financials!K21*-1</f>
        <v>-61.280958132848099</v>
      </c>
      <c r="Q28" s="37"/>
      <c r="R28" s="37"/>
      <c r="S28" s="37"/>
      <c r="T28" s="37"/>
      <c r="U28" s="37"/>
      <c r="V28" s="37"/>
    </row>
    <row r="29" spans="1:22" x14ac:dyDescent="0.2"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0" spans="1:22" x14ac:dyDescent="0.2">
      <c r="B30" t="s">
        <v>15</v>
      </c>
      <c r="C30" s="37"/>
      <c r="D30" s="37"/>
      <c r="E30" s="37"/>
      <c r="F30" s="37">
        <f>+F28+F25</f>
        <v>65.900000000000006</v>
      </c>
      <c r="G30" s="37">
        <f t="shared" ref="G30:I30" si="7">+G28+G25</f>
        <v>58.5</v>
      </c>
      <c r="H30" s="37">
        <f t="shared" si="7"/>
        <v>57.7</v>
      </c>
      <c r="I30" s="37">
        <f t="shared" si="7"/>
        <v>95.2</v>
      </c>
      <c r="J30" s="37"/>
      <c r="K30" s="37"/>
      <c r="L30" s="37">
        <f t="shared" ref="L30:P30" si="8">+L28+L25</f>
        <v>130.9</v>
      </c>
      <c r="M30" s="37">
        <f t="shared" si="8"/>
        <v>155</v>
      </c>
      <c r="N30" s="37">
        <f t="shared" si="8"/>
        <v>182.2</v>
      </c>
      <c r="O30" s="37">
        <f t="shared" si="8"/>
        <v>210.9</v>
      </c>
      <c r="P30" s="37">
        <f t="shared" si="8"/>
        <v>231.40883484855974</v>
      </c>
      <c r="Q30" s="37"/>
      <c r="R30" s="37"/>
      <c r="S30" s="37"/>
      <c r="T30" s="37"/>
      <c r="U30" s="37"/>
      <c r="V30" s="37"/>
    </row>
    <row r="31" spans="1:22" x14ac:dyDescent="0.2">
      <c r="B31" t="s">
        <v>55</v>
      </c>
      <c r="C31" s="37"/>
      <c r="D31" s="37"/>
      <c r="E31" s="37"/>
      <c r="F31" s="40">
        <f>+F30/F22</f>
        <v>0.19981807155852033</v>
      </c>
      <c r="G31" s="40">
        <f t="shared" ref="G31:P31" si="9">+G30/G22</f>
        <v>0.16638225255972694</v>
      </c>
      <c r="H31" s="40">
        <f t="shared" si="9"/>
        <v>0.1460389774740572</v>
      </c>
      <c r="I31" s="40">
        <f t="shared" si="9"/>
        <v>0.19580419580419578</v>
      </c>
      <c r="J31" s="40"/>
      <c r="K31" s="40"/>
      <c r="L31" s="40">
        <f t="shared" si="9"/>
        <v>0.21526064791975005</v>
      </c>
      <c r="M31" s="40">
        <f t="shared" si="9"/>
        <v>0.22703969532737658</v>
      </c>
      <c r="N31" s="40">
        <f t="shared" si="9"/>
        <v>0.24046456381153489</v>
      </c>
      <c r="O31" s="40">
        <f t="shared" si="9"/>
        <v>0.25480246466110906</v>
      </c>
      <c r="P31" s="40">
        <f t="shared" si="9"/>
        <v>0.25480246466110906</v>
      </c>
      <c r="Q31" s="37"/>
      <c r="R31" s="37"/>
      <c r="S31" s="37"/>
      <c r="T31" s="37"/>
      <c r="U31" s="37"/>
      <c r="V31" s="37"/>
    </row>
    <row r="32" spans="1:22" x14ac:dyDescent="0.2"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</row>
    <row r="33" spans="2:22" x14ac:dyDescent="0.2">
      <c r="B33" t="s">
        <v>57</v>
      </c>
      <c r="C33" s="37"/>
      <c r="D33" s="37"/>
      <c r="E33" s="37"/>
      <c r="F33" s="37"/>
      <c r="G33" s="37"/>
      <c r="H33" s="37"/>
      <c r="I33" s="37"/>
      <c r="J33" s="37"/>
      <c r="K33" s="37"/>
      <c r="L33" s="56">
        <f ca="1">+IF(circ=1, L107+L112, 0)</f>
        <v>-46.737905679738006</v>
      </c>
      <c r="M33" s="56">
        <f ca="1">+IF(circ=1, M107+M112, 0)</f>
        <v>-40.452486859715073</v>
      </c>
      <c r="N33" s="56">
        <f ca="1">+IF(circ=1, N107+N112, 0)</f>
        <v>-33.436081179977059</v>
      </c>
      <c r="O33" s="56">
        <f ca="1">+IF(circ=1, O107+O112, 0)</f>
        <v>-30.263999999999996</v>
      </c>
      <c r="P33" s="56">
        <f ca="1">+IF(circ=1, P107+P112, 0)</f>
        <v>-30.263999999999996</v>
      </c>
      <c r="Q33" s="37"/>
      <c r="R33" s="37"/>
      <c r="S33" s="37"/>
      <c r="T33" s="37"/>
      <c r="U33" s="37"/>
      <c r="V33" s="37"/>
    </row>
    <row r="34" spans="2:22" x14ac:dyDescent="0.2">
      <c r="B34" t="s">
        <v>90</v>
      </c>
      <c r="C34" s="37"/>
      <c r="D34" s="37"/>
      <c r="E34" s="37"/>
      <c r="F34" s="37"/>
      <c r="G34" s="37"/>
      <c r="H34" s="37"/>
      <c r="I34" s="37"/>
      <c r="J34" s="37"/>
      <c r="K34" s="37"/>
      <c r="L34" s="37">
        <f>+MIN($J$17/$O$15, $J$17+SUM($J$34:K34))*-1</f>
        <v>-4.9178999999999995</v>
      </c>
      <c r="M34" s="37">
        <f>+MIN($J$17/$O$15, $J$17+SUM($J$34:L34))*-1</f>
        <v>-4.9178999999999995</v>
      </c>
      <c r="N34" s="37">
        <f>+MIN($J$17/$O$15, $J$17+SUM($J$34:M34))*-1</f>
        <v>-4.9178999999999995</v>
      </c>
      <c r="O34" s="37">
        <f>+MIN($J$17/$O$15, $J$17+SUM($J$34:N34))*-1</f>
        <v>-4.9178999999999995</v>
      </c>
      <c r="P34" s="37">
        <f>+MIN($J$17/$O$15, $J$17+SUM($J$34:O34))*-1</f>
        <v>-4.9178999999999995</v>
      </c>
      <c r="Q34" s="37"/>
      <c r="R34" s="37"/>
      <c r="S34" s="37"/>
      <c r="T34" s="37"/>
      <c r="U34" s="37"/>
      <c r="V34" s="37"/>
    </row>
    <row r="35" spans="2:22" x14ac:dyDescent="0.2"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</row>
    <row r="36" spans="2:22" x14ac:dyDescent="0.2">
      <c r="B36" t="s">
        <v>89</v>
      </c>
      <c r="C36" s="37"/>
      <c r="D36" s="37"/>
      <c r="E36" s="37"/>
      <c r="F36" s="37"/>
      <c r="G36" s="37"/>
      <c r="H36" s="37"/>
      <c r="I36" s="37"/>
      <c r="J36" s="37"/>
      <c r="K36" s="37"/>
      <c r="L36" s="37">
        <f ca="1">+L34+L33+L30</f>
        <v>79.244194320261997</v>
      </c>
      <c r="M36" s="37">
        <f t="shared" ref="M36:P36" ca="1" si="10">+M34+M33+M30</f>
        <v>109.62961314028493</v>
      </c>
      <c r="N36" s="37">
        <f t="shared" ca="1" si="10"/>
        <v>143.84601882002295</v>
      </c>
      <c r="O36" s="37">
        <f t="shared" ca="1" si="10"/>
        <v>175.71809999999999</v>
      </c>
      <c r="P36" s="37">
        <f t="shared" ca="1" si="10"/>
        <v>196.22693484855972</v>
      </c>
      <c r="Q36" s="37"/>
      <c r="R36" s="37"/>
      <c r="S36" s="37"/>
      <c r="T36" s="37"/>
      <c r="U36" s="37"/>
      <c r="V36" s="37"/>
    </row>
    <row r="37" spans="2:22" x14ac:dyDescent="0.2"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 spans="2:22" x14ac:dyDescent="0.2">
      <c r="B38" t="s">
        <v>95</v>
      </c>
      <c r="C38" s="37"/>
      <c r="D38" s="37"/>
      <c r="E38" s="37"/>
      <c r="F38" s="37"/>
      <c r="G38" s="37"/>
      <c r="H38" s="37"/>
      <c r="I38" s="37"/>
      <c r="J38" s="37"/>
      <c r="K38" s="37"/>
      <c r="L38" s="39">
        <f>+$O$17</f>
        <v>0.37</v>
      </c>
      <c r="M38" s="39">
        <f t="shared" ref="M38:P38" si="11">+$O$17</f>
        <v>0.37</v>
      </c>
      <c r="N38" s="39">
        <f t="shared" si="11"/>
        <v>0.37</v>
      </c>
      <c r="O38" s="39">
        <f t="shared" si="11"/>
        <v>0.37</v>
      </c>
      <c r="P38" s="39">
        <f t="shared" si="11"/>
        <v>0.37</v>
      </c>
      <c r="Q38" s="37"/>
      <c r="R38" s="37"/>
      <c r="S38" s="37"/>
      <c r="T38" s="37"/>
      <c r="U38" s="37"/>
      <c r="V38" s="37"/>
    </row>
    <row r="39" spans="2:22" x14ac:dyDescent="0.2">
      <c r="C39" s="37"/>
      <c r="D39" s="37"/>
      <c r="E39" s="37"/>
      <c r="F39" s="37"/>
      <c r="G39" s="37"/>
      <c r="H39" s="37"/>
      <c r="I39" s="37"/>
      <c r="J39" s="37"/>
      <c r="K39" s="37"/>
      <c r="L39" s="39"/>
      <c r="M39" s="39"/>
      <c r="N39" s="39"/>
      <c r="O39" s="39"/>
      <c r="P39" s="39"/>
      <c r="Q39" s="37"/>
      <c r="R39" s="37"/>
      <c r="S39" s="37"/>
      <c r="T39" s="37"/>
      <c r="U39" s="37"/>
      <c r="V39" s="37"/>
    </row>
    <row r="40" spans="2:22" x14ac:dyDescent="0.2">
      <c r="B40" t="s">
        <v>96</v>
      </c>
      <c r="C40" s="37"/>
      <c r="D40" s="37"/>
      <c r="E40" s="37"/>
      <c r="F40" s="37"/>
      <c r="G40" s="37"/>
      <c r="H40" s="37"/>
      <c r="I40" s="37"/>
      <c r="J40" s="37"/>
      <c r="K40" s="37"/>
      <c r="L40" s="37">
        <f ca="1">+L36*(1-L38)</f>
        <v>49.923842421765059</v>
      </c>
      <c r="M40" s="37">
        <f t="shared" ref="M40:P40" ca="1" si="12">+M36*(1-M38)</f>
        <v>69.066656278379511</v>
      </c>
      <c r="N40" s="37">
        <f t="shared" ca="1" si="12"/>
        <v>90.622991856614462</v>
      </c>
      <c r="O40" s="37">
        <f t="shared" ca="1" si="12"/>
        <v>110.70240299999999</v>
      </c>
      <c r="P40" s="37">
        <f t="shared" ca="1" si="12"/>
        <v>123.62296895459262</v>
      </c>
      <c r="Q40" s="37"/>
      <c r="R40" s="37"/>
      <c r="S40" s="37"/>
      <c r="T40" s="37"/>
      <c r="U40" s="37"/>
      <c r="V40" s="37"/>
    </row>
    <row r="41" spans="2:22" x14ac:dyDescent="0.2"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2:22" x14ac:dyDescent="0.2">
      <c r="B42" s="4" t="s">
        <v>97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 spans="2:22" x14ac:dyDescent="0.2">
      <c r="B43" t="s">
        <v>58</v>
      </c>
      <c r="C43" s="37"/>
      <c r="D43" s="37"/>
      <c r="E43" s="37"/>
      <c r="F43" s="43">
        <f>+Financials!C25</f>
        <v>28</v>
      </c>
      <c r="G43" s="43">
        <f>+Financials!D25</f>
        <v>34.700000000000003</v>
      </c>
      <c r="H43" s="43">
        <f>+Financials!E25</f>
        <v>32.599999999999994</v>
      </c>
      <c r="I43" s="43">
        <f>+Financials!F25</f>
        <v>30.899999999999991</v>
      </c>
      <c r="J43" s="37"/>
      <c r="K43" s="37"/>
      <c r="L43" s="43">
        <f>+Financials!G25</f>
        <v>38.799999999999983</v>
      </c>
      <c r="M43" s="43">
        <f>+Financials!H25</f>
        <v>43.699999999999989</v>
      </c>
      <c r="N43" s="43">
        <f>+Financials!I25</f>
        <v>48.400000000000006</v>
      </c>
      <c r="O43" s="43">
        <f>+Financials!J25</f>
        <v>52.700000000000017</v>
      </c>
      <c r="P43" s="43">
        <f>+Financials!K25</f>
        <v>57.824777603220042</v>
      </c>
      <c r="Q43" s="37"/>
      <c r="R43" s="37"/>
      <c r="S43" s="37"/>
      <c r="T43" s="37"/>
      <c r="U43" s="37"/>
      <c r="V43" s="37"/>
    </row>
    <row r="44" spans="2:22" x14ac:dyDescent="0.2">
      <c r="B44" t="s">
        <v>13</v>
      </c>
      <c r="C44" s="37"/>
      <c r="D44" s="37"/>
      <c r="E44" s="37"/>
      <c r="F44" s="37">
        <f>+F43+F30</f>
        <v>93.9</v>
      </c>
      <c r="G44" s="37">
        <f>+G43+G30</f>
        <v>93.2</v>
      </c>
      <c r="H44" s="37">
        <f>+H43+H30</f>
        <v>90.3</v>
      </c>
      <c r="I44" s="37">
        <f>+I43+I30</f>
        <v>126.1</v>
      </c>
      <c r="J44" s="37"/>
      <c r="K44" s="37"/>
      <c r="L44" s="37">
        <f>+L43+L30</f>
        <v>169.7</v>
      </c>
      <c r="M44" s="37">
        <f>+M43+M30</f>
        <v>198.7</v>
      </c>
      <c r="N44" s="37">
        <f>+N43+N30</f>
        <v>230.6</v>
      </c>
      <c r="O44" s="37">
        <f>+O43+O30</f>
        <v>263.60000000000002</v>
      </c>
      <c r="P44" s="37">
        <f>+P43+P30</f>
        <v>289.23361245177978</v>
      </c>
      <c r="Q44" s="37"/>
      <c r="R44" s="37"/>
      <c r="S44" s="37"/>
      <c r="T44" s="37"/>
      <c r="U44" s="37"/>
      <c r="V44" s="37"/>
    </row>
    <row r="45" spans="2:22" x14ac:dyDescent="0.2"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</row>
    <row r="46" spans="2:22" x14ac:dyDescent="0.2">
      <c r="B46" t="s">
        <v>98</v>
      </c>
      <c r="C46" s="37"/>
      <c r="D46" s="37"/>
      <c r="E46" s="37"/>
      <c r="F46" s="43">
        <f>+Financials!C35</f>
        <v>57.7</v>
      </c>
      <c r="G46" s="43">
        <f>+Financials!D35</f>
        <v>35.4</v>
      </c>
      <c r="H46" s="43">
        <f>+Financials!E35</f>
        <v>47.5</v>
      </c>
      <c r="I46" s="43">
        <f>+Financials!F35</f>
        <v>117.4</v>
      </c>
      <c r="J46" s="37"/>
      <c r="K46" s="37"/>
      <c r="L46" s="43">
        <f>+Financials!G35</f>
        <v>27</v>
      </c>
      <c r="M46" s="43">
        <f>+Financials!H35</f>
        <v>30</v>
      </c>
      <c r="N46" s="43">
        <f>+Financials!I35</f>
        <v>15</v>
      </c>
      <c r="O46" s="43">
        <f>+Financials!J35</f>
        <v>15</v>
      </c>
      <c r="P46" s="43">
        <f>+Financials!K35</f>
        <v>15</v>
      </c>
      <c r="Q46" s="37"/>
      <c r="R46" s="37"/>
      <c r="S46" s="37"/>
      <c r="T46" s="37"/>
      <c r="U46" s="37"/>
      <c r="V46" s="37"/>
    </row>
    <row r="47" spans="2:22" x14ac:dyDescent="0.2"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 spans="2:22" x14ac:dyDescent="0.2">
      <c r="C48" s="37"/>
      <c r="D48" s="37"/>
      <c r="E48" s="37"/>
      <c r="F48" s="37"/>
      <c r="G48" s="37"/>
      <c r="H48" s="37"/>
      <c r="I48" s="36" t="s">
        <v>3</v>
      </c>
      <c r="J48" s="44" t="s">
        <v>65</v>
      </c>
      <c r="K48" s="36" t="s">
        <v>64</v>
      </c>
      <c r="L48" s="36" t="s">
        <v>4</v>
      </c>
      <c r="M48" s="36" t="s">
        <v>4</v>
      </c>
      <c r="N48" s="36" t="s">
        <v>4</v>
      </c>
      <c r="O48" s="36" t="s">
        <v>4</v>
      </c>
      <c r="P48" s="36" t="s">
        <v>4</v>
      </c>
      <c r="Q48" s="37"/>
      <c r="R48" s="37"/>
      <c r="S48" s="37"/>
      <c r="T48" s="37"/>
      <c r="U48" s="37"/>
      <c r="V48" s="37"/>
    </row>
    <row r="49" spans="1:22" x14ac:dyDescent="0.2">
      <c r="A49" t="s">
        <v>39</v>
      </c>
      <c r="B49" s="52" t="s">
        <v>63</v>
      </c>
      <c r="C49" s="37"/>
      <c r="D49" s="37"/>
      <c r="E49" s="37"/>
      <c r="F49" s="37"/>
      <c r="G49" s="37"/>
      <c r="H49" s="37"/>
      <c r="I49" s="45">
        <v>2006</v>
      </c>
      <c r="J49" s="37"/>
      <c r="K49" s="45">
        <v>2006</v>
      </c>
      <c r="L49" s="45">
        <f>+I49+1</f>
        <v>2007</v>
      </c>
      <c r="M49" s="45">
        <f>+L49+1</f>
        <v>2008</v>
      </c>
      <c r="N49" s="45">
        <f>+M49+1</f>
        <v>2009</v>
      </c>
      <c r="O49" s="45">
        <f>+N49+1</f>
        <v>2010</v>
      </c>
      <c r="P49" s="45">
        <f>+O49+1</f>
        <v>2011</v>
      </c>
      <c r="Q49" s="37"/>
      <c r="R49" s="37"/>
      <c r="S49" s="37"/>
      <c r="T49" s="37"/>
      <c r="U49" s="37"/>
      <c r="V49" s="37"/>
    </row>
    <row r="50" spans="1:22" x14ac:dyDescent="0.2">
      <c r="B50" t="str">
        <f>+Financials!B40</f>
        <v>Cash</v>
      </c>
      <c r="C50" s="37"/>
      <c r="D50" s="37"/>
      <c r="E50" s="37"/>
      <c r="F50" s="37"/>
      <c r="G50" s="37"/>
      <c r="H50" s="37"/>
      <c r="I50" s="43">
        <f>+Financials!F40</f>
        <v>0</v>
      </c>
      <c r="J50" s="37"/>
      <c r="K50" s="48">
        <f>+I50+J50</f>
        <v>0</v>
      </c>
      <c r="L50" s="56">
        <f ca="1">+K50+L114</f>
        <v>0</v>
      </c>
      <c r="M50" s="56">
        <f t="shared" ref="M50:P50" ca="1" si="13">+L50+M114</f>
        <v>0</v>
      </c>
      <c r="N50" s="56">
        <f t="shared" ca="1" si="13"/>
        <v>54.793977816509937</v>
      </c>
      <c r="O50" s="56">
        <f t="shared" ca="1" si="13"/>
        <v>198.3012794447248</v>
      </c>
      <c r="P50" s="56">
        <f t="shared" ca="1" si="13"/>
        <v>357.96747441494142</v>
      </c>
      <c r="Q50" s="37"/>
      <c r="R50" s="37"/>
      <c r="S50" s="37"/>
      <c r="T50" s="37"/>
      <c r="U50" s="37"/>
      <c r="V50" s="37"/>
    </row>
    <row r="51" spans="1:22" x14ac:dyDescent="0.2">
      <c r="B51" t="str">
        <f>+Financials!B41</f>
        <v>Accounts Receivable</v>
      </c>
      <c r="C51" s="37"/>
      <c r="D51" s="37"/>
      <c r="E51" s="37"/>
      <c r="F51" s="37"/>
      <c r="G51" s="37"/>
      <c r="H51" s="37"/>
      <c r="I51" s="43">
        <f>+Financials!F41</f>
        <v>47.500177170336627</v>
      </c>
      <c r="J51" s="37"/>
      <c r="K51" s="48">
        <f t="shared" ref="K51:K53" si="14">+I51+J51</f>
        <v>47.500177170336627</v>
      </c>
      <c r="L51" s="37">
        <f>+L77/365*L22</f>
        <v>59.409415337889143</v>
      </c>
      <c r="M51" s="37">
        <f t="shared" ref="M51:P51" si="15">+M77/365*M22</f>
        <v>66.69759554543154</v>
      </c>
      <c r="N51" s="37">
        <f t="shared" si="15"/>
        <v>74.024854467223491</v>
      </c>
      <c r="O51" s="37">
        <f t="shared" si="15"/>
        <v>80.863629460895979</v>
      </c>
      <c r="P51" s="37">
        <f t="shared" si="15"/>
        <v>88.727161096119531</v>
      </c>
      <c r="Q51" s="37"/>
      <c r="R51" s="37"/>
      <c r="S51" s="37"/>
      <c r="T51" s="37"/>
      <c r="U51" s="37"/>
      <c r="V51" s="37"/>
    </row>
    <row r="52" spans="1:22" x14ac:dyDescent="0.2">
      <c r="B52" t="str">
        <f>+Financials!B42</f>
        <v>Inventory</v>
      </c>
      <c r="C52" s="37"/>
      <c r="D52" s="37"/>
      <c r="E52" s="37"/>
      <c r="F52" s="37"/>
      <c r="G52" s="37"/>
      <c r="H52" s="37"/>
      <c r="I52" s="43">
        <f>+Financials!F42</f>
        <v>69.281346494558335</v>
      </c>
      <c r="J52" s="37"/>
      <c r="K52" s="48">
        <f t="shared" si="14"/>
        <v>69.281346494558335</v>
      </c>
      <c r="L52" s="37">
        <f>+L78/365*(L22-L25)</f>
        <v>85.026220226213795</v>
      </c>
      <c r="M52" s="37">
        <f t="shared" ref="M52:P52" si="16">+M78/365*(M22-M25)</f>
        <v>94.19609712073435</v>
      </c>
      <c r="N52" s="37">
        <f t="shared" si="16"/>
        <v>102.76115234774394</v>
      </c>
      <c r="O52" s="37">
        <f t="shared" si="16"/>
        <v>109.97999160513245</v>
      </c>
      <c r="P52" s="37">
        <f t="shared" si="16"/>
        <v>120.08624192143778</v>
      </c>
      <c r="Q52" s="37"/>
      <c r="R52" s="37"/>
      <c r="S52" s="37"/>
      <c r="T52" s="37"/>
      <c r="U52" s="37"/>
      <c r="V52" s="37"/>
    </row>
    <row r="53" spans="1:22" x14ac:dyDescent="0.2">
      <c r="B53" t="str">
        <f>+Financials!B43</f>
        <v>Prepayments and Other Current Assets</v>
      </c>
      <c r="C53" s="37"/>
      <c r="D53" s="37"/>
      <c r="E53" s="37"/>
      <c r="F53" s="37"/>
      <c r="G53" s="37"/>
      <c r="H53" s="37"/>
      <c r="I53" s="43">
        <f>+Financials!F43</f>
        <v>9.1062515818780074</v>
      </c>
      <c r="J53" s="37"/>
      <c r="K53" s="48">
        <f t="shared" si="14"/>
        <v>9.1062515818780074</v>
      </c>
      <c r="L53" s="37">
        <f>+L79*L22</f>
        <v>11.389369779802584</v>
      </c>
      <c r="M53" s="37">
        <f t="shared" ref="M53:P53" si="17">+M79*M22</f>
        <v>12.786585674512784</v>
      </c>
      <c r="N53" s="37">
        <f t="shared" si="17"/>
        <v>14.191293343457355</v>
      </c>
      <c r="O53" s="37">
        <f t="shared" si="17"/>
        <v>15.502353834472288</v>
      </c>
      <c r="P53" s="37">
        <f t="shared" si="17"/>
        <v>17.009870261950379</v>
      </c>
      <c r="Q53" s="37"/>
      <c r="R53" s="37"/>
      <c r="S53" s="37"/>
      <c r="T53" s="37"/>
      <c r="U53" s="37"/>
      <c r="V53" s="37"/>
    </row>
    <row r="54" spans="1:22" s="4" customFormat="1" x14ac:dyDescent="0.2">
      <c r="B54" s="4" t="s">
        <v>66</v>
      </c>
      <c r="C54" s="47"/>
      <c r="D54" s="47"/>
      <c r="E54" s="47"/>
      <c r="F54" s="47"/>
      <c r="G54" s="47"/>
      <c r="H54" s="47"/>
      <c r="I54" s="47">
        <f>+I53+I52+I51+I50</f>
        <v>125.88777524677297</v>
      </c>
      <c r="J54" s="47"/>
      <c r="K54" s="47">
        <f>+K53+K52+K51+K50</f>
        <v>125.88777524677297</v>
      </c>
      <c r="L54" s="47">
        <f t="shared" ref="L54:P54" ca="1" si="18">+L53+L52+L51+L50</f>
        <v>155.8250053439055</v>
      </c>
      <c r="M54" s="47">
        <f t="shared" ca="1" si="18"/>
        <v>173.68027834067868</v>
      </c>
      <c r="N54" s="47">
        <f t="shared" ca="1" si="18"/>
        <v>245.77127797493472</v>
      </c>
      <c r="O54" s="47">
        <f t="shared" ca="1" si="18"/>
        <v>404.64725434522552</v>
      </c>
      <c r="P54" s="47">
        <f t="shared" ca="1" si="18"/>
        <v>583.79074769444912</v>
      </c>
      <c r="Q54" s="47"/>
      <c r="R54" s="47"/>
      <c r="S54" s="47"/>
      <c r="T54" s="47"/>
      <c r="U54" s="47"/>
      <c r="V54" s="47"/>
    </row>
    <row r="55" spans="1:22" x14ac:dyDescent="0.2"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</row>
    <row r="56" spans="1:22" x14ac:dyDescent="0.2">
      <c r="B56" t="s">
        <v>88</v>
      </c>
      <c r="C56" s="37"/>
      <c r="D56" s="37"/>
      <c r="E56" s="37"/>
      <c r="F56" s="37"/>
      <c r="G56" s="37"/>
      <c r="H56" s="37"/>
      <c r="I56" s="37"/>
      <c r="J56" s="37">
        <f>+J17</f>
        <v>24.589499999999997</v>
      </c>
      <c r="K56" s="48">
        <f>+I56+J56</f>
        <v>24.589499999999997</v>
      </c>
      <c r="L56" s="37">
        <f>+K56+L34</f>
        <v>19.671599999999998</v>
      </c>
      <c r="M56" s="37">
        <f t="shared" ref="M56:P56" si="19">+L56+M34</f>
        <v>14.753699999999998</v>
      </c>
      <c r="N56" s="37">
        <f t="shared" si="19"/>
        <v>9.835799999999999</v>
      </c>
      <c r="O56" s="37">
        <f t="shared" si="19"/>
        <v>4.9178999999999995</v>
      </c>
      <c r="P56" s="37">
        <f t="shared" si="19"/>
        <v>0</v>
      </c>
      <c r="Q56" s="37"/>
      <c r="R56" s="37"/>
      <c r="S56" s="37"/>
      <c r="T56" s="37"/>
      <c r="U56" s="37"/>
      <c r="V56" s="37"/>
    </row>
    <row r="57" spans="1:22" x14ac:dyDescent="0.2">
      <c r="B57" t="s">
        <v>87</v>
      </c>
      <c r="C57" s="37"/>
      <c r="D57" s="37"/>
      <c r="E57" s="37"/>
      <c r="F57" s="37"/>
      <c r="G57" s="37"/>
      <c r="H57" s="37"/>
      <c r="I57" s="37"/>
      <c r="J57" s="37">
        <f>+O12</f>
        <v>611.13944395934868</v>
      </c>
      <c r="K57" s="48">
        <f>+I57+J57</f>
        <v>611.13944395934868</v>
      </c>
      <c r="L57" s="37">
        <f>+K57</f>
        <v>611.13944395934868</v>
      </c>
      <c r="M57" s="37">
        <f t="shared" ref="M57:P57" si="20">+L57</f>
        <v>611.13944395934868</v>
      </c>
      <c r="N57" s="37">
        <f t="shared" si="20"/>
        <v>611.13944395934868</v>
      </c>
      <c r="O57" s="37">
        <f t="shared" si="20"/>
        <v>611.13944395934868</v>
      </c>
      <c r="P57" s="37">
        <f t="shared" si="20"/>
        <v>611.13944395934868</v>
      </c>
      <c r="Q57" s="37"/>
      <c r="R57" s="37"/>
      <c r="S57" s="37"/>
      <c r="T57" s="37"/>
      <c r="U57" s="37"/>
      <c r="V57" s="37"/>
    </row>
    <row r="58" spans="1:22" x14ac:dyDescent="0.2">
      <c r="B58" t="s">
        <v>67</v>
      </c>
      <c r="C58" s="37"/>
      <c r="D58" s="37"/>
      <c r="E58" s="37"/>
      <c r="F58" s="37"/>
      <c r="G58" s="37"/>
      <c r="H58" s="37"/>
      <c r="I58" s="43">
        <f>+Financials!F45</f>
        <v>324.60000000000002</v>
      </c>
      <c r="J58" s="37"/>
      <c r="K58" s="48">
        <f>+I58+J58</f>
        <v>324.60000000000002</v>
      </c>
      <c r="L58" s="37">
        <f>+K58+L46-L43</f>
        <v>312.80000000000007</v>
      </c>
      <c r="M58" s="37">
        <f t="shared" ref="M58:P58" si="21">+L58+M46-M43</f>
        <v>299.10000000000008</v>
      </c>
      <c r="N58" s="37">
        <f t="shared" si="21"/>
        <v>265.70000000000005</v>
      </c>
      <c r="O58" s="37">
        <f t="shared" si="21"/>
        <v>228.00000000000003</v>
      </c>
      <c r="P58" s="37">
        <f t="shared" si="21"/>
        <v>185.17522239677999</v>
      </c>
      <c r="Q58" s="37"/>
      <c r="R58" s="37"/>
      <c r="S58" s="37"/>
      <c r="T58" s="37"/>
      <c r="U58" s="37"/>
      <c r="V58" s="37"/>
    </row>
    <row r="59" spans="1:22" x14ac:dyDescent="0.2">
      <c r="B59" t="s">
        <v>9</v>
      </c>
      <c r="C59" s="37"/>
      <c r="D59" s="37"/>
      <c r="E59" s="37"/>
      <c r="F59" s="37"/>
      <c r="G59" s="37"/>
      <c r="H59" s="37"/>
      <c r="I59" s="43">
        <f>+Financials!F46</f>
        <v>20.796709693748415</v>
      </c>
      <c r="J59" s="37"/>
      <c r="K59" s="48">
        <f>+I59+J59</f>
        <v>20.796709693748415</v>
      </c>
      <c r="L59" s="37">
        <f>+K59</f>
        <v>20.796709693748415</v>
      </c>
      <c r="M59" s="37">
        <f t="shared" ref="M59:P59" si="22">+L59</f>
        <v>20.796709693748415</v>
      </c>
      <c r="N59" s="37">
        <f t="shared" si="22"/>
        <v>20.796709693748415</v>
      </c>
      <c r="O59" s="37">
        <f t="shared" si="22"/>
        <v>20.796709693748415</v>
      </c>
      <c r="P59" s="37">
        <f t="shared" si="22"/>
        <v>20.796709693748415</v>
      </c>
      <c r="Q59" s="37"/>
      <c r="R59" s="37"/>
      <c r="S59" s="37"/>
      <c r="T59" s="37"/>
      <c r="U59" s="37"/>
      <c r="V59" s="37"/>
    </row>
    <row r="60" spans="1:22" x14ac:dyDescent="0.2">
      <c r="B60" s="4" t="s">
        <v>68</v>
      </c>
      <c r="C60" s="37"/>
      <c r="D60" s="37"/>
      <c r="E60" s="37"/>
      <c r="F60" s="37"/>
      <c r="G60" s="37"/>
      <c r="H60" s="37"/>
      <c r="I60" s="47">
        <f>+I59+I58+I54+I57+I56</f>
        <v>471.28448494052145</v>
      </c>
      <c r="J60" s="37"/>
      <c r="K60" s="47">
        <f>+K59+K58+K54+K57+K56</f>
        <v>1107.0134288998702</v>
      </c>
      <c r="L60" s="47">
        <f t="shared" ref="L60:P60" ca="1" si="23">+L59+L58+L54+L57+L56</f>
        <v>1120.2327589970025</v>
      </c>
      <c r="M60" s="47">
        <f t="shared" ca="1" si="23"/>
        <v>1119.4701319937758</v>
      </c>
      <c r="N60" s="47">
        <f t="shared" ca="1" si="23"/>
        <v>1153.2432316280319</v>
      </c>
      <c r="O60" s="47">
        <f t="shared" ca="1" si="23"/>
        <v>1269.5013079983225</v>
      </c>
      <c r="P60" s="47">
        <f t="shared" ca="1" si="23"/>
        <v>1400.9021237443262</v>
      </c>
      <c r="Q60" s="37"/>
      <c r="R60" s="37"/>
      <c r="S60" s="37"/>
      <c r="T60" s="37"/>
      <c r="U60" s="37"/>
      <c r="V60" s="37"/>
    </row>
    <row r="61" spans="1:22" x14ac:dyDescent="0.2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</row>
    <row r="62" spans="1:22" x14ac:dyDescent="0.2">
      <c r="B62" t="str">
        <f>+Financials!B50</f>
        <v>Accounts Payable</v>
      </c>
      <c r="C62" s="37"/>
      <c r="D62" s="37"/>
      <c r="E62" s="37"/>
      <c r="F62" s="37"/>
      <c r="G62" s="37"/>
      <c r="H62" s="37"/>
      <c r="I62" s="43">
        <f>+Financials!F50</f>
        <v>30.184647705235939</v>
      </c>
      <c r="J62" s="37"/>
      <c r="K62" s="48">
        <f>+I62+J62</f>
        <v>30.184647705235939</v>
      </c>
      <c r="L62" s="37">
        <f>+L80/365*(L22-L25)</f>
        <v>37.044408532643821</v>
      </c>
      <c r="M62" s="37">
        <f>+M80/365*(M22-M25)</f>
        <v>41.039560439560439</v>
      </c>
      <c r="N62" s="37">
        <f>+N80/365*(N22-N25)</f>
        <v>44.77120232708468</v>
      </c>
      <c r="O62" s="37">
        <f>+O80/365*(O22-O25)</f>
        <v>47.916321913380735</v>
      </c>
      <c r="P62" s="37">
        <f>+P80/365*(P22-P25)</f>
        <v>52.319435029009426</v>
      </c>
      <c r="Q62" s="37"/>
      <c r="R62" s="37"/>
      <c r="S62" s="37"/>
      <c r="T62" s="37"/>
      <c r="U62" s="37"/>
      <c r="V62" s="37"/>
    </row>
    <row r="63" spans="1:22" x14ac:dyDescent="0.2">
      <c r="B63" t="str">
        <f>+Financials!B51</f>
        <v>Other Current Liabilities</v>
      </c>
      <c r="C63" s="37"/>
      <c r="D63" s="37"/>
      <c r="E63" s="37"/>
      <c r="F63" s="37"/>
      <c r="G63" s="37"/>
      <c r="H63" s="37"/>
      <c r="I63" s="43">
        <f>+Financials!F51</f>
        <v>23.134801316122498</v>
      </c>
      <c r="J63" s="37"/>
      <c r="K63" s="48">
        <f>+I63+J63</f>
        <v>23.134801316122498</v>
      </c>
      <c r="L63" s="37">
        <f>+L81*(L22-L25)</f>
        <v>28.39241456932184</v>
      </c>
      <c r="M63" s="37">
        <f>+M81*(M22-M25)</f>
        <v>31.454469376017865</v>
      </c>
      <c r="N63" s="37">
        <f>+N81*(N22-N25)</f>
        <v>34.314558865676489</v>
      </c>
      <c r="O63" s="37">
        <f>+O81*(O22-O25)</f>
        <v>36.725112649671232</v>
      </c>
      <c r="P63" s="37">
        <f>+P81*(P22-P25)</f>
        <v>40.09984632545347</v>
      </c>
      <c r="Q63" s="37"/>
      <c r="R63" s="37"/>
      <c r="S63" s="37"/>
      <c r="T63" s="37"/>
      <c r="U63" s="37"/>
      <c r="V63" s="37"/>
    </row>
    <row r="64" spans="1:22" s="4" customFormat="1" x14ac:dyDescent="0.2">
      <c r="B64" s="4" t="s">
        <v>69</v>
      </c>
      <c r="C64" s="47"/>
      <c r="D64" s="47"/>
      <c r="E64" s="47"/>
      <c r="F64" s="47"/>
      <c r="G64" s="47"/>
      <c r="H64" s="47"/>
      <c r="I64" s="47">
        <f>+I63+I62</f>
        <v>53.319449021358437</v>
      </c>
      <c r="J64" s="47"/>
      <c r="K64" s="47">
        <f>+K63+K62</f>
        <v>53.319449021358437</v>
      </c>
      <c r="L64" s="47">
        <f t="shared" ref="L64:P64" si="24">+L63+L62</f>
        <v>65.436823101965658</v>
      </c>
      <c r="M64" s="47">
        <f t="shared" si="24"/>
        <v>72.494029815578301</v>
      </c>
      <c r="N64" s="47">
        <f t="shared" si="24"/>
        <v>79.085761192761169</v>
      </c>
      <c r="O64" s="47">
        <f t="shared" si="24"/>
        <v>84.641434563051973</v>
      </c>
      <c r="P64" s="47">
        <f t="shared" si="24"/>
        <v>92.419281354462896</v>
      </c>
      <c r="Q64" s="47"/>
      <c r="R64" s="47"/>
      <c r="S64" s="47"/>
      <c r="T64" s="47"/>
      <c r="U64" s="47"/>
      <c r="V64" s="47"/>
    </row>
    <row r="65" spans="2:22" x14ac:dyDescent="0.2"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</row>
    <row r="66" spans="2:22" x14ac:dyDescent="0.2">
      <c r="B66" t="s">
        <v>70</v>
      </c>
      <c r="C66" s="37"/>
      <c r="D66" s="37"/>
      <c r="E66" s="37"/>
      <c r="F66" s="37"/>
      <c r="G66" s="37"/>
      <c r="H66" s="37"/>
      <c r="I66" s="43">
        <f>+Financials!F53</f>
        <v>60.860556040651176</v>
      </c>
      <c r="J66" s="37">
        <f>-I66+J10+J11</f>
        <v>506.58944395934873</v>
      </c>
      <c r="K66" s="48">
        <f>+I66+J66</f>
        <v>567.44999999999993</v>
      </c>
      <c r="L66" s="56">
        <f ca="1">+L106+L111</f>
        <v>518.62811359476018</v>
      </c>
      <c r="M66" s="56">
        <f t="shared" ref="M66:P66" ca="1" si="25">+M106+M111</f>
        <v>441.74162359954124</v>
      </c>
      <c r="N66" s="56">
        <f t="shared" ca="1" si="25"/>
        <v>378.29999999999995</v>
      </c>
      <c r="O66" s="56">
        <f t="shared" ca="1" si="25"/>
        <v>378.29999999999995</v>
      </c>
      <c r="P66" s="56">
        <f t="shared" ca="1" si="25"/>
        <v>378.29999999999995</v>
      </c>
      <c r="Q66" s="37"/>
      <c r="R66" s="37"/>
      <c r="S66" s="37"/>
      <c r="T66" s="37"/>
      <c r="U66" s="37"/>
      <c r="V66" s="37"/>
    </row>
    <row r="67" spans="2:22" x14ac:dyDescent="0.2">
      <c r="B67" t="s">
        <v>71</v>
      </c>
      <c r="C67" s="37"/>
      <c r="D67" s="37"/>
      <c r="E67" s="37"/>
      <c r="F67" s="37"/>
      <c r="G67" s="37"/>
      <c r="H67" s="37"/>
      <c r="I67" s="43">
        <f>+Financials!F54</f>
        <v>20.304479878511767</v>
      </c>
      <c r="J67" s="37"/>
      <c r="K67" s="48">
        <f>+I67+J67</f>
        <v>20.304479878511767</v>
      </c>
      <c r="L67" s="37">
        <f>+K67</f>
        <v>20.304479878511767</v>
      </c>
      <c r="M67" s="37">
        <f t="shared" ref="M67:P67" si="26">+L67</f>
        <v>20.304479878511767</v>
      </c>
      <c r="N67" s="37">
        <f t="shared" si="26"/>
        <v>20.304479878511767</v>
      </c>
      <c r="O67" s="37">
        <f t="shared" si="26"/>
        <v>20.304479878511767</v>
      </c>
      <c r="P67" s="37">
        <f t="shared" si="26"/>
        <v>20.304479878511767</v>
      </c>
      <c r="Q67" s="37"/>
      <c r="R67" s="37"/>
      <c r="S67" s="37"/>
      <c r="T67" s="37"/>
      <c r="U67" s="37"/>
      <c r="V67" s="37"/>
    </row>
    <row r="68" spans="2:22" s="4" customFormat="1" x14ac:dyDescent="0.2">
      <c r="B68" s="4" t="s">
        <v>72</v>
      </c>
      <c r="C68" s="47"/>
      <c r="D68" s="47"/>
      <c r="E68" s="47"/>
      <c r="F68" s="47"/>
      <c r="G68" s="47"/>
      <c r="H68" s="47"/>
      <c r="I68" s="47">
        <f>+I67+I66+I64</f>
        <v>134.48448494052138</v>
      </c>
      <c r="J68" s="47"/>
      <c r="K68" s="47">
        <f>+K67+K66+K64</f>
        <v>641.07392889987011</v>
      </c>
      <c r="L68" s="47">
        <f t="shared" ref="L68:P68" ca="1" si="27">+L67+L66+L64</f>
        <v>604.36941657523755</v>
      </c>
      <c r="M68" s="47">
        <f t="shared" ca="1" si="27"/>
        <v>534.54013329363124</v>
      </c>
      <c r="N68" s="47">
        <f t="shared" ca="1" si="27"/>
        <v>477.69024107127291</v>
      </c>
      <c r="O68" s="47">
        <f t="shared" ca="1" si="27"/>
        <v>483.24591444156368</v>
      </c>
      <c r="P68" s="47">
        <f t="shared" ca="1" si="27"/>
        <v>491.02376123297461</v>
      </c>
      <c r="Q68" s="47"/>
      <c r="R68" s="47"/>
      <c r="S68" s="47"/>
      <c r="T68" s="47"/>
      <c r="U68" s="47"/>
      <c r="V68" s="47"/>
    </row>
    <row r="69" spans="2:22" x14ac:dyDescent="0.2"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</row>
    <row r="70" spans="2:22" x14ac:dyDescent="0.2">
      <c r="B70" t="s">
        <v>73</v>
      </c>
      <c r="C70" s="37"/>
      <c r="D70" s="37"/>
      <c r="E70" s="37"/>
      <c r="F70" s="37"/>
      <c r="G70" s="37"/>
      <c r="H70" s="37"/>
      <c r="I70" s="43">
        <f>+Financials!F56</f>
        <v>336.80000000000007</v>
      </c>
      <c r="J70" s="37">
        <f>-I70+J12</f>
        <v>129.1395</v>
      </c>
      <c r="K70" s="48">
        <f>+I70+J70</f>
        <v>465.93950000000007</v>
      </c>
      <c r="L70" s="37">
        <f ca="1">+K70+L40</f>
        <v>515.86334242176508</v>
      </c>
      <c r="M70" s="37">
        <f t="shared" ref="M70:P70" ca="1" si="28">+L70+M40</f>
        <v>584.92999870014455</v>
      </c>
      <c r="N70" s="37">
        <f t="shared" ca="1" si="28"/>
        <v>675.55299055675903</v>
      </c>
      <c r="O70" s="37">
        <f t="shared" ca="1" si="28"/>
        <v>786.25539355675903</v>
      </c>
      <c r="P70" s="37">
        <f t="shared" ca="1" si="28"/>
        <v>909.87836251135161</v>
      </c>
      <c r="Q70" s="37"/>
      <c r="R70" s="37"/>
      <c r="S70" s="37"/>
      <c r="T70" s="37"/>
      <c r="U70" s="37"/>
      <c r="V70" s="37"/>
    </row>
    <row r="71" spans="2:22" x14ac:dyDescent="0.2"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</row>
    <row r="72" spans="2:22" x14ac:dyDescent="0.2">
      <c r="B72" t="s">
        <v>74</v>
      </c>
      <c r="C72" s="37"/>
      <c r="D72" s="37"/>
      <c r="E72" s="37"/>
      <c r="F72" s="37"/>
      <c r="G72" s="37"/>
      <c r="H72" s="37"/>
      <c r="I72" s="37">
        <f>+I70+I68-I60</f>
        <v>0</v>
      </c>
      <c r="J72" s="37"/>
      <c r="K72" s="37">
        <f>+K70+K68-K60</f>
        <v>0</v>
      </c>
      <c r="L72" s="37">
        <f t="shared" ref="L72:P72" ca="1" si="29">+L70+L68-L60</f>
        <v>0</v>
      </c>
      <c r="M72" s="37">
        <f t="shared" ca="1" si="29"/>
        <v>0</v>
      </c>
      <c r="N72" s="37">
        <f t="shared" ca="1" si="29"/>
        <v>0</v>
      </c>
      <c r="O72" s="37">
        <f t="shared" ca="1" si="29"/>
        <v>0</v>
      </c>
      <c r="P72" s="37">
        <f t="shared" ca="1" si="29"/>
        <v>0</v>
      </c>
      <c r="Q72" s="37"/>
      <c r="R72" s="37"/>
      <c r="S72" s="37"/>
      <c r="T72" s="37"/>
      <c r="U72" s="37"/>
      <c r="V72" s="37"/>
    </row>
    <row r="73" spans="2:22" x14ac:dyDescent="0.2"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</row>
    <row r="74" spans="2:22" x14ac:dyDescent="0.2">
      <c r="B74" s="4" t="s">
        <v>97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</row>
    <row r="75" spans="2:22" x14ac:dyDescent="0.2">
      <c r="B75" t="s">
        <v>99</v>
      </c>
      <c r="C75" s="37"/>
      <c r="D75" s="37"/>
      <c r="E75" s="37"/>
      <c r="F75" s="37"/>
      <c r="G75" s="37"/>
      <c r="H75" s="37"/>
      <c r="I75" s="37"/>
      <c r="J75" s="37"/>
      <c r="K75" s="37">
        <f>+SUM(K51:K53)-SUM(K62:K63)</f>
        <v>72.568326225414538</v>
      </c>
      <c r="L75" s="37">
        <f t="shared" ref="L75:P75" si="30">+SUM(L51:L53)-SUM(L62:L63)</f>
        <v>90.388182241939873</v>
      </c>
      <c r="M75" s="37">
        <f t="shared" si="30"/>
        <v>101.18624852510038</v>
      </c>
      <c r="N75" s="37">
        <f t="shared" si="30"/>
        <v>111.89153896566361</v>
      </c>
      <c r="O75" s="37">
        <f t="shared" si="30"/>
        <v>121.70454033744875</v>
      </c>
      <c r="P75" s="37">
        <f t="shared" si="30"/>
        <v>133.40399192504478</v>
      </c>
      <c r="Q75" s="37"/>
      <c r="R75" s="37"/>
      <c r="S75" s="37"/>
      <c r="T75" s="37"/>
      <c r="U75" s="37"/>
      <c r="V75" s="37"/>
    </row>
    <row r="76" spans="2:22" x14ac:dyDescent="0.2"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 spans="2:22" x14ac:dyDescent="0.2">
      <c r="B77" t="s">
        <v>100</v>
      </c>
      <c r="C77" s="37"/>
      <c r="D77" s="37"/>
      <c r="E77" s="37"/>
      <c r="F77" s="37"/>
      <c r="G77" s="37"/>
      <c r="H77" s="37"/>
      <c r="I77" s="37">
        <f>+I51/I22*365</f>
        <v>35.65932675272083</v>
      </c>
      <c r="J77" s="37"/>
      <c r="K77" s="37"/>
      <c r="L77" s="42">
        <f>+$I$77</f>
        <v>35.65932675272083</v>
      </c>
      <c r="M77" s="42">
        <f t="shared" ref="M77:P77" si="31">+$I$77</f>
        <v>35.65932675272083</v>
      </c>
      <c r="N77" s="42">
        <f t="shared" si="31"/>
        <v>35.65932675272083</v>
      </c>
      <c r="O77" s="42">
        <f t="shared" si="31"/>
        <v>35.65932675272083</v>
      </c>
      <c r="P77" s="42">
        <f t="shared" si="31"/>
        <v>35.65932675272083</v>
      </c>
      <c r="Q77" s="37"/>
      <c r="R77" s="37"/>
      <c r="S77" s="37"/>
      <c r="T77" s="37"/>
      <c r="U77" s="37"/>
      <c r="V77" s="37"/>
    </row>
    <row r="78" spans="2:22" x14ac:dyDescent="0.2">
      <c r="B78" t="s">
        <v>101</v>
      </c>
      <c r="C78" s="37"/>
      <c r="D78" s="37"/>
      <c r="E78" s="37"/>
      <c r="F78" s="37"/>
      <c r="G78" s="37"/>
      <c r="H78" s="37"/>
      <c r="I78" s="37">
        <f>+I52/(I22-I25)*365</f>
        <v>71.212873755319038</v>
      </c>
      <c r="J78" s="37"/>
      <c r="K78" s="37"/>
      <c r="L78" s="42">
        <f>+$I$78</f>
        <v>71.212873755319038</v>
      </c>
      <c r="M78" s="42">
        <f t="shared" ref="M78:P78" si="32">+$I$78</f>
        <v>71.212873755319038</v>
      </c>
      <c r="N78" s="42">
        <f t="shared" si="32"/>
        <v>71.212873755319038</v>
      </c>
      <c r="O78" s="42">
        <f t="shared" si="32"/>
        <v>71.212873755319038</v>
      </c>
      <c r="P78" s="42">
        <f t="shared" si="32"/>
        <v>71.212873755319038</v>
      </c>
      <c r="Q78" s="37"/>
      <c r="R78" s="37"/>
      <c r="S78" s="37"/>
      <c r="T78" s="37"/>
      <c r="U78" s="37"/>
      <c r="V78" s="37"/>
    </row>
    <row r="79" spans="2:22" x14ac:dyDescent="0.2">
      <c r="B79" t="s">
        <v>102</v>
      </c>
      <c r="C79" s="37"/>
      <c r="D79" s="37"/>
      <c r="E79" s="37"/>
      <c r="F79" s="37"/>
      <c r="G79" s="37"/>
      <c r="H79" s="37"/>
      <c r="I79" s="40">
        <f>+I53/I22</f>
        <v>1.8729435585927615E-2</v>
      </c>
      <c r="J79" s="37"/>
      <c r="K79" s="37"/>
      <c r="L79" s="53">
        <f>+$I$79</f>
        <v>1.8729435585927615E-2</v>
      </c>
      <c r="M79" s="53">
        <f t="shared" ref="M79:P79" si="33">+$I$79</f>
        <v>1.8729435585927615E-2</v>
      </c>
      <c r="N79" s="53">
        <f t="shared" si="33"/>
        <v>1.8729435585927615E-2</v>
      </c>
      <c r="O79" s="53">
        <f t="shared" si="33"/>
        <v>1.8729435585927615E-2</v>
      </c>
      <c r="P79" s="53">
        <f t="shared" si="33"/>
        <v>1.8729435585927615E-2</v>
      </c>
      <c r="Q79" s="37"/>
      <c r="R79" s="37"/>
      <c r="S79" s="37"/>
      <c r="T79" s="37"/>
      <c r="U79" s="37"/>
      <c r="V79" s="37"/>
    </row>
    <row r="80" spans="2:22" x14ac:dyDescent="0.2">
      <c r="B80" t="s">
        <v>103</v>
      </c>
      <c r="C80" s="37"/>
      <c r="D80" s="37"/>
      <c r="E80" s="37"/>
      <c r="F80" s="37"/>
      <c r="G80" s="37"/>
      <c r="H80" s="37"/>
      <c r="I80" s="37">
        <f>+I62/(I22-I25)*365</f>
        <v>31.026179702650285</v>
      </c>
      <c r="J80" s="37"/>
      <c r="K80" s="37"/>
      <c r="L80" s="42">
        <f>+$I$80</f>
        <v>31.026179702650285</v>
      </c>
      <c r="M80" s="42">
        <f t="shared" ref="M80:P80" si="34">+$I$80</f>
        <v>31.026179702650285</v>
      </c>
      <c r="N80" s="42">
        <f t="shared" si="34"/>
        <v>31.026179702650285</v>
      </c>
      <c r="O80" s="42">
        <f t="shared" si="34"/>
        <v>31.026179702650285</v>
      </c>
      <c r="P80" s="42">
        <f t="shared" si="34"/>
        <v>31.026179702650285</v>
      </c>
      <c r="Q80" s="37"/>
      <c r="R80" s="37"/>
      <c r="S80" s="37"/>
      <c r="T80" s="37"/>
      <c r="U80" s="37"/>
      <c r="V80" s="37"/>
    </row>
    <row r="81" spans="1:22" x14ac:dyDescent="0.2">
      <c r="B81" t="s">
        <v>104</v>
      </c>
      <c r="C81" s="37"/>
      <c r="D81" s="37"/>
      <c r="E81" s="37"/>
      <c r="F81" s="37"/>
      <c r="G81" s="37"/>
      <c r="H81" s="37"/>
      <c r="I81" s="40">
        <f>+I63/(I22-I25)</f>
        <v>6.515010227012813E-2</v>
      </c>
      <c r="J81" s="37"/>
      <c r="K81" s="37"/>
      <c r="L81" s="53">
        <f>+$I$81</f>
        <v>6.515010227012813E-2</v>
      </c>
      <c r="M81" s="53">
        <f t="shared" ref="M81:P81" si="35">+$I$81</f>
        <v>6.515010227012813E-2</v>
      </c>
      <c r="N81" s="53">
        <f t="shared" si="35"/>
        <v>6.515010227012813E-2</v>
      </c>
      <c r="O81" s="53">
        <f t="shared" si="35"/>
        <v>6.515010227012813E-2</v>
      </c>
      <c r="P81" s="53">
        <f t="shared" si="35"/>
        <v>6.515010227012813E-2</v>
      </c>
      <c r="Q81" s="37"/>
      <c r="R81" s="37"/>
      <c r="S81" s="37"/>
      <c r="T81" s="37"/>
      <c r="U81" s="37"/>
      <c r="V81" s="37"/>
    </row>
    <row r="82" spans="1:22" x14ac:dyDescent="0.2"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 spans="1:22" x14ac:dyDescent="0.2">
      <c r="C83" s="37"/>
      <c r="D83" s="37"/>
      <c r="E83" s="37"/>
      <c r="F83" s="37"/>
      <c r="G83" s="37"/>
      <c r="H83" s="37"/>
      <c r="I83" s="37"/>
      <c r="J83" s="37"/>
      <c r="K83" s="37"/>
      <c r="L83" s="36" t="s">
        <v>4</v>
      </c>
      <c r="M83" s="36" t="s">
        <v>4</v>
      </c>
      <c r="N83" s="36" t="s">
        <v>4</v>
      </c>
      <c r="O83" s="36" t="s">
        <v>4</v>
      </c>
      <c r="P83" s="36" t="s">
        <v>4</v>
      </c>
      <c r="Q83" s="37"/>
      <c r="R83" s="37"/>
      <c r="S83" s="37"/>
      <c r="T83" s="37"/>
      <c r="U83" s="37"/>
      <c r="V83" s="37"/>
    </row>
    <row r="84" spans="1:22" x14ac:dyDescent="0.2">
      <c r="A84" t="s">
        <v>39</v>
      </c>
      <c r="B84" s="52" t="s">
        <v>105</v>
      </c>
      <c r="C84" s="37"/>
      <c r="D84" s="37"/>
      <c r="E84" s="37"/>
      <c r="F84" s="37"/>
      <c r="G84" s="37"/>
      <c r="H84" s="37"/>
      <c r="I84" s="37"/>
      <c r="J84" s="37"/>
      <c r="K84" s="37"/>
      <c r="L84" s="45">
        <v>2007</v>
      </c>
      <c r="M84" s="45">
        <f>+L84+1</f>
        <v>2008</v>
      </c>
      <c r="N84" s="45">
        <f>+M84+1</f>
        <v>2009</v>
      </c>
      <c r="O84" s="45">
        <f>+N84+1</f>
        <v>2010</v>
      </c>
      <c r="P84" s="45">
        <f>+O84+1</f>
        <v>2011</v>
      </c>
      <c r="Q84" s="37"/>
      <c r="R84" s="37"/>
      <c r="S84" s="37"/>
      <c r="T84" s="37"/>
      <c r="U84" s="37"/>
      <c r="V84" s="37"/>
    </row>
    <row r="85" spans="1:22" x14ac:dyDescent="0.2">
      <c r="B85" t="s">
        <v>96</v>
      </c>
      <c r="C85" s="37"/>
      <c r="D85" s="37"/>
      <c r="E85" s="37"/>
      <c r="F85" s="37"/>
      <c r="G85" s="37"/>
      <c r="H85" s="37"/>
      <c r="I85" s="37"/>
      <c r="J85" s="37"/>
      <c r="K85" s="37"/>
      <c r="L85" s="37">
        <f ca="1">+L40</f>
        <v>49.923842421765059</v>
      </c>
      <c r="M85" s="37">
        <f t="shared" ref="M85:P85" ca="1" si="36">+M40</f>
        <v>69.066656278379511</v>
      </c>
      <c r="N85" s="37">
        <f t="shared" ca="1" si="36"/>
        <v>90.622991856614462</v>
      </c>
      <c r="O85" s="37">
        <f t="shared" ca="1" si="36"/>
        <v>110.70240299999999</v>
      </c>
      <c r="P85" s="37">
        <f t="shared" ca="1" si="36"/>
        <v>123.62296895459262</v>
      </c>
      <c r="Q85" s="37"/>
      <c r="R85" s="37"/>
      <c r="S85" s="37"/>
      <c r="T85" s="37"/>
      <c r="U85" s="37"/>
      <c r="V85" s="37"/>
    </row>
    <row r="86" spans="1:22" x14ac:dyDescent="0.2">
      <c r="B86" t="s">
        <v>58</v>
      </c>
      <c r="C86" s="37"/>
      <c r="D86" s="37"/>
      <c r="E86" s="37"/>
      <c r="F86" s="37"/>
      <c r="G86" s="37"/>
      <c r="H86" s="37"/>
      <c r="I86" s="37"/>
      <c r="J86" s="37"/>
      <c r="K86" s="37"/>
      <c r="L86" s="37">
        <f>+L43</f>
        <v>38.799999999999983</v>
      </c>
      <c r="M86" s="37">
        <f t="shared" ref="M86:P86" si="37">+M43</f>
        <v>43.699999999999989</v>
      </c>
      <c r="N86" s="37">
        <f t="shared" si="37"/>
        <v>48.400000000000006</v>
      </c>
      <c r="O86" s="37">
        <f t="shared" si="37"/>
        <v>52.700000000000017</v>
      </c>
      <c r="P86" s="37">
        <f t="shared" si="37"/>
        <v>57.824777603220042</v>
      </c>
      <c r="Q86" s="37"/>
      <c r="R86" s="37"/>
      <c r="S86" s="37"/>
      <c r="T86" s="37"/>
      <c r="U86" s="37"/>
      <c r="V86" s="37"/>
    </row>
    <row r="87" spans="1:22" x14ac:dyDescent="0.2">
      <c r="B87" t="s">
        <v>91</v>
      </c>
      <c r="C87" s="37"/>
      <c r="D87" s="37"/>
      <c r="E87" s="37"/>
      <c r="F87" s="37"/>
      <c r="G87" s="37"/>
      <c r="H87" s="37"/>
      <c r="I87" s="37"/>
      <c r="J87" s="37"/>
      <c r="K87" s="37"/>
      <c r="L87" s="37">
        <f>+L34*-1</f>
        <v>4.9178999999999995</v>
      </c>
      <c r="M87" s="37">
        <f t="shared" ref="M87:P87" si="38">+M34*-1</f>
        <v>4.9178999999999995</v>
      </c>
      <c r="N87" s="37">
        <f t="shared" si="38"/>
        <v>4.9178999999999995</v>
      </c>
      <c r="O87" s="37">
        <f t="shared" si="38"/>
        <v>4.9178999999999995</v>
      </c>
      <c r="P87" s="37">
        <f t="shared" si="38"/>
        <v>4.9178999999999995</v>
      </c>
      <c r="Q87" s="37"/>
      <c r="R87" s="37"/>
      <c r="S87" s="37"/>
      <c r="T87" s="37"/>
      <c r="U87" s="37"/>
      <c r="V87" s="37"/>
    </row>
    <row r="88" spans="1:22" x14ac:dyDescent="0.2">
      <c r="B88" t="s">
        <v>107</v>
      </c>
      <c r="C88" s="37"/>
      <c r="D88" s="37"/>
      <c r="E88" s="37"/>
      <c r="F88" s="37"/>
      <c r="G88" s="37"/>
      <c r="H88" s="37"/>
      <c r="I88" s="37"/>
      <c r="J88" s="37"/>
      <c r="K88" s="37"/>
      <c r="L88" s="37">
        <f>+K75-L75</f>
        <v>-17.819856016525335</v>
      </c>
      <c r="M88" s="37">
        <f t="shared" ref="M88:P88" si="39">+L75-M75</f>
        <v>-10.798066283160509</v>
      </c>
      <c r="N88" s="37">
        <f t="shared" si="39"/>
        <v>-10.705290440563232</v>
      </c>
      <c r="O88" s="37">
        <f t="shared" si="39"/>
        <v>-9.8130013717851341</v>
      </c>
      <c r="P88" s="37">
        <f t="shared" si="39"/>
        <v>-11.69945158759603</v>
      </c>
      <c r="Q88" s="37"/>
      <c r="R88" s="37"/>
      <c r="S88" s="37"/>
      <c r="T88" s="37"/>
      <c r="U88" s="37"/>
      <c r="V88" s="37"/>
    </row>
    <row r="89" spans="1:22" x14ac:dyDescent="0.2">
      <c r="B89" t="s">
        <v>108</v>
      </c>
      <c r="C89" s="37"/>
      <c r="D89" s="37"/>
      <c r="E89" s="37"/>
      <c r="F89" s="37"/>
      <c r="G89" s="37"/>
      <c r="H89" s="37"/>
      <c r="I89" s="37"/>
      <c r="J89" s="37"/>
      <c r="K89" s="37"/>
      <c r="L89" s="50">
        <f ca="1">+SUM(L85:L88)</f>
        <v>75.821886405239709</v>
      </c>
      <c r="M89" s="50">
        <f t="shared" ref="M89:P89" ca="1" si="40">+SUM(M85:M88)</f>
        <v>106.88648999521899</v>
      </c>
      <c r="N89" s="50">
        <f t="shared" ca="1" si="40"/>
        <v>133.23560141605122</v>
      </c>
      <c r="O89" s="50">
        <f t="shared" ca="1" si="40"/>
        <v>158.50730162821486</v>
      </c>
      <c r="P89" s="50">
        <f t="shared" ca="1" si="40"/>
        <v>174.66619497021662</v>
      </c>
      <c r="Q89" s="37"/>
      <c r="R89" s="37"/>
      <c r="S89" s="37"/>
      <c r="T89" s="37"/>
      <c r="U89" s="37"/>
      <c r="V89" s="37"/>
    </row>
    <row r="90" spans="1:22" x14ac:dyDescent="0.2"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spans="1:22" x14ac:dyDescent="0.2">
      <c r="B91" t="s">
        <v>98</v>
      </c>
      <c r="C91" s="37"/>
      <c r="D91" s="37"/>
      <c r="E91" s="37"/>
      <c r="F91" s="37"/>
      <c r="G91" s="37"/>
      <c r="H91" s="37"/>
      <c r="I91" s="37"/>
      <c r="J91" s="37"/>
      <c r="K91" s="37"/>
      <c r="L91" s="37">
        <f>+L46*-1</f>
        <v>-27</v>
      </c>
      <c r="M91" s="37">
        <f t="shared" ref="M91:P91" si="41">+M46*-1</f>
        <v>-30</v>
      </c>
      <c r="N91" s="37">
        <f t="shared" si="41"/>
        <v>-15</v>
      </c>
      <c r="O91" s="37">
        <f t="shared" si="41"/>
        <v>-15</v>
      </c>
      <c r="P91" s="37">
        <f t="shared" si="41"/>
        <v>-15</v>
      </c>
      <c r="Q91" s="37"/>
      <c r="R91" s="37"/>
      <c r="S91" s="37"/>
      <c r="T91" s="37"/>
      <c r="U91" s="37"/>
      <c r="V91" s="37"/>
    </row>
    <row r="92" spans="1:22" x14ac:dyDescent="0.2">
      <c r="B92" t="s">
        <v>109</v>
      </c>
      <c r="C92" s="37"/>
      <c r="D92" s="37"/>
      <c r="E92" s="37"/>
      <c r="F92" s="37"/>
      <c r="G92" s="37"/>
      <c r="H92" s="37"/>
      <c r="I92" s="37"/>
      <c r="J92" s="37"/>
      <c r="K92" s="37"/>
      <c r="L92" s="56">
        <f ca="1">+L105+L110</f>
        <v>-48.821886405239709</v>
      </c>
      <c r="M92" s="56">
        <f t="shared" ref="M92:P92" ca="1" si="42">+M105+M110</f>
        <v>-76.886489995218994</v>
      </c>
      <c r="N92" s="56">
        <f t="shared" ca="1" si="42"/>
        <v>-63.441623599541288</v>
      </c>
      <c r="O92" s="56">
        <f t="shared" ca="1" si="42"/>
        <v>0</v>
      </c>
      <c r="P92" s="56">
        <f t="shared" ca="1" si="42"/>
        <v>0</v>
      </c>
      <c r="Q92" s="37"/>
      <c r="R92" s="37"/>
      <c r="S92" s="37"/>
      <c r="T92" s="37"/>
      <c r="U92" s="37"/>
      <c r="V92" s="37"/>
    </row>
    <row r="93" spans="1:22" x14ac:dyDescent="0.2"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spans="1:22" x14ac:dyDescent="0.2">
      <c r="B94" t="s">
        <v>110</v>
      </c>
      <c r="C94" s="37"/>
      <c r="D94" s="37"/>
      <c r="E94" s="37"/>
      <c r="F94" s="37"/>
      <c r="G94" s="37"/>
      <c r="H94" s="37"/>
      <c r="I94" s="37"/>
      <c r="J94" s="37"/>
      <c r="K94" s="37"/>
      <c r="L94" s="37">
        <f ca="1">+L92+L91+L89</f>
        <v>0</v>
      </c>
      <c r="M94" s="37">
        <f t="shared" ref="M94:P94" ca="1" si="43">+M92+M91+M89</f>
        <v>0</v>
      </c>
      <c r="N94" s="37">
        <f t="shared" ca="1" si="43"/>
        <v>54.793977816509937</v>
      </c>
      <c r="O94" s="37">
        <f t="shared" ca="1" si="43"/>
        <v>143.50730162821486</v>
      </c>
      <c r="P94" s="37">
        <f t="shared" ca="1" si="43"/>
        <v>159.66619497021662</v>
      </c>
      <c r="Q94" s="37"/>
      <c r="R94" s="37"/>
      <c r="S94" s="37"/>
      <c r="T94" s="37"/>
      <c r="U94" s="37"/>
      <c r="V94" s="37"/>
    </row>
    <row r="95" spans="1:22" x14ac:dyDescent="0.2"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spans="1:22" x14ac:dyDescent="0.2">
      <c r="C96" s="37"/>
      <c r="D96" s="37"/>
      <c r="E96" s="37"/>
      <c r="F96" s="37"/>
      <c r="G96" s="37"/>
      <c r="H96" s="37"/>
      <c r="I96" s="37"/>
      <c r="J96" s="37"/>
      <c r="K96" s="36" t="s">
        <v>64</v>
      </c>
      <c r="L96" s="36" t="s">
        <v>4</v>
      </c>
      <c r="M96" s="36" t="s">
        <v>4</v>
      </c>
      <c r="N96" s="36" t="s">
        <v>4</v>
      </c>
      <c r="O96" s="36" t="s">
        <v>4</v>
      </c>
      <c r="P96" s="36" t="s">
        <v>4</v>
      </c>
      <c r="Q96" s="37"/>
      <c r="R96" s="37"/>
      <c r="S96" s="37"/>
      <c r="T96" s="37"/>
      <c r="U96" s="37"/>
      <c r="V96" s="37"/>
    </row>
    <row r="97" spans="1:22" x14ac:dyDescent="0.2">
      <c r="A97" t="s">
        <v>39</v>
      </c>
      <c r="B97" s="52" t="s">
        <v>111</v>
      </c>
      <c r="C97" s="37"/>
      <c r="D97" s="37"/>
      <c r="E97" s="37"/>
      <c r="F97" s="37"/>
      <c r="G97" s="37"/>
      <c r="H97" s="37"/>
      <c r="I97" s="37"/>
      <c r="J97" s="37"/>
      <c r="K97" s="45">
        <v>2006</v>
      </c>
      <c r="L97" s="45">
        <f>+K97+1</f>
        <v>2007</v>
      </c>
      <c r="M97" s="45">
        <f t="shared" ref="M97:P97" si="44">+L97+1</f>
        <v>2008</v>
      </c>
      <c r="N97" s="45">
        <f t="shared" si="44"/>
        <v>2009</v>
      </c>
      <c r="O97" s="45">
        <f t="shared" si="44"/>
        <v>2010</v>
      </c>
      <c r="P97" s="45">
        <f t="shared" si="44"/>
        <v>2011</v>
      </c>
      <c r="Q97" s="37"/>
      <c r="R97" s="37"/>
      <c r="S97" s="37"/>
      <c r="T97" s="37"/>
      <c r="U97" s="37"/>
      <c r="V97" s="37"/>
    </row>
    <row r="98" spans="1:22" x14ac:dyDescent="0.2">
      <c r="B98" t="s">
        <v>112</v>
      </c>
      <c r="C98" s="37"/>
      <c r="D98" s="37"/>
      <c r="E98" s="37"/>
      <c r="F98" s="37"/>
      <c r="G98" s="37"/>
      <c r="H98" s="37"/>
      <c r="I98" s="37"/>
      <c r="J98" s="37"/>
      <c r="K98" s="37"/>
      <c r="L98" s="37">
        <f ca="1">+L89+L91</f>
        <v>48.821886405239709</v>
      </c>
      <c r="M98" s="37">
        <f t="shared" ref="M98:P98" ca="1" si="45">+M89+M91</f>
        <v>76.886489995218994</v>
      </c>
      <c r="N98" s="37">
        <f t="shared" ca="1" si="45"/>
        <v>118.23560141605122</v>
      </c>
      <c r="O98" s="37">
        <f t="shared" ca="1" si="45"/>
        <v>143.50730162821486</v>
      </c>
      <c r="P98" s="37">
        <f t="shared" ca="1" si="45"/>
        <v>159.66619497021662</v>
      </c>
      <c r="Q98" s="37"/>
      <c r="R98" s="37"/>
      <c r="S98" s="37"/>
      <c r="T98" s="37"/>
      <c r="U98" s="37"/>
      <c r="V98" s="37"/>
    </row>
    <row r="99" spans="1:22" x14ac:dyDescent="0.2">
      <c r="B99" t="s">
        <v>113</v>
      </c>
      <c r="C99" s="37"/>
      <c r="D99" s="37"/>
      <c r="E99" s="37"/>
      <c r="F99" s="37"/>
      <c r="G99" s="37"/>
      <c r="H99" s="37"/>
      <c r="I99" s="37"/>
      <c r="J99" s="37"/>
      <c r="K99" s="37"/>
      <c r="L99" s="56">
        <f>+K50</f>
        <v>0</v>
      </c>
      <c r="M99" s="56">
        <f t="shared" ref="M99:P99" ca="1" si="46">+L50</f>
        <v>0</v>
      </c>
      <c r="N99" s="56">
        <f t="shared" ca="1" si="46"/>
        <v>0</v>
      </c>
      <c r="O99" s="56">
        <f t="shared" ca="1" si="46"/>
        <v>54.793977816509937</v>
      </c>
      <c r="P99" s="56">
        <f t="shared" ca="1" si="46"/>
        <v>198.3012794447248</v>
      </c>
      <c r="Q99" s="37"/>
      <c r="R99" s="37"/>
      <c r="S99" s="37"/>
      <c r="T99" s="37"/>
      <c r="U99" s="37"/>
      <c r="V99" s="37"/>
    </row>
    <row r="100" spans="1:22" x14ac:dyDescent="0.2">
      <c r="B100" t="s">
        <v>114</v>
      </c>
      <c r="C100" s="37"/>
      <c r="D100" s="37"/>
      <c r="E100" s="37"/>
      <c r="F100" s="37"/>
      <c r="G100" s="37"/>
      <c r="H100" s="37"/>
      <c r="I100" s="37"/>
      <c r="J100" s="37"/>
      <c r="K100" s="37"/>
      <c r="L100" s="50">
        <f ca="1">+L99+L98</f>
        <v>48.821886405239709</v>
      </c>
      <c r="M100" s="50">
        <f t="shared" ref="M100:P100" ca="1" si="47">+M99+M98</f>
        <v>76.886489995218994</v>
      </c>
      <c r="N100" s="50">
        <f t="shared" ca="1" si="47"/>
        <v>118.23560141605122</v>
      </c>
      <c r="O100" s="50">
        <f t="shared" ca="1" si="47"/>
        <v>198.3012794447248</v>
      </c>
      <c r="P100" s="50">
        <f t="shared" ca="1" si="47"/>
        <v>357.96747441494142</v>
      </c>
      <c r="Q100" s="37"/>
      <c r="R100" s="37"/>
      <c r="S100" s="37"/>
      <c r="T100" s="37"/>
      <c r="U100" s="37"/>
      <c r="V100" s="37"/>
    </row>
    <row r="101" spans="1:22" x14ac:dyDescent="0.2">
      <c r="C101" s="37"/>
      <c r="D101" s="37"/>
      <c r="E101" s="37"/>
      <c r="F101" s="37"/>
      <c r="G101" s="37"/>
      <c r="H101" s="37"/>
      <c r="I101" s="37"/>
      <c r="J101" s="37"/>
      <c r="K101" s="37"/>
      <c r="L101" s="54"/>
      <c r="M101" s="54"/>
      <c r="N101" s="54"/>
      <c r="O101" s="54"/>
      <c r="P101" s="54"/>
      <c r="Q101" s="37"/>
      <c r="R101" s="37"/>
      <c r="S101" s="37"/>
      <c r="T101" s="37"/>
      <c r="U101" s="37"/>
      <c r="V101" s="37"/>
    </row>
    <row r="102" spans="1:22" x14ac:dyDescent="0.2">
      <c r="B102" t="s">
        <v>118</v>
      </c>
      <c r="C102" s="37"/>
      <c r="D102" s="37"/>
      <c r="E102" s="37"/>
      <c r="F102" s="37"/>
      <c r="G102" s="37"/>
      <c r="H102" s="37"/>
      <c r="I102" s="37"/>
      <c r="J102" s="37"/>
      <c r="K102" s="37"/>
      <c r="L102" s="55">
        <v>1</v>
      </c>
      <c r="M102" s="55">
        <f>+L102+1</f>
        <v>2</v>
      </c>
      <c r="N102" s="55">
        <f t="shared" ref="N102:P102" si="48">+M102+1</f>
        <v>3</v>
      </c>
      <c r="O102" s="55">
        <f t="shared" si="48"/>
        <v>4</v>
      </c>
      <c r="P102" s="55">
        <f t="shared" si="48"/>
        <v>5</v>
      </c>
      <c r="Q102" s="37"/>
      <c r="R102" s="37"/>
      <c r="S102" s="37"/>
      <c r="T102" s="37"/>
      <c r="U102" s="37"/>
      <c r="V102" s="37"/>
    </row>
    <row r="103" spans="1:22" x14ac:dyDescent="0.2"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spans="1:22" x14ac:dyDescent="0.2">
      <c r="B104" t="s">
        <v>115</v>
      </c>
      <c r="C104" s="37"/>
      <c r="D104" s="37"/>
      <c r="E104" s="37"/>
      <c r="F104" s="37"/>
      <c r="G104" s="37"/>
      <c r="H104" s="37"/>
      <c r="I104" s="37"/>
      <c r="J104" s="37"/>
      <c r="K104" s="37"/>
      <c r="L104" s="37">
        <f>+K106</f>
        <v>378.29999999999995</v>
      </c>
      <c r="M104" s="37">
        <f t="shared" ref="M104:P104" si="49">+L106</f>
        <v>378.29999999999995</v>
      </c>
      <c r="N104" s="37">
        <f t="shared" si="49"/>
        <v>378.29999999999995</v>
      </c>
      <c r="O104" s="37">
        <f t="shared" si="49"/>
        <v>378.29999999999995</v>
      </c>
      <c r="P104" s="37">
        <f t="shared" si="49"/>
        <v>378.29999999999995</v>
      </c>
      <c r="Q104" s="37"/>
      <c r="R104" s="37"/>
      <c r="S104" s="37"/>
      <c r="T104" s="37"/>
      <c r="U104" s="37"/>
      <c r="V104" s="37"/>
    </row>
    <row r="105" spans="1:22" x14ac:dyDescent="0.2">
      <c r="B105" t="s">
        <v>116</v>
      </c>
      <c r="C105" s="37"/>
      <c r="D105" s="37"/>
      <c r="E105" s="37"/>
      <c r="F105" s="37"/>
      <c r="G105" s="37"/>
      <c r="H105" s="37"/>
      <c r="I105" s="37"/>
      <c r="J105" s="37"/>
      <c r="K105" s="37"/>
      <c r="L105" s="37">
        <f>+IF(L102=$G$6, L104, 0)*-1</f>
        <v>0</v>
      </c>
      <c r="M105" s="37">
        <f t="shared" ref="M105:P105" si="50">+IF(M102=$G$6, M104, 0)*-1</f>
        <v>0</v>
      </c>
      <c r="N105" s="37">
        <f t="shared" si="50"/>
        <v>0</v>
      </c>
      <c r="O105" s="37">
        <f t="shared" si="50"/>
        <v>0</v>
      </c>
      <c r="P105" s="37">
        <f t="shared" si="50"/>
        <v>0</v>
      </c>
      <c r="Q105" s="37"/>
      <c r="R105" s="37"/>
      <c r="S105" s="37"/>
      <c r="T105" s="37"/>
      <c r="U105" s="37"/>
      <c r="V105" s="37"/>
    </row>
    <row r="106" spans="1:22" x14ac:dyDescent="0.2">
      <c r="B106" t="s">
        <v>117</v>
      </c>
      <c r="C106" s="37"/>
      <c r="D106" s="37"/>
      <c r="E106" s="37"/>
      <c r="F106" s="37"/>
      <c r="G106" s="37"/>
      <c r="H106" s="37"/>
      <c r="I106" s="37"/>
      <c r="J106" s="37"/>
      <c r="K106" s="48">
        <f>+$J$10</f>
        <v>378.29999999999995</v>
      </c>
      <c r="L106" s="50">
        <f>SUM(L104:L105)</f>
        <v>378.29999999999995</v>
      </c>
      <c r="M106" s="50">
        <f t="shared" ref="M106:P106" si="51">SUM(M104:M105)</f>
        <v>378.29999999999995</v>
      </c>
      <c r="N106" s="50">
        <f t="shared" si="51"/>
        <v>378.29999999999995</v>
      </c>
      <c r="O106" s="50">
        <f t="shared" si="51"/>
        <v>378.29999999999995</v>
      </c>
      <c r="P106" s="50">
        <f t="shared" si="51"/>
        <v>378.29999999999995</v>
      </c>
      <c r="Q106" s="37"/>
      <c r="R106" s="37"/>
      <c r="S106" s="37"/>
      <c r="T106" s="37"/>
      <c r="U106" s="37"/>
      <c r="V106" s="37"/>
    </row>
    <row r="107" spans="1:22" x14ac:dyDescent="0.2">
      <c r="B107" t="s">
        <v>57</v>
      </c>
      <c r="C107" s="37"/>
      <c r="D107" s="37"/>
      <c r="E107" s="37"/>
      <c r="F107" s="37"/>
      <c r="G107" s="37"/>
      <c r="H107" s="37"/>
      <c r="I107" s="37"/>
      <c r="J107" s="37"/>
      <c r="K107" s="37"/>
      <c r="L107" s="37">
        <f>+AVERAGE(K106:L106)*$F$6*-1</f>
        <v>-30.263999999999996</v>
      </c>
      <c r="M107" s="37">
        <f t="shared" ref="M107:P107" si="52">+AVERAGE(L106:M106)*$F$6*-1</f>
        <v>-30.263999999999996</v>
      </c>
      <c r="N107" s="37">
        <f t="shared" si="52"/>
        <v>-30.263999999999996</v>
      </c>
      <c r="O107" s="37">
        <f t="shared" si="52"/>
        <v>-30.263999999999996</v>
      </c>
      <c r="P107" s="37">
        <f t="shared" si="52"/>
        <v>-30.263999999999996</v>
      </c>
      <c r="Q107" s="37"/>
      <c r="R107" s="37"/>
      <c r="S107" s="37"/>
      <c r="T107" s="37"/>
      <c r="U107" s="37"/>
      <c r="V107" s="37"/>
    </row>
    <row r="108" spans="1:22" x14ac:dyDescent="0.2"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spans="1:22" x14ac:dyDescent="0.2">
      <c r="B109" t="s">
        <v>119</v>
      </c>
      <c r="C109" s="37"/>
      <c r="D109" s="37"/>
      <c r="E109" s="37"/>
      <c r="F109" s="37"/>
      <c r="G109" s="37"/>
      <c r="H109" s="37"/>
      <c r="I109" s="37"/>
      <c r="J109" s="37"/>
      <c r="K109" s="37"/>
      <c r="L109" s="37">
        <f>+K111</f>
        <v>189.14999999999998</v>
      </c>
      <c r="M109" s="37">
        <f t="shared" ref="M109:P109" ca="1" si="53">+L111</f>
        <v>140.32811359476028</v>
      </c>
      <c r="N109" s="37">
        <f t="shared" ca="1" si="53"/>
        <v>63.441623599541288</v>
      </c>
      <c r="O109" s="37">
        <f t="shared" ca="1" si="53"/>
        <v>0</v>
      </c>
      <c r="P109" s="37">
        <f t="shared" ca="1" si="53"/>
        <v>0</v>
      </c>
      <c r="Q109" s="37"/>
      <c r="R109" s="37"/>
      <c r="S109" s="37"/>
      <c r="T109" s="37"/>
      <c r="U109" s="37"/>
      <c r="V109" s="37"/>
    </row>
    <row r="110" spans="1:22" x14ac:dyDescent="0.2">
      <c r="B110" t="s">
        <v>116</v>
      </c>
      <c r="C110" s="37"/>
      <c r="D110" s="37"/>
      <c r="E110" s="37"/>
      <c r="F110" s="37"/>
      <c r="G110" s="37"/>
      <c r="H110" s="37"/>
      <c r="I110" s="37"/>
      <c r="J110" s="37"/>
      <c r="K110" s="37"/>
      <c r="L110" s="37">
        <f ca="1">+MIN(L109, L100+L105)*-1*$T$11</f>
        <v>-48.821886405239709</v>
      </c>
      <c r="M110" s="37">
        <f t="shared" ref="M110:P110" ca="1" si="54">+MIN(M109, M100+M105)*-1*$T$11</f>
        <v>-76.886489995218994</v>
      </c>
      <c r="N110" s="37">
        <f t="shared" ca="1" si="54"/>
        <v>-63.441623599541288</v>
      </c>
      <c r="O110" s="37">
        <f t="shared" ca="1" si="54"/>
        <v>0</v>
      </c>
      <c r="P110" s="37">
        <f t="shared" ca="1" si="54"/>
        <v>0</v>
      </c>
      <c r="Q110" s="37"/>
      <c r="R110" s="37"/>
      <c r="S110" s="37"/>
      <c r="T110" s="37"/>
      <c r="U110" s="37"/>
      <c r="V110" s="37"/>
    </row>
    <row r="111" spans="1:22" x14ac:dyDescent="0.2">
      <c r="B111" t="s">
        <v>120</v>
      </c>
      <c r="C111" s="37"/>
      <c r="D111" s="37"/>
      <c r="E111" s="37"/>
      <c r="F111" s="37"/>
      <c r="G111" s="37"/>
      <c r="H111" s="37"/>
      <c r="I111" s="37"/>
      <c r="J111" s="37"/>
      <c r="K111" s="48">
        <f>+J11</f>
        <v>189.14999999999998</v>
      </c>
      <c r="L111" s="50">
        <f ca="1">SUM(L109:L110)</f>
        <v>140.32811359476028</v>
      </c>
      <c r="M111" s="50">
        <f t="shared" ref="M111:P111" ca="1" si="55">SUM(M109:M110)</f>
        <v>63.441623599541288</v>
      </c>
      <c r="N111" s="50">
        <f t="shared" ca="1" si="55"/>
        <v>0</v>
      </c>
      <c r="O111" s="50">
        <f t="shared" ca="1" si="55"/>
        <v>0</v>
      </c>
      <c r="P111" s="50">
        <f t="shared" ca="1" si="55"/>
        <v>0</v>
      </c>
      <c r="Q111" s="37"/>
      <c r="R111" s="37"/>
      <c r="S111" s="37"/>
      <c r="T111" s="37"/>
      <c r="U111" s="37"/>
      <c r="V111" s="37"/>
    </row>
    <row r="112" spans="1:22" x14ac:dyDescent="0.2">
      <c r="B112" t="s">
        <v>57</v>
      </c>
      <c r="C112" s="37"/>
      <c r="D112" s="37"/>
      <c r="E112" s="37"/>
      <c r="F112" s="37"/>
      <c r="G112" s="37"/>
      <c r="H112" s="37"/>
      <c r="I112" s="37"/>
      <c r="J112" s="37"/>
      <c r="K112" s="37"/>
      <c r="L112" s="37">
        <f ca="1">+AVERAGE(K111:L111)*$F$7*-1</f>
        <v>-16.473905679738014</v>
      </c>
      <c r="M112" s="37">
        <f t="shared" ref="M112:P112" ca="1" si="56">+AVERAGE(L111:M111)*$F$7*-1</f>
        <v>-10.188486859715079</v>
      </c>
      <c r="N112" s="37">
        <f t="shared" ca="1" si="56"/>
        <v>-3.1720811799770647</v>
      </c>
      <c r="O112" s="37">
        <f t="shared" ca="1" si="56"/>
        <v>0</v>
      </c>
      <c r="P112" s="37">
        <f t="shared" ca="1" si="56"/>
        <v>0</v>
      </c>
      <c r="Q112" s="37"/>
      <c r="R112" s="37"/>
      <c r="S112" s="37"/>
      <c r="T112" s="37"/>
      <c r="U112" s="37"/>
      <c r="V112" s="37"/>
    </row>
    <row r="113" spans="1:22" x14ac:dyDescent="0.2"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spans="1:22" x14ac:dyDescent="0.2">
      <c r="B114" t="s">
        <v>110</v>
      </c>
      <c r="C114" s="37"/>
      <c r="D114" s="37"/>
      <c r="E114" s="37"/>
      <c r="F114" s="37"/>
      <c r="G114" s="37"/>
      <c r="H114" s="37"/>
      <c r="I114" s="37"/>
      <c r="J114" s="37"/>
      <c r="K114" s="37"/>
      <c r="L114" s="37">
        <f ca="1">+L110+L105+L98</f>
        <v>0</v>
      </c>
      <c r="M114" s="37">
        <f t="shared" ref="M114:P114" ca="1" si="57">+M110+M105+M98</f>
        <v>0</v>
      </c>
      <c r="N114" s="37">
        <f t="shared" ca="1" si="57"/>
        <v>54.793977816509937</v>
      </c>
      <c r="O114" s="37">
        <f t="shared" ca="1" si="57"/>
        <v>143.50730162821486</v>
      </c>
      <c r="P114" s="37">
        <f t="shared" ca="1" si="57"/>
        <v>159.66619497021662</v>
      </c>
      <c r="Q114" s="37"/>
      <c r="R114" s="37"/>
      <c r="S114" s="37"/>
      <c r="T114" s="37"/>
      <c r="U114" s="37"/>
      <c r="V114" s="37"/>
    </row>
    <row r="115" spans="1:22" x14ac:dyDescent="0.2"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spans="1:22" x14ac:dyDescent="0.2">
      <c r="C116" s="37"/>
      <c r="D116" s="37"/>
      <c r="E116" s="37"/>
      <c r="F116" s="37"/>
      <c r="G116" s="37"/>
      <c r="H116" s="37"/>
      <c r="I116" s="37"/>
      <c r="J116" s="37"/>
      <c r="K116" s="37"/>
      <c r="L116" s="36" t="s">
        <v>4</v>
      </c>
      <c r="M116" s="36" t="s">
        <v>4</v>
      </c>
      <c r="N116" s="36" t="s">
        <v>4</v>
      </c>
      <c r="O116" s="36" t="s">
        <v>4</v>
      </c>
      <c r="P116" s="36" t="s">
        <v>4</v>
      </c>
      <c r="Q116" s="37"/>
      <c r="R116" s="37"/>
      <c r="S116" s="37"/>
      <c r="T116" s="37"/>
      <c r="U116" s="37"/>
      <c r="V116" s="37"/>
    </row>
    <row r="117" spans="1:22" x14ac:dyDescent="0.2">
      <c r="A117" t="s">
        <v>39</v>
      </c>
      <c r="B117" s="52" t="s">
        <v>124</v>
      </c>
      <c r="C117" s="37"/>
      <c r="D117" s="37"/>
      <c r="E117" s="37"/>
      <c r="F117" s="37"/>
      <c r="G117" s="37"/>
      <c r="H117" s="37"/>
      <c r="I117" s="37"/>
      <c r="J117" s="37"/>
      <c r="K117" s="37"/>
      <c r="L117" s="45">
        <v>2007</v>
      </c>
      <c r="M117" s="45">
        <f>+L117+1</f>
        <v>2008</v>
      </c>
      <c r="N117" s="45">
        <f>+M117+1</f>
        <v>2009</v>
      </c>
      <c r="O117" s="45">
        <f>+N117+1</f>
        <v>2010</v>
      </c>
      <c r="P117" s="45">
        <f>+O117+1</f>
        <v>2011</v>
      </c>
      <c r="Q117" s="37"/>
      <c r="R117" s="37"/>
      <c r="S117" s="37"/>
      <c r="T117" s="37"/>
      <c r="U117" s="37"/>
      <c r="V117" s="37"/>
    </row>
    <row r="118" spans="1:22" x14ac:dyDescent="0.2">
      <c r="B118" t="s">
        <v>13</v>
      </c>
      <c r="C118" s="37"/>
      <c r="D118" s="37"/>
      <c r="E118" s="37"/>
      <c r="F118" s="37"/>
      <c r="G118" s="37"/>
      <c r="H118" s="37"/>
      <c r="I118" s="37"/>
      <c r="J118" s="37"/>
      <c r="K118" s="37"/>
      <c r="L118" s="37">
        <f>+L44</f>
        <v>169.7</v>
      </c>
      <c r="M118" s="37">
        <f t="shared" ref="M118:P118" si="58">+M44</f>
        <v>198.7</v>
      </c>
      <c r="N118" s="37">
        <f t="shared" si="58"/>
        <v>230.6</v>
      </c>
      <c r="O118" s="37">
        <f t="shared" si="58"/>
        <v>263.60000000000002</v>
      </c>
      <c r="P118" s="37">
        <f t="shared" si="58"/>
        <v>289.23361245177978</v>
      </c>
      <c r="Q118" s="37"/>
      <c r="R118" s="37"/>
      <c r="S118" s="37"/>
      <c r="T118" s="37"/>
      <c r="U118" s="37"/>
      <c r="V118" s="37"/>
    </row>
    <row r="119" spans="1:22" x14ac:dyDescent="0.2">
      <c r="B119" t="s">
        <v>125</v>
      </c>
      <c r="C119" s="37"/>
      <c r="D119" s="37"/>
      <c r="E119" s="37"/>
      <c r="F119" s="37"/>
      <c r="G119" s="37"/>
      <c r="H119" s="37"/>
      <c r="I119" s="37"/>
      <c r="J119" s="37"/>
      <c r="K119" s="37"/>
      <c r="L119" s="57">
        <f>+$O$18</f>
        <v>7</v>
      </c>
      <c r="M119" s="57">
        <f t="shared" ref="M119:P119" si="59">+$O$18</f>
        <v>7</v>
      </c>
      <c r="N119" s="57">
        <f t="shared" si="59"/>
        <v>7</v>
      </c>
      <c r="O119" s="57">
        <f t="shared" si="59"/>
        <v>7</v>
      </c>
      <c r="P119" s="57">
        <f t="shared" si="59"/>
        <v>7</v>
      </c>
      <c r="Q119" s="37"/>
      <c r="R119" s="37"/>
      <c r="S119" s="37"/>
      <c r="T119" s="37"/>
      <c r="U119" s="37"/>
      <c r="V119" s="37"/>
    </row>
    <row r="120" spans="1:22" x14ac:dyDescent="0.2">
      <c r="B120" t="s">
        <v>126</v>
      </c>
      <c r="C120" s="37"/>
      <c r="D120" s="37"/>
      <c r="E120" s="37"/>
      <c r="F120" s="37"/>
      <c r="G120" s="37"/>
      <c r="H120" s="37"/>
      <c r="I120" s="37"/>
      <c r="J120" s="37"/>
      <c r="K120" s="37"/>
      <c r="L120" s="37">
        <f>+L119*L118</f>
        <v>1187.8999999999999</v>
      </c>
      <c r="M120" s="37">
        <f t="shared" ref="M120:P120" si="60">+M119*M118</f>
        <v>1390.8999999999999</v>
      </c>
      <c r="N120" s="37">
        <f t="shared" si="60"/>
        <v>1614.2</v>
      </c>
      <c r="O120" s="37">
        <f t="shared" si="60"/>
        <v>1845.2000000000003</v>
      </c>
      <c r="P120" s="37">
        <f t="shared" si="60"/>
        <v>2024.6352871624586</v>
      </c>
      <c r="Q120" s="37"/>
      <c r="R120" s="37"/>
      <c r="S120" s="37"/>
      <c r="T120" s="37"/>
      <c r="U120" s="37"/>
      <c r="V120" s="37"/>
    </row>
    <row r="121" spans="1:22" x14ac:dyDescent="0.2"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spans="1:22" x14ac:dyDescent="0.2">
      <c r="B122" t="s">
        <v>62</v>
      </c>
      <c r="C122" s="37"/>
      <c r="D122" s="37"/>
      <c r="E122" s="37"/>
      <c r="F122" s="37"/>
      <c r="G122" s="37"/>
      <c r="H122" s="37"/>
      <c r="I122" s="37"/>
      <c r="J122" s="37"/>
      <c r="K122" s="37"/>
      <c r="L122" s="37">
        <f ca="1">+L66-L50</f>
        <v>518.62811359476018</v>
      </c>
      <c r="M122" s="37">
        <f t="shared" ref="M122:P122" ca="1" si="61">+M66-M50</f>
        <v>441.74162359954124</v>
      </c>
      <c r="N122" s="37">
        <f t="shared" ca="1" si="61"/>
        <v>323.50602218349002</v>
      </c>
      <c r="O122" s="37">
        <f t="shared" ca="1" si="61"/>
        <v>179.99872055527516</v>
      </c>
      <c r="P122" s="37">
        <f t="shared" ca="1" si="61"/>
        <v>20.332525585058534</v>
      </c>
      <c r="Q122" s="37"/>
      <c r="R122" s="37"/>
      <c r="S122" s="37"/>
      <c r="T122" s="37"/>
      <c r="U122" s="37"/>
      <c r="V122" s="37"/>
    </row>
    <row r="123" spans="1:22" x14ac:dyDescent="0.2">
      <c r="B123" t="s">
        <v>127</v>
      </c>
      <c r="C123" s="37"/>
      <c r="D123" s="37"/>
      <c r="E123" s="37"/>
      <c r="F123" s="37"/>
      <c r="G123" s="37"/>
      <c r="H123" s="37"/>
      <c r="I123" s="37"/>
      <c r="J123" s="37"/>
      <c r="K123" s="37"/>
      <c r="L123" s="37">
        <f ca="1">+L120-L122</f>
        <v>669.27188640523968</v>
      </c>
      <c r="M123" s="37">
        <f t="shared" ref="M123:P123" ca="1" si="62">+M120-M122</f>
        <v>949.15837640045856</v>
      </c>
      <c r="N123" s="37">
        <f t="shared" ca="1" si="62"/>
        <v>1290.6939778165101</v>
      </c>
      <c r="O123" s="37">
        <f t="shared" ca="1" si="62"/>
        <v>1665.2012794447251</v>
      </c>
      <c r="P123" s="37">
        <f t="shared" ca="1" si="62"/>
        <v>2004.3027615773999</v>
      </c>
      <c r="Q123" s="37"/>
      <c r="R123" s="37"/>
      <c r="S123" s="37"/>
      <c r="T123" s="37"/>
      <c r="U123" s="37"/>
      <c r="V123" s="37"/>
    </row>
    <row r="124" spans="1:22" x14ac:dyDescent="0.2"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spans="1:22" x14ac:dyDescent="0.2">
      <c r="B125" t="s">
        <v>128</v>
      </c>
      <c r="C125" s="37"/>
      <c r="D125" s="37"/>
      <c r="E125" s="37"/>
      <c r="F125" s="37"/>
      <c r="G125" s="37"/>
      <c r="H125" s="37"/>
      <c r="I125" s="37"/>
      <c r="J125" s="37"/>
      <c r="K125" s="37"/>
      <c r="L125" s="37">
        <f ca="1">+L123*$O$16*-1</f>
        <v>-66.927188640523966</v>
      </c>
      <c r="M125" s="37">
        <f t="shared" ref="M125:P125" ca="1" si="63">+M123*$O$16*-1</f>
        <v>-94.915837640045865</v>
      </c>
      <c r="N125" s="37">
        <f t="shared" ca="1" si="63"/>
        <v>-129.06939778165102</v>
      </c>
      <c r="O125" s="37">
        <f t="shared" ca="1" si="63"/>
        <v>-166.52012794447251</v>
      </c>
      <c r="P125" s="37">
        <f t="shared" ca="1" si="63"/>
        <v>-200.43027615774</v>
      </c>
      <c r="Q125" s="37"/>
      <c r="R125" s="37"/>
      <c r="S125" s="37"/>
      <c r="T125" s="37"/>
      <c r="U125" s="37"/>
      <c r="V125" s="37"/>
    </row>
    <row r="126" spans="1:22" x14ac:dyDescent="0.2">
      <c r="B126" t="s">
        <v>129</v>
      </c>
      <c r="C126" s="37"/>
      <c r="D126" s="37"/>
      <c r="E126" s="37"/>
      <c r="F126" s="37"/>
      <c r="G126" s="37"/>
      <c r="H126" s="37"/>
      <c r="I126" s="37"/>
      <c r="J126" s="37"/>
      <c r="K126" s="37"/>
      <c r="L126" s="37">
        <f ca="1">+L125+L123</f>
        <v>602.34469776471576</v>
      </c>
      <c r="M126" s="37">
        <f t="shared" ref="M126:P126" ca="1" si="64">+M125+M123</f>
        <v>854.24253876041269</v>
      </c>
      <c r="N126" s="37">
        <f t="shared" ca="1" si="64"/>
        <v>1161.624580034859</v>
      </c>
      <c r="O126" s="37">
        <f t="shared" ca="1" si="64"/>
        <v>1498.6811515002526</v>
      </c>
      <c r="P126" s="37">
        <f t="shared" ca="1" si="64"/>
        <v>1803.8724854196598</v>
      </c>
      <c r="Q126" s="37"/>
      <c r="R126" s="37"/>
      <c r="S126" s="37"/>
      <c r="T126" s="37"/>
      <c r="U126" s="37"/>
      <c r="V126" s="37"/>
    </row>
    <row r="127" spans="1:22" x14ac:dyDescent="0.2"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spans="1:22" x14ac:dyDescent="0.2">
      <c r="B128" t="s">
        <v>130</v>
      </c>
      <c r="C128" s="37"/>
      <c r="D128" s="37"/>
      <c r="E128" s="37"/>
      <c r="F128" s="37"/>
      <c r="G128" s="37"/>
      <c r="H128" s="37"/>
      <c r="I128" s="37"/>
      <c r="J128" s="37"/>
      <c r="K128" s="37"/>
      <c r="L128" s="57">
        <f ca="1">+L126/$J$12</f>
        <v>1.2927530242976089</v>
      </c>
      <c r="M128" s="57">
        <f t="shared" ref="M128:P128" ca="1" si="65">+M126/$J$12</f>
        <v>1.8333765193987901</v>
      </c>
      <c r="N128" s="57">
        <f t="shared" ca="1" si="65"/>
        <v>2.493080281956904</v>
      </c>
      <c r="O128" s="57">
        <f t="shared" ca="1" si="65"/>
        <v>3.2164715622956463</v>
      </c>
      <c r="P128" s="57">
        <f t="shared" ca="1" si="65"/>
        <v>3.8714736256953093</v>
      </c>
      <c r="Q128" s="37"/>
      <c r="R128" s="37"/>
      <c r="S128" s="37"/>
      <c r="T128" s="37"/>
      <c r="U128" s="37"/>
      <c r="V128" s="37"/>
    </row>
    <row r="129" spans="1:22" x14ac:dyDescent="0.2">
      <c r="B129" t="s">
        <v>131</v>
      </c>
      <c r="C129" s="37"/>
      <c r="D129" s="37"/>
      <c r="E129" s="37"/>
      <c r="F129" s="37"/>
      <c r="G129" s="37"/>
      <c r="H129" s="37"/>
      <c r="I129" s="37"/>
      <c r="J129" s="37"/>
      <c r="K129" s="37"/>
      <c r="L129" s="40">
        <f ca="1">+L128^(1/L102)-1</f>
        <v>0.29275302429760885</v>
      </c>
      <c r="M129" s="40">
        <f t="shared" ref="M129:P129" ca="1" si="66">+M128^(1/M102)-1</f>
        <v>0.35402234819030598</v>
      </c>
      <c r="N129" s="40">
        <f t="shared" ca="1" si="66"/>
        <v>0.35595545089734615</v>
      </c>
      <c r="O129" s="40">
        <f t="shared" ca="1" si="66"/>
        <v>0.33919842229688912</v>
      </c>
      <c r="P129" s="40">
        <f t="shared" ca="1" si="66"/>
        <v>0.31091719788540906</v>
      </c>
      <c r="Q129" s="37"/>
      <c r="R129" s="37"/>
      <c r="S129" s="37"/>
      <c r="T129" s="37"/>
      <c r="U129" s="37"/>
      <c r="V129" s="37"/>
    </row>
    <row r="130" spans="1:22" x14ac:dyDescent="0.2">
      <c r="B130" t="s">
        <v>132</v>
      </c>
      <c r="C130" s="37"/>
      <c r="D130" s="37"/>
      <c r="E130" s="37"/>
      <c r="F130" s="37"/>
      <c r="G130" s="37"/>
      <c r="H130" s="37"/>
      <c r="I130" s="37"/>
      <c r="J130" s="37"/>
      <c r="K130" s="37"/>
      <c r="L130" s="37">
        <f ca="1">+L126-$J$12</f>
        <v>136.40519776471569</v>
      </c>
      <c r="M130" s="37">
        <f t="shared" ref="M130:P130" ca="1" si="67">+M126-$J$12</f>
        <v>388.30303876041262</v>
      </c>
      <c r="N130" s="37">
        <f t="shared" ca="1" si="67"/>
        <v>695.68508003485897</v>
      </c>
      <c r="O130" s="37">
        <f t="shared" ca="1" si="67"/>
        <v>1032.7416515002524</v>
      </c>
      <c r="P130" s="37">
        <f t="shared" ca="1" si="67"/>
        <v>1337.9329854196599</v>
      </c>
      <c r="Q130" s="37"/>
      <c r="R130" s="37"/>
      <c r="S130" s="37"/>
      <c r="T130" s="37"/>
      <c r="U130" s="37"/>
      <c r="V130" s="37"/>
    </row>
    <row r="131" spans="1:22" x14ac:dyDescent="0.2"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spans="1:22" x14ac:dyDescent="0.2">
      <c r="A132" t="s">
        <v>39</v>
      </c>
      <c r="B132" s="52" t="s">
        <v>133</v>
      </c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spans="1:22" x14ac:dyDescent="0.2">
      <c r="C133" s="37"/>
      <c r="D133" s="37"/>
      <c r="E133" s="37"/>
      <c r="F133" s="37"/>
      <c r="G133" s="37"/>
      <c r="H133" s="37"/>
      <c r="I133" s="37"/>
      <c r="J133" s="37"/>
      <c r="K133" s="37"/>
      <c r="L133" s="59" t="s">
        <v>125</v>
      </c>
      <c r="M133" s="59"/>
      <c r="N133" s="59"/>
      <c r="O133" s="59"/>
      <c r="P133" s="59"/>
      <c r="Q133" s="37"/>
      <c r="R133" s="37"/>
      <c r="S133" s="37"/>
      <c r="T133" s="37"/>
      <c r="U133" s="37"/>
      <c r="V133" s="37"/>
    </row>
    <row r="134" spans="1:22" x14ac:dyDescent="0.2">
      <c r="C134" s="37"/>
      <c r="D134" s="37"/>
      <c r="E134" s="37"/>
      <c r="F134" s="37"/>
      <c r="G134" s="37"/>
      <c r="H134" s="37"/>
      <c r="I134" s="37"/>
      <c r="J134" s="37"/>
      <c r="K134" s="58">
        <f ca="1">+P129</f>
        <v>0.31091719788540906</v>
      </c>
      <c r="L134" s="38">
        <v>5</v>
      </c>
      <c r="M134" s="57">
        <f>+L134+1</f>
        <v>6</v>
      </c>
      <c r="N134" s="57">
        <f t="shared" ref="N134:P134" si="68">+M134+1</f>
        <v>7</v>
      </c>
      <c r="O134" s="57">
        <f t="shared" si="68"/>
        <v>8</v>
      </c>
      <c r="P134" s="57">
        <f t="shared" si="68"/>
        <v>9</v>
      </c>
      <c r="Q134" s="37"/>
      <c r="R134" s="37"/>
      <c r="S134" s="37"/>
      <c r="T134" s="37"/>
      <c r="U134" s="37"/>
      <c r="V134" s="37"/>
    </row>
    <row r="135" spans="1:22" x14ac:dyDescent="0.2">
      <c r="C135" s="37"/>
      <c r="D135" s="37"/>
      <c r="E135" s="37"/>
      <c r="F135" s="37"/>
      <c r="G135" s="37"/>
      <c r="H135" s="37"/>
      <c r="I135" s="37"/>
      <c r="J135" s="37"/>
      <c r="K135" s="38">
        <v>5</v>
      </c>
      <c r="L135" s="60">
        <f t="dataTable" ref="L135:P139" dt2D="1" dtr="1" r1="O18" r2="E11" ca="1"/>
        <v>0.71049736925584783</v>
      </c>
      <c r="M135" s="61">
        <v>0.77486306017340101</v>
      </c>
      <c r="N135" s="61">
        <v>0.83105415290107376</v>
      </c>
      <c r="O135" s="61">
        <v>0.88109032655535602</v>
      </c>
      <c r="P135" s="61">
        <v>0.92630774085521583</v>
      </c>
      <c r="Q135" s="37"/>
      <c r="R135" s="37"/>
      <c r="S135" s="37"/>
      <c r="T135" s="37"/>
      <c r="U135" s="37"/>
      <c r="V135" s="37"/>
    </row>
    <row r="136" spans="1:22" x14ac:dyDescent="0.2">
      <c r="C136" s="37"/>
      <c r="D136" s="37"/>
      <c r="E136" s="37"/>
      <c r="F136" s="37"/>
      <c r="G136" s="37"/>
      <c r="H136" s="37"/>
      <c r="I136" s="37"/>
      <c r="J136" s="37"/>
      <c r="K136" s="57">
        <f>+K135+1</f>
        <v>6</v>
      </c>
      <c r="L136" s="62">
        <v>0.43115090978720239</v>
      </c>
      <c r="M136" s="63">
        <v>0.48500484652597309</v>
      </c>
      <c r="N136" s="63">
        <v>0.53201920324148899</v>
      </c>
      <c r="O136" s="63">
        <v>0.57388381919161491</v>
      </c>
      <c r="P136" s="63">
        <v>0.61171664184110086</v>
      </c>
      <c r="Q136" s="37"/>
      <c r="R136" s="37"/>
      <c r="S136" s="37"/>
      <c r="T136" s="37"/>
      <c r="U136" s="37"/>
      <c r="V136" s="37"/>
    </row>
    <row r="137" spans="1:22" x14ac:dyDescent="0.2">
      <c r="C137" s="37"/>
      <c r="D137" s="37"/>
      <c r="E137" s="37"/>
      <c r="F137" s="37"/>
      <c r="G137" s="37"/>
      <c r="H137" s="37"/>
      <c r="I137" s="37" t="s">
        <v>60</v>
      </c>
      <c r="J137" s="37"/>
      <c r="K137" s="57">
        <f t="shared" ref="K137:K139" si="69">+K136+1</f>
        <v>7</v>
      </c>
      <c r="L137" s="62">
        <v>0.3043904713256087</v>
      </c>
      <c r="M137" s="63">
        <v>0.35347443685644797</v>
      </c>
      <c r="N137" s="63">
        <v>0.39632462022693593</v>
      </c>
      <c r="O137" s="63">
        <v>0.43448118761448673</v>
      </c>
      <c r="P137" s="63">
        <v>0.46896306721911851</v>
      </c>
      <c r="Q137" s="37"/>
      <c r="R137" s="37"/>
      <c r="S137" s="37"/>
      <c r="T137" s="37"/>
      <c r="U137" s="37"/>
      <c r="V137" s="37"/>
    </row>
    <row r="138" spans="1:22" x14ac:dyDescent="0.2">
      <c r="C138" s="37"/>
      <c r="D138" s="37"/>
      <c r="E138" s="37"/>
      <c r="F138" s="37"/>
      <c r="G138" s="37"/>
      <c r="H138" s="37"/>
      <c r="I138" s="37"/>
      <c r="J138" s="37"/>
      <c r="K138" s="57">
        <f t="shared" si="69"/>
        <v>8</v>
      </c>
      <c r="L138" s="62">
        <v>0.22460628198383259</v>
      </c>
      <c r="M138" s="63">
        <v>0.27068798363307689</v>
      </c>
      <c r="N138" s="63">
        <v>0.31091719788540906</v>
      </c>
      <c r="O138" s="63">
        <v>0.34673988530066402</v>
      </c>
      <c r="P138" s="63">
        <v>0.37911265044017672</v>
      </c>
      <c r="Q138" s="37"/>
      <c r="R138" s="37"/>
      <c r="S138" s="37"/>
      <c r="T138" s="37"/>
      <c r="U138" s="37"/>
      <c r="V138" s="37"/>
    </row>
    <row r="139" spans="1:22" x14ac:dyDescent="0.2">
      <c r="C139" s="37"/>
      <c r="D139" s="37"/>
      <c r="E139" s="37"/>
      <c r="F139" s="37"/>
      <c r="G139" s="37"/>
      <c r="H139" s="37"/>
      <c r="I139" s="37"/>
      <c r="J139" s="37"/>
      <c r="K139" s="57">
        <f t="shared" si="69"/>
        <v>9</v>
      </c>
      <c r="L139" s="62">
        <v>0.16732625117396194</v>
      </c>
      <c r="M139" s="63">
        <v>0.21125251615015239</v>
      </c>
      <c r="N139" s="63">
        <v>0.24960003939229525</v>
      </c>
      <c r="O139" s="63">
        <v>0.28374714775081511</v>
      </c>
      <c r="P139" s="63">
        <v>0.31460570133362409</v>
      </c>
      <c r="Q139" s="37"/>
      <c r="R139" s="37"/>
      <c r="S139" s="37"/>
      <c r="T139" s="37"/>
      <c r="U139" s="37"/>
      <c r="V139" s="37"/>
    </row>
    <row r="140" spans="1:22" x14ac:dyDescent="0.2"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spans="1:22" x14ac:dyDescent="0.2">
      <c r="A141" t="s">
        <v>39</v>
      </c>
      <c r="B141" s="52" t="s">
        <v>134</v>
      </c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spans="1:22" x14ac:dyDescent="0.2">
      <c r="B142" t="s">
        <v>135</v>
      </c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8">
        <v>5</v>
      </c>
      <c r="Q142" s="37"/>
      <c r="R142" s="37"/>
      <c r="S142" s="37"/>
      <c r="T142" s="37"/>
      <c r="U142" s="37"/>
      <c r="V142" s="37"/>
    </row>
    <row r="143" spans="1:22" x14ac:dyDescent="0.2">
      <c r="B143" t="s">
        <v>136</v>
      </c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>
        <f ca="1">+P126/P142</f>
        <v>360.77449708393198</v>
      </c>
      <c r="Q143" s="37"/>
      <c r="R143" s="37"/>
      <c r="S143" s="37"/>
      <c r="T143" s="37"/>
      <c r="U143" s="37"/>
      <c r="V143" s="37"/>
    </row>
    <row r="144" spans="1:22" x14ac:dyDescent="0.2"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spans="2:22" x14ac:dyDescent="0.2">
      <c r="B145" t="s">
        <v>137</v>
      </c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>
        <f>+SUM(J10:J11)</f>
        <v>567.44999999999993</v>
      </c>
      <c r="Q145" s="37"/>
      <c r="R145" s="37"/>
      <c r="S145" s="37"/>
      <c r="T145" s="37"/>
      <c r="U145" s="37"/>
      <c r="V145" s="37"/>
    </row>
    <row r="146" spans="2:22" x14ac:dyDescent="0.2">
      <c r="B146" t="s">
        <v>138</v>
      </c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>
        <f>+J16</f>
        <v>60.860556040651176</v>
      </c>
      <c r="Q146" s="37"/>
      <c r="R146" s="37"/>
      <c r="S146" s="37"/>
      <c r="T146" s="37"/>
      <c r="U146" s="37"/>
      <c r="V146" s="37"/>
    </row>
    <row r="147" spans="2:22" x14ac:dyDescent="0.2">
      <c r="B147" t="s">
        <v>139</v>
      </c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>
        <f>+J17</f>
        <v>24.589499999999997</v>
      </c>
      <c r="Q147" s="37"/>
      <c r="R147" s="37"/>
      <c r="S147" s="37"/>
      <c r="T147" s="37"/>
      <c r="U147" s="37"/>
      <c r="V147" s="37"/>
    </row>
    <row r="148" spans="2:22" x14ac:dyDescent="0.2"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spans="2:22" x14ac:dyDescent="0.2">
      <c r="B149" t="s">
        <v>140</v>
      </c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>
        <f ca="1">+P143+P145-P146-P147</f>
        <v>842.77444104328072</v>
      </c>
      <c r="Q149" s="37"/>
      <c r="R149" s="37"/>
      <c r="S149" s="37"/>
      <c r="T149" s="37"/>
      <c r="U149" s="37"/>
      <c r="V149" s="37"/>
    </row>
    <row r="150" spans="2:22" x14ac:dyDescent="0.2">
      <c r="B150" t="s">
        <v>141</v>
      </c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>
        <f>+E14</f>
        <v>60.860556040651176</v>
      </c>
      <c r="Q150" s="37"/>
      <c r="R150" s="37"/>
      <c r="S150" s="37"/>
      <c r="T150" s="37"/>
      <c r="U150" s="37"/>
      <c r="V150" s="37"/>
    </row>
    <row r="151" spans="2:22" x14ac:dyDescent="0.2"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spans="2:22" x14ac:dyDescent="0.2">
      <c r="B152" t="s">
        <v>142</v>
      </c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>
        <f ca="1">+P149+P150</f>
        <v>903.63499708393192</v>
      </c>
      <c r="Q152" s="37"/>
      <c r="R152" s="37"/>
      <c r="S152" s="37"/>
      <c r="T152" s="37"/>
      <c r="U152" s="37"/>
      <c r="V152" s="37"/>
    </row>
    <row r="153" spans="2:22" x14ac:dyDescent="0.2">
      <c r="B153" t="s">
        <v>143</v>
      </c>
      <c r="P153" s="57">
        <f ca="1">+P152/E10</f>
        <v>7.1660190093888341</v>
      </c>
    </row>
  </sheetData>
  <dataValidations disablePrompts="1" count="1">
    <dataValidation type="list" allowBlank="1" showInputMessage="1" showErrorMessage="1" sqref="T10:T11" xr:uid="{D47984ED-F497-4408-84F9-A9725EAD4849}">
      <formula1>"0,1"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vDIA</vt:lpstr>
      <vt:lpstr>circ</vt:lpstr>
      <vt:lpstr>Financials!Print_Area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ebetten</dc:creator>
  <cp:keywords>For internal use only</cp:keywords>
  <cp:lastModifiedBy>Danial AZMI</cp:lastModifiedBy>
  <cp:lastPrinted>2009-06-26T16:25:17Z</cp:lastPrinted>
  <dcterms:created xsi:type="dcterms:W3CDTF">2009-06-26T13:13:54Z</dcterms:created>
  <dcterms:modified xsi:type="dcterms:W3CDTF">2022-03-27T11:52:25Z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94101396-a104-4728-98f1-d4067eea7c6e</vt:lpwstr>
  </property>
  <property fmtid="{D5CDD505-2E9C-101B-9397-08002B2CF9AE}" pid="3" name="aliashDocumentMarking">
    <vt:lpwstr>For internal use only</vt:lpwstr>
  </property>
  <property fmtid="{D5CDD505-2E9C-101B-9397-08002B2CF9AE}" pid="4" name="db.comClassification">
    <vt:lpwstr>For internal use only</vt:lpwstr>
  </property>
  <property fmtid="{D5CDD505-2E9C-101B-9397-08002B2CF9AE}" pid="5" name="{A44787D4-0540-4523-9961-78E4036D8C6D}">
    <vt:lpwstr>{7650F4BE-E386-42AD-8F62-BECCAEC2FA25}</vt:lpwstr>
  </property>
</Properties>
</file>