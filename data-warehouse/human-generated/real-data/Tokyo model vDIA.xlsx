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alazmi\Desktop\"/>
    </mc:Choice>
  </mc:AlternateContent>
  <xr:revisionPtr revIDLastSave="0" documentId="13_ncr:1_{1A510B1D-47B5-4CCF-A277-123D6A59C4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del" sheetId="15" r:id="rId1"/>
    <sheet name="RevBuild" sheetId="16" r:id="rId2"/>
  </sheets>
  <definedNames>
    <definedName name="CIQWBGuid" hidden="1">"50a4b029-c69e-4202-9829-f4b900845e90"</definedName>
    <definedName name="circ">Model!$T$6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6" l="1"/>
  <c r="P8" i="16"/>
  <c r="P9" i="16"/>
  <c r="P10" i="16"/>
  <c r="P11" i="16"/>
  <c r="P12" i="16"/>
  <c r="U5" i="15"/>
  <c r="J6" i="15"/>
  <c r="N6" i="15"/>
  <c r="T8" i="15"/>
  <c r="T9" i="15"/>
  <c r="J10" i="15"/>
  <c r="T10" i="15"/>
  <c r="T11" i="15"/>
  <c r="T12" i="15"/>
  <c r="L22" i="15"/>
  <c r="M22" i="15"/>
  <c r="N22" i="15" s="1"/>
  <c r="W22" i="15"/>
  <c r="X22" i="15"/>
  <c r="Y22" i="15"/>
  <c r="Z22" i="15" s="1"/>
  <c r="AA22" i="15" s="1"/>
  <c r="G23" i="15"/>
  <c r="L23" i="15"/>
  <c r="L6" i="16" s="1"/>
  <c r="M23" i="15"/>
  <c r="M6" i="16" s="1"/>
  <c r="W23" i="15"/>
  <c r="X23" i="15"/>
  <c r="Y23" i="15" s="1"/>
  <c r="Z23" i="15" s="1"/>
  <c r="AA23" i="15" s="1"/>
  <c r="G31" i="15"/>
  <c r="G35" i="15"/>
  <c r="G44" i="15"/>
  <c r="J5" i="15" s="1"/>
  <c r="Y51" i="15"/>
  <c r="Z51" i="15"/>
  <c r="AA51" i="15"/>
  <c r="K60" i="15"/>
  <c r="L60" i="15"/>
  <c r="M60" i="15"/>
  <c r="G61" i="15"/>
  <c r="K61" i="15"/>
  <c r="L61" i="15"/>
  <c r="M61" i="15"/>
  <c r="I63" i="15"/>
  <c r="K63" i="15" s="1"/>
  <c r="J63" i="15"/>
  <c r="K64" i="15"/>
  <c r="K65" i="15"/>
  <c r="G66" i="15"/>
  <c r="H66" i="15"/>
  <c r="K68" i="15"/>
  <c r="K69" i="15"/>
  <c r="K70" i="15"/>
  <c r="L70" i="15"/>
  <c r="M70" i="15" s="1"/>
  <c r="N70" i="15" s="1"/>
  <c r="O70" i="15" s="1"/>
  <c r="P70" i="15" s="1"/>
  <c r="G73" i="15"/>
  <c r="H73" i="15"/>
  <c r="G75" i="15"/>
  <c r="H75" i="15"/>
  <c r="K77" i="15"/>
  <c r="K78" i="15"/>
  <c r="I82" i="15"/>
  <c r="K82" i="15" s="1"/>
  <c r="K83" i="15"/>
  <c r="L83" i="15"/>
  <c r="M83" i="15" s="1"/>
  <c r="N83" i="15" s="1"/>
  <c r="O83" i="15" s="1"/>
  <c r="P83" i="15" s="1"/>
  <c r="G84" i="15"/>
  <c r="H84" i="15"/>
  <c r="G86" i="15"/>
  <c r="H86" i="15"/>
  <c r="G88" i="15"/>
  <c r="H88" i="15"/>
  <c r="K90" i="15"/>
  <c r="F94" i="15"/>
  <c r="L104" i="15"/>
  <c r="M104" i="15"/>
  <c r="N104" i="15"/>
  <c r="O104" i="15"/>
  <c r="P104" i="15"/>
  <c r="L106" i="15"/>
  <c r="K109" i="15"/>
  <c r="K114" i="15"/>
  <c r="L122" i="15"/>
  <c r="M122" i="15"/>
  <c r="N122" i="15" s="1"/>
  <c r="O122" i="15" s="1"/>
  <c r="P122" i="15" s="1"/>
  <c r="L142" i="15"/>
  <c r="M142" i="15"/>
  <c r="N142" i="15"/>
  <c r="O142" i="15"/>
  <c r="P142" i="15"/>
  <c r="M145" i="15"/>
  <c r="K151" i="15"/>
  <c r="L149" i="15" s="1"/>
  <c r="I152" i="15"/>
  <c r="L155" i="15"/>
  <c r="L145" i="15" s="1"/>
  <c r="M155" i="15"/>
  <c r="L161" i="15"/>
  <c r="M161" i="15"/>
  <c r="J80" i="15" l="1"/>
  <c r="K80" i="15" s="1"/>
  <c r="Y49" i="15"/>
  <c r="Z49" i="15"/>
  <c r="N161" i="15"/>
  <c r="N155" i="15"/>
  <c r="N145" i="15" s="1"/>
  <c r="O22" i="15"/>
  <c r="N60" i="15"/>
  <c r="K66" i="15"/>
  <c r="L141" i="15"/>
  <c r="L166" i="15" s="1"/>
  <c r="AA49" i="15"/>
  <c r="N8" i="15"/>
  <c r="I71" i="15" s="1"/>
  <c r="K71" i="15" s="1"/>
  <c r="K120" i="15" s="1"/>
  <c r="J81" i="15"/>
  <c r="K81" i="15" s="1"/>
  <c r="K163" i="15" s="1"/>
  <c r="L160" i="15" s="1"/>
  <c r="V36" i="15"/>
  <c r="N23" i="15"/>
  <c r="L111" i="15"/>
  <c r="V37" i="15" l="1"/>
  <c r="K157" i="15"/>
  <c r="L154" i="15" s="1"/>
  <c r="K84" i="15"/>
  <c r="L118" i="15"/>
  <c r="O23" i="15"/>
  <c r="N6" i="16"/>
  <c r="N61" i="15"/>
  <c r="L113" i="15"/>
  <c r="O155" i="15"/>
  <c r="O145" i="15" s="1"/>
  <c r="P22" i="15"/>
  <c r="O60" i="15"/>
  <c r="O161" i="15"/>
  <c r="P60" i="15" l="1"/>
  <c r="P161" i="15"/>
  <c r="O6" i="16"/>
  <c r="O61" i="15"/>
  <c r="P23" i="15"/>
  <c r="L114" i="15"/>
  <c r="L119" i="15"/>
  <c r="P6" i="16" l="1"/>
  <c r="P61" i="15"/>
  <c r="L52" i="15"/>
  <c r="L125" i="15"/>
  <c r="L69" i="15"/>
  <c r="M111" i="15"/>
  <c r="L120" i="15"/>
  <c r="L71" i="15" l="1"/>
  <c r="M118" i="15"/>
  <c r="M113" i="15"/>
  <c r="M119" i="15" l="1"/>
  <c r="M120" i="15" s="1"/>
  <c r="M114" i="15"/>
  <c r="N118" i="15" l="1"/>
  <c r="M71" i="15"/>
  <c r="M69" i="15"/>
  <c r="N111" i="15"/>
  <c r="M52" i="15"/>
  <c r="M125" i="15"/>
  <c r="N113" i="15" l="1"/>
  <c r="N119" i="15"/>
  <c r="N52" i="15" l="1"/>
  <c r="N125" i="15"/>
  <c r="N120" i="15"/>
  <c r="N114" i="15"/>
  <c r="N69" i="15" l="1"/>
  <c r="O111" i="15"/>
  <c r="N71" i="15"/>
  <c r="O118" i="15"/>
  <c r="O113" i="15" l="1"/>
  <c r="O114" i="15" s="1"/>
  <c r="O119" i="15"/>
  <c r="O120" i="15" s="1"/>
  <c r="O71" i="15" l="1"/>
  <c r="P118" i="15"/>
  <c r="O69" i="15"/>
  <c r="P111" i="15"/>
  <c r="O125" i="15"/>
  <c r="O52" i="15"/>
  <c r="P119" i="15" l="1"/>
  <c r="P113" i="15"/>
  <c r="P52" i="15" l="1"/>
  <c r="P125" i="15"/>
  <c r="P114" i="15"/>
  <c r="P69" i="15" s="1"/>
  <c r="P120" i="15"/>
  <c r="P71" i="15" s="1"/>
  <c r="F5" i="15" l="1"/>
  <c r="N5" i="15"/>
  <c r="F7" i="15"/>
  <c r="J7" i="15"/>
  <c r="N7" i="15"/>
  <c r="J8" i="15"/>
  <c r="J9" i="15"/>
  <c r="J11" i="15"/>
  <c r="N11" i="15"/>
  <c r="L19" i="15"/>
  <c r="K25" i="15"/>
  <c r="L25" i="15"/>
  <c r="M25" i="15"/>
  <c r="N25" i="15"/>
  <c r="O25" i="15"/>
  <c r="P25" i="15"/>
  <c r="Q25" i="15"/>
  <c r="Y25" i="15"/>
  <c r="Z25" i="15"/>
  <c r="AA25" i="15"/>
  <c r="K26" i="15"/>
  <c r="L26" i="15"/>
  <c r="M26" i="15"/>
  <c r="N26" i="15"/>
  <c r="O26" i="15"/>
  <c r="P26" i="15"/>
  <c r="Y27" i="15"/>
  <c r="Z27" i="15"/>
  <c r="AA27" i="15"/>
  <c r="K28" i="15"/>
  <c r="L28" i="15"/>
  <c r="M28" i="15"/>
  <c r="N28" i="15"/>
  <c r="O28" i="15"/>
  <c r="P28" i="15"/>
  <c r="Y29" i="15"/>
  <c r="Z29" i="15"/>
  <c r="AA29" i="15"/>
  <c r="K30" i="15"/>
  <c r="L30" i="15"/>
  <c r="M30" i="15"/>
  <c r="N30" i="15"/>
  <c r="O30" i="15"/>
  <c r="P30" i="15"/>
  <c r="Y30" i="15"/>
  <c r="Z30" i="15"/>
  <c r="AA30" i="15"/>
  <c r="K31" i="15"/>
  <c r="L31" i="15"/>
  <c r="M31" i="15"/>
  <c r="N31" i="15"/>
  <c r="O31" i="15"/>
  <c r="P31" i="15"/>
  <c r="Y32" i="15"/>
  <c r="Z32" i="15"/>
  <c r="AA32" i="15"/>
  <c r="K33" i="15"/>
  <c r="L33" i="15"/>
  <c r="M33" i="15"/>
  <c r="N33" i="15"/>
  <c r="O33" i="15"/>
  <c r="P33" i="15"/>
  <c r="Y33" i="15"/>
  <c r="Z33" i="15"/>
  <c r="AA33" i="15"/>
  <c r="K35" i="15"/>
  <c r="L35" i="15"/>
  <c r="M35" i="15"/>
  <c r="N35" i="15"/>
  <c r="O35" i="15"/>
  <c r="P35" i="15"/>
  <c r="Q35" i="15"/>
  <c r="W36" i="15"/>
  <c r="X36" i="15"/>
  <c r="Y36" i="15"/>
  <c r="Z36" i="15"/>
  <c r="AA36" i="15"/>
  <c r="K37" i="15"/>
  <c r="L37" i="15"/>
  <c r="M37" i="15"/>
  <c r="N37" i="15"/>
  <c r="O37" i="15"/>
  <c r="P37" i="15"/>
  <c r="W37" i="15"/>
  <c r="X37" i="15"/>
  <c r="Y37" i="15"/>
  <c r="Z37" i="15"/>
  <c r="AA37" i="15"/>
  <c r="K38" i="15"/>
  <c r="L38" i="15"/>
  <c r="M38" i="15"/>
  <c r="N38" i="15"/>
  <c r="O38" i="15"/>
  <c r="P38" i="15"/>
  <c r="V39" i="15"/>
  <c r="W39" i="15"/>
  <c r="X39" i="15"/>
  <c r="Y39" i="15"/>
  <c r="Z39" i="15"/>
  <c r="AA39" i="15"/>
  <c r="K40" i="15"/>
  <c r="L40" i="15"/>
  <c r="M40" i="15"/>
  <c r="N40" i="15"/>
  <c r="O40" i="15"/>
  <c r="P40" i="15"/>
  <c r="V40" i="15"/>
  <c r="W40" i="15"/>
  <c r="X40" i="15"/>
  <c r="Y40" i="15"/>
  <c r="Z40" i="15"/>
  <c r="AA40" i="15"/>
  <c r="W42" i="15"/>
  <c r="X42" i="15"/>
  <c r="Y42" i="15"/>
  <c r="Z42" i="15"/>
  <c r="AA42" i="15"/>
  <c r="K44" i="15"/>
  <c r="L44" i="15"/>
  <c r="M44" i="15"/>
  <c r="N44" i="15"/>
  <c r="O44" i="15"/>
  <c r="P44" i="15"/>
  <c r="Q44" i="15"/>
  <c r="K45" i="15"/>
  <c r="L45" i="15"/>
  <c r="M45" i="15"/>
  <c r="N45" i="15"/>
  <c r="O45" i="15"/>
  <c r="P45" i="15"/>
  <c r="Y46" i="15"/>
  <c r="Z46" i="15"/>
  <c r="AA46" i="15"/>
  <c r="L47" i="15"/>
  <c r="M47" i="15"/>
  <c r="N47" i="15"/>
  <c r="O47" i="15"/>
  <c r="P47" i="15"/>
  <c r="Y48" i="15"/>
  <c r="Z48" i="15"/>
  <c r="AA48" i="15"/>
  <c r="K50" i="15"/>
  <c r="L50" i="15"/>
  <c r="M50" i="15"/>
  <c r="N50" i="15"/>
  <c r="O50" i="15"/>
  <c r="P50" i="15"/>
  <c r="Y50" i="15"/>
  <c r="Z50" i="15"/>
  <c r="AA50" i="15"/>
  <c r="Y52" i="15"/>
  <c r="Z52" i="15"/>
  <c r="AA52" i="15"/>
  <c r="L53" i="15"/>
  <c r="M53" i="15"/>
  <c r="N53" i="15"/>
  <c r="O53" i="15"/>
  <c r="P53" i="15"/>
  <c r="Y54" i="15"/>
  <c r="Z54" i="15"/>
  <c r="AA54" i="15"/>
  <c r="L55" i="15"/>
  <c r="M55" i="15"/>
  <c r="N55" i="15"/>
  <c r="O55" i="15"/>
  <c r="P55" i="15"/>
  <c r="Y55" i="15"/>
  <c r="Z55" i="15"/>
  <c r="AA55" i="15"/>
  <c r="L58" i="15"/>
  <c r="M58" i="15"/>
  <c r="N58" i="15"/>
  <c r="O58" i="15"/>
  <c r="P58" i="15"/>
  <c r="L63" i="15"/>
  <c r="M63" i="15"/>
  <c r="N63" i="15"/>
  <c r="O63" i="15"/>
  <c r="P63" i="15"/>
  <c r="L64" i="15"/>
  <c r="M64" i="15"/>
  <c r="N64" i="15"/>
  <c r="O64" i="15"/>
  <c r="P64" i="15"/>
  <c r="L65" i="15"/>
  <c r="M65" i="15"/>
  <c r="N65" i="15"/>
  <c r="O65" i="15"/>
  <c r="P65" i="15"/>
  <c r="L66" i="15"/>
  <c r="M66" i="15"/>
  <c r="N66" i="15"/>
  <c r="O66" i="15"/>
  <c r="P66" i="15"/>
  <c r="L68" i="15"/>
  <c r="M68" i="15"/>
  <c r="N68" i="15"/>
  <c r="O68" i="15"/>
  <c r="P68" i="15"/>
  <c r="I72" i="15"/>
  <c r="K72" i="15"/>
  <c r="L72" i="15"/>
  <c r="M72" i="15"/>
  <c r="N72" i="15"/>
  <c r="O72" i="15"/>
  <c r="P72" i="15"/>
  <c r="K73" i="15"/>
  <c r="L73" i="15"/>
  <c r="M73" i="15"/>
  <c r="N73" i="15"/>
  <c r="O73" i="15"/>
  <c r="P73" i="15"/>
  <c r="K75" i="15"/>
  <c r="L75" i="15"/>
  <c r="M75" i="15"/>
  <c r="N75" i="15"/>
  <c r="O75" i="15"/>
  <c r="P75" i="15"/>
  <c r="L77" i="15"/>
  <c r="M77" i="15"/>
  <c r="N77" i="15"/>
  <c r="O77" i="15"/>
  <c r="P77" i="15"/>
  <c r="L78" i="15"/>
  <c r="M78" i="15"/>
  <c r="N78" i="15"/>
  <c r="O78" i="15"/>
  <c r="P78" i="15"/>
  <c r="L80" i="15"/>
  <c r="M80" i="15"/>
  <c r="N80" i="15"/>
  <c r="O80" i="15"/>
  <c r="P80" i="15"/>
  <c r="L81" i="15"/>
  <c r="M81" i="15"/>
  <c r="N81" i="15"/>
  <c r="O81" i="15"/>
  <c r="P81" i="15"/>
  <c r="L84" i="15"/>
  <c r="M84" i="15"/>
  <c r="N84" i="15"/>
  <c r="O84" i="15"/>
  <c r="P84" i="15"/>
  <c r="I86" i="15"/>
  <c r="J86" i="15"/>
  <c r="K86" i="15"/>
  <c r="L86" i="15"/>
  <c r="M86" i="15"/>
  <c r="N86" i="15"/>
  <c r="O86" i="15"/>
  <c r="P86" i="15"/>
  <c r="K88" i="15"/>
  <c r="L88" i="15"/>
  <c r="M88" i="15"/>
  <c r="N88" i="15"/>
  <c r="O88" i="15"/>
  <c r="P88" i="15"/>
  <c r="L90" i="15"/>
  <c r="M90" i="15"/>
  <c r="N90" i="15"/>
  <c r="O90" i="15"/>
  <c r="P90" i="15"/>
  <c r="F93" i="15"/>
  <c r="F95" i="15"/>
  <c r="M106" i="15"/>
  <c r="N106" i="15"/>
  <c r="O106" i="15"/>
  <c r="P106" i="15"/>
  <c r="L107" i="15"/>
  <c r="M107" i="15"/>
  <c r="N107" i="15"/>
  <c r="O107" i="15"/>
  <c r="P107" i="15"/>
  <c r="L108" i="15"/>
  <c r="M108" i="15"/>
  <c r="N108" i="15"/>
  <c r="O108" i="15"/>
  <c r="P108" i="15"/>
  <c r="L109" i="15"/>
  <c r="M109" i="15"/>
  <c r="N109" i="15"/>
  <c r="O109" i="15"/>
  <c r="P109" i="15"/>
  <c r="L116" i="15"/>
  <c r="M116" i="15"/>
  <c r="N116" i="15"/>
  <c r="O116" i="15"/>
  <c r="P116" i="15"/>
  <c r="L123" i="15"/>
  <c r="M123" i="15"/>
  <c r="N123" i="15"/>
  <c r="O123" i="15"/>
  <c r="P123" i="15"/>
  <c r="L124" i="15"/>
  <c r="M124" i="15"/>
  <c r="N124" i="15"/>
  <c r="O124" i="15"/>
  <c r="P124" i="15"/>
  <c r="L126" i="15"/>
  <c r="M126" i="15"/>
  <c r="N126" i="15"/>
  <c r="O126" i="15"/>
  <c r="P126" i="15"/>
  <c r="L127" i="15"/>
  <c r="M127" i="15"/>
  <c r="N127" i="15"/>
  <c r="O127" i="15"/>
  <c r="P127" i="15"/>
  <c r="L129" i="15"/>
  <c r="M129" i="15"/>
  <c r="N129" i="15"/>
  <c r="O129" i="15"/>
  <c r="P129" i="15"/>
  <c r="L130" i="15"/>
  <c r="M130" i="15"/>
  <c r="N130" i="15"/>
  <c r="O130" i="15"/>
  <c r="P130" i="15"/>
  <c r="L132" i="15"/>
  <c r="M132" i="15"/>
  <c r="N132" i="15"/>
  <c r="O132" i="15"/>
  <c r="P132" i="15"/>
  <c r="L133" i="15"/>
  <c r="M133" i="15"/>
  <c r="N133" i="15"/>
  <c r="O133" i="15"/>
  <c r="P133" i="15"/>
  <c r="L135" i="15"/>
  <c r="M135" i="15"/>
  <c r="N135" i="15"/>
  <c r="O135" i="15"/>
  <c r="P135" i="15"/>
  <c r="L136" i="15"/>
  <c r="M136" i="15"/>
  <c r="N136" i="15"/>
  <c r="O136" i="15"/>
  <c r="P136" i="15"/>
  <c r="L137" i="15"/>
  <c r="M137" i="15"/>
  <c r="N137" i="15"/>
  <c r="O137" i="15"/>
  <c r="P137" i="15"/>
  <c r="L140" i="15"/>
  <c r="M140" i="15"/>
  <c r="N140" i="15"/>
  <c r="O140" i="15"/>
  <c r="P140" i="15"/>
  <c r="M141" i="15"/>
  <c r="N141" i="15"/>
  <c r="O141" i="15"/>
  <c r="P141" i="15"/>
  <c r="L143" i="15"/>
  <c r="M143" i="15"/>
  <c r="N143" i="15"/>
  <c r="O143" i="15"/>
  <c r="P143" i="15"/>
  <c r="P145" i="15"/>
  <c r="L147" i="15"/>
  <c r="M147" i="15"/>
  <c r="N147" i="15"/>
  <c r="O147" i="15"/>
  <c r="P147" i="15"/>
  <c r="M149" i="15"/>
  <c r="N149" i="15"/>
  <c r="O149" i="15"/>
  <c r="P149" i="15"/>
  <c r="L150" i="15"/>
  <c r="M150" i="15"/>
  <c r="N150" i="15"/>
  <c r="O150" i="15"/>
  <c r="P150" i="15"/>
  <c r="L151" i="15"/>
  <c r="M151" i="15"/>
  <c r="N151" i="15"/>
  <c r="O151" i="15"/>
  <c r="P151" i="15"/>
  <c r="L152" i="15"/>
  <c r="M152" i="15"/>
  <c r="N152" i="15"/>
  <c r="O152" i="15"/>
  <c r="P152" i="15"/>
  <c r="M154" i="15"/>
  <c r="N154" i="15"/>
  <c r="O154" i="15"/>
  <c r="P154" i="15"/>
  <c r="P155" i="15"/>
  <c r="L156" i="15"/>
  <c r="M156" i="15"/>
  <c r="N156" i="15"/>
  <c r="O156" i="15"/>
  <c r="P156" i="15"/>
  <c r="L157" i="15"/>
  <c r="M157" i="15"/>
  <c r="N157" i="15"/>
  <c r="O157" i="15"/>
  <c r="P157" i="15"/>
  <c r="L158" i="15"/>
  <c r="M158" i="15"/>
  <c r="N158" i="15"/>
  <c r="O158" i="15"/>
  <c r="P158" i="15"/>
  <c r="M160" i="15"/>
  <c r="N160" i="15"/>
  <c r="O160" i="15"/>
  <c r="P160" i="15"/>
  <c r="L162" i="15"/>
  <c r="M162" i="15"/>
  <c r="N162" i="15"/>
  <c r="O162" i="15"/>
  <c r="P162" i="15"/>
  <c r="L163" i="15"/>
  <c r="M163" i="15"/>
  <c r="N163" i="15"/>
  <c r="O163" i="15"/>
  <c r="P163" i="15"/>
  <c r="L164" i="15"/>
  <c r="M164" i="15"/>
  <c r="N164" i="15"/>
  <c r="O164" i="15"/>
  <c r="P164" i="15"/>
  <c r="M166" i="15"/>
  <c r="N166" i="15"/>
  <c r="O166" i="15"/>
  <c r="P166" i="15"/>
  <c r="L167" i="15"/>
  <c r="M167" i="15"/>
  <c r="N167" i="15"/>
  <c r="O167" i="15"/>
  <c r="P167" i="15"/>
  <c r="L168" i="15"/>
  <c r="M168" i="15"/>
  <c r="N168" i="15"/>
  <c r="O168" i="15"/>
  <c r="P168" i="15"/>
  <c r="L171" i="15"/>
  <c r="M171" i="15"/>
  <c r="N171" i="15"/>
  <c r="O171" i="15"/>
  <c r="P171" i="15"/>
  <c r="K7" i="16"/>
  <c r="P7" i="16"/>
  <c r="K13" i="16"/>
  <c r="L13" i="16"/>
  <c r="M13" i="16"/>
  <c r="N13" i="16"/>
  <c r="O13" i="16"/>
  <c r="P1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I108" authorId="0" shapeId="0" xr:uid="{74428C86-CAA0-4CFF-AE07-A498E3F77E2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Equals to maintenace capex
</t>
        </r>
      </text>
    </comment>
    <comment ref="I113" authorId="0" shapeId="0" xr:uid="{CF00CB38-7FB2-4E3B-9DC4-06BE9CDA12A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Assumption to solve for c.139 in amortization of intangibles from '15 to '16
</t>
        </r>
      </text>
    </comment>
    <comment ref="I152" authorId="0" shapeId="0" xr:uid="{D44E7757-D374-41CE-910B-8CB39ED6EF2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Assume same package as 1L
</t>
        </r>
      </text>
    </comment>
  </commentList>
</comments>
</file>

<file path=xl/sharedStrings.xml><?xml version="1.0" encoding="utf-8"?>
<sst xmlns="http://schemas.openxmlformats.org/spreadsheetml/2006/main" count="207" uniqueCount="172">
  <si>
    <t>unless otherwise stated, in HKDm</t>
  </si>
  <si>
    <t>x</t>
  </si>
  <si>
    <t>Income statement</t>
  </si>
  <si>
    <t>Year</t>
  </si>
  <si>
    <t>Dec year end, assume txn close on 31 Dec 2017</t>
  </si>
  <si>
    <t>Revenue</t>
  </si>
  <si>
    <t>Balance Sheet</t>
  </si>
  <si>
    <t>Cash and equivalents</t>
  </si>
  <si>
    <t>Debit</t>
  </si>
  <si>
    <t>Credit</t>
  </si>
  <si>
    <t>PF</t>
  </si>
  <si>
    <t>Inventories</t>
  </si>
  <si>
    <t>Trade receivables</t>
  </si>
  <si>
    <t>PPE</t>
  </si>
  <si>
    <t>Current assets</t>
  </si>
  <si>
    <t>Intangible assets</t>
  </si>
  <si>
    <t>Other assets</t>
  </si>
  <si>
    <t>Non current assets</t>
  </si>
  <si>
    <t>Total assets</t>
  </si>
  <si>
    <t>Accounts payables</t>
  </si>
  <si>
    <t xml:space="preserve">Total borrowings </t>
  </si>
  <si>
    <t>Other liabilities</t>
  </si>
  <si>
    <t xml:space="preserve">Total liabilities </t>
  </si>
  <si>
    <t>Total equity</t>
  </si>
  <si>
    <t>CHECK</t>
  </si>
  <si>
    <t>Transaction assumptions</t>
  </si>
  <si>
    <t>YoY %</t>
  </si>
  <si>
    <t>Memo: mgmt. projections</t>
  </si>
  <si>
    <t>COGS</t>
  </si>
  <si>
    <t>Investment year count</t>
  </si>
  <si>
    <t>Gross profit</t>
  </si>
  <si>
    <t>SG&amp;A</t>
  </si>
  <si>
    <t>Other income / (losses)</t>
  </si>
  <si>
    <t>EBITDA</t>
  </si>
  <si>
    <t>EBIT</t>
  </si>
  <si>
    <t>% of sales</t>
  </si>
  <si>
    <t>FY17 EBITDA</t>
  </si>
  <si>
    <t>Revenue case</t>
  </si>
  <si>
    <t>2017 revenue</t>
  </si>
  <si>
    <t>Growth of top 50 customers (excl e-comm)</t>
  </si>
  <si>
    <t>Expansion of wallet share of top 50 customers (excl e-comm)</t>
  </si>
  <si>
    <t>E-Commerce</t>
  </si>
  <si>
    <t>Cross-selling</t>
  </si>
  <si>
    <t>Revenue growth from other customers and new customers</t>
  </si>
  <si>
    <t>Total</t>
  </si>
  <si>
    <t>Switch</t>
  </si>
  <si>
    <t>&lt;&lt; linear interpolation in years in between</t>
  </si>
  <si>
    <t>&lt;&lt; lack of evidence for ability to cross sell</t>
  </si>
  <si>
    <t>&lt;&lt; lack of evidence on other customers and new customers</t>
  </si>
  <si>
    <t>EBITDA multiple</t>
  </si>
  <si>
    <t>Purchase EV</t>
  </si>
  <si>
    <t>Discounted mgmt base case</t>
  </si>
  <si>
    <t>Adj. mgmt. projections</t>
  </si>
  <si>
    <t>% margin</t>
  </si>
  <si>
    <t>Switches</t>
  </si>
  <si>
    <t>Circularity</t>
  </si>
  <si>
    <t>Entry assumptions</t>
  </si>
  <si>
    <t>Quantum, FY16 EBITDA</t>
  </si>
  <si>
    <t>Cash interest</t>
  </si>
  <si>
    <t>Maturity (years)</t>
  </si>
  <si>
    <t>Sweep</t>
  </si>
  <si>
    <t>1L TL assumptions</t>
  </si>
  <si>
    <t>2L assumptions</t>
  </si>
  <si>
    <t>Sources</t>
  </si>
  <si>
    <t>Uses</t>
  </si>
  <si>
    <t>M&amp;A fees</t>
  </si>
  <si>
    <t>Financing fees</t>
  </si>
  <si>
    <t>Minimum cash</t>
  </si>
  <si>
    <t>Refi existing debt</t>
  </si>
  <si>
    <t>2L debt</t>
  </si>
  <si>
    <t>1L debt</t>
  </si>
  <si>
    <t xml:space="preserve">Sponsor equity </t>
  </si>
  <si>
    <t>Mgmt roll</t>
  </si>
  <si>
    <t xml:space="preserve">Mgmt roll </t>
  </si>
  <si>
    <t>M&amp;A fees % of EV</t>
  </si>
  <si>
    <t>Financing fees % of debt load</t>
  </si>
  <si>
    <t>Depreciation</t>
  </si>
  <si>
    <t>Deferred financing fees</t>
  </si>
  <si>
    <t>Cash on BS</t>
  </si>
  <si>
    <t>Revolver</t>
  </si>
  <si>
    <t>Goodwill</t>
  </si>
  <si>
    <t>Goodwill calcs</t>
  </si>
  <si>
    <t>Purchase price</t>
  </si>
  <si>
    <t>Net identifiable assets</t>
  </si>
  <si>
    <t>Balance Sheet Calcs</t>
  </si>
  <si>
    <t>Inventory days</t>
  </si>
  <si>
    <t>NWC</t>
  </si>
  <si>
    <t>Receivable days</t>
  </si>
  <si>
    <t>Payable days</t>
  </si>
  <si>
    <t>Maintenance capex % of revenue</t>
  </si>
  <si>
    <t>Growth capex % of revenue</t>
  </si>
  <si>
    <t>BoP PPE</t>
  </si>
  <si>
    <t>Total capex % of revenue</t>
  </si>
  <si>
    <t>Capex</t>
  </si>
  <si>
    <t>EoP PPE</t>
  </si>
  <si>
    <t xml:space="preserve">% of revenue </t>
  </si>
  <si>
    <t>BoP Intangibles</t>
  </si>
  <si>
    <t>Addition</t>
  </si>
  <si>
    <t>Amortization</t>
  </si>
  <si>
    <t>EoP Intangibles</t>
  </si>
  <si>
    <t>Useful life (years)</t>
  </si>
  <si>
    <t>BoP deferred financing fees</t>
  </si>
  <si>
    <t>EoP deferred financing fees</t>
  </si>
  <si>
    <t>D&amp;A (excl. DFF)</t>
  </si>
  <si>
    <t>Depreciation &amp; amortization</t>
  </si>
  <si>
    <t>Amortization of DFF</t>
  </si>
  <si>
    <t>Net interest expense</t>
  </si>
  <si>
    <t>PBT</t>
  </si>
  <si>
    <t>Tax rate</t>
  </si>
  <si>
    <t>Net income</t>
  </si>
  <si>
    <t>CFS</t>
  </si>
  <si>
    <t>(+) D&amp;A</t>
  </si>
  <si>
    <t>(+) Amort DFF</t>
  </si>
  <si>
    <t>Chg in NWC</t>
  </si>
  <si>
    <t>CFO</t>
  </si>
  <si>
    <t>CFF</t>
  </si>
  <si>
    <t>(Repayment) / drawdon of debt</t>
  </si>
  <si>
    <t>CFI</t>
  </si>
  <si>
    <t>Net cash flows</t>
  </si>
  <si>
    <t>Debt schedule</t>
  </si>
  <si>
    <t>FCF</t>
  </si>
  <si>
    <t>BoP cash</t>
  </si>
  <si>
    <t>Min cash</t>
  </si>
  <si>
    <t>CFADS</t>
  </si>
  <si>
    <t>Mandatory repayments</t>
  </si>
  <si>
    <t>Excess cash / (revolver needed)</t>
  </si>
  <si>
    <t>BoP 1L</t>
  </si>
  <si>
    <t>BoP revolver</t>
  </si>
  <si>
    <t>Issuance / (paydown)</t>
  </si>
  <si>
    <t>EoP revolver</t>
  </si>
  <si>
    <t>Rate</t>
  </si>
  <si>
    <t>Mandatory repayment</t>
  </si>
  <si>
    <t>EoP 1L</t>
  </si>
  <si>
    <t>BoP 2L</t>
  </si>
  <si>
    <t>EoP 2L</t>
  </si>
  <si>
    <t>Net cash flow</t>
  </si>
  <si>
    <t>EoP cash</t>
  </si>
  <si>
    <t>Assume no cash interest</t>
  </si>
  <si>
    <t>Total interest</t>
  </si>
  <si>
    <t>Adjsutments to mgmt. case</t>
  </si>
  <si>
    <t>Growth of customers</t>
  </si>
  <si>
    <t>Expansion of SoW</t>
  </si>
  <si>
    <t>E-commerce</t>
  </si>
  <si>
    <t>Cross selling</t>
  </si>
  <si>
    <t>Growth from other customers</t>
  </si>
  <si>
    <t>Exit multiple</t>
  </si>
  <si>
    <t>Exit EV</t>
  </si>
  <si>
    <t>Credit metrics</t>
  </si>
  <si>
    <t>Total debt</t>
  </si>
  <si>
    <t>Net debt</t>
  </si>
  <si>
    <t>Debt / EBITDA</t>
  </si>
  <si>
    <t>ND / EBITDA</t>
  </si>
  <si>
    <t>EBIT / interest</t>
  </si>
  <si>
    <t>(-) net debt</t>
  </si>
  <si>
    <t>Exit EqV</t>
  </si>
  <si>
    <t>MOIC</t>
  </si>
  <si>
    <t>IRR</t>
  </si>
  <si>
    <t>IRR target</t>
  </si>
  <si>
    <t>Ability to pay analysis</t>
  </si>
  <si>
    <t>Required entry sponsor equity</t>
  </si>
  <si>
    <t>(+) acquisition ND</t>
  </si>
  <si>
    <t>(-) fees</t>
  </si>
  <si>
    <t>(-) in place ND</t>
  </si>
  <si>
    <t>Entry EBITDA</t>
  </si>
  <si>
    <t>&lt;&lt; Avery trading price</t>
  </si>
  <si>
    <t>Entry multiple</t>
  </si>
  <si>
    <t>HKD/USD</t>
  </si>
  <si>
    <t>PG equity ticket (USDm)</t>
  </si>
  <si>
    <t>5Y CAGR</t>
  </si>
  <si>
    <t>LBO output and credit metrics</t>
  </si>
  <si>
    <t>LFCF</t>
  </si>
  <si>
    <t>UFCF (LFCF + interest expense)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</si>
</sst>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##0.00_)"/>
    <numFmt numFmtId="174" formatCode="General\A"/>
    <numFmt numFmtId="175" formatCode="General\E"/>
    <numFmt numFmtId="176" formatCode="General\F"/>
    <numFmt numFmtId="177" formatCode="#,##0.00_);\(#,##0.00\);0.00_);@_)"/>
  </numFmts>
  <fonts count="42" x14ac:knownFonts="1">
    <font>
      <sz val="1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0000FF"/>
      <name val="Calibri"/>
      <family val="2"/>
    </font>
    <font>
      <b/>
      <i/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168" fontId="0" fillId="0" borderId="0"/>
    <xf numFmtId="168" fontId="1" fillId="2" borderId="1" applyNumberFormat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6" borderId="6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14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7" fillId="32" borderId="0" applyNumberFormat="0" applyBorder="0" applyAlignment="0" applyProtection="0"/>
    <xf numFmtId="169" fontId="24" fillId="33" borderId="1" applyNumberFormat="0" applyFill="0" applyBorder="0" applyAlignment="0" applyProtection="0"/>
    <xf numFmtId="170" fontId="14" fillId="0" borderId="0" applyFont="0" applyFill="0" applyBorder="0" applyAlignment="0" applyProtection="0"/>
    <xf numFmtId="171" fontId="23" fillId="0" borderId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8" fontId="25" fillId="34" borderId="1" applyNumberFormat="0" applyAlignment="0" applyProtection="0"/>
    <xf numFmtId="172" fontId="20" fillId="0" borderId="0" applyFont="0" applyFill="0" applyBorder="0" applyAlignment="0" applyProtection="0"/>
    <xf numFmtId="168" fontId="21" fillId="0" borderId="0" applyNumberFormat="0" applyFill="0" applyBorder="0" applyAlignment="0" applyProtection="0"/>
    <xf numFmtId="168" fontId="22" fillId="0" borderId="0" applyNumberFormat="0" applyFill="0" applyBorder="0" applyAlignment="0" applyProtection="0"/>
    <xf numFmtId="0" fontId="28" fillId="0" borderId="0"/>
    <xf numFmtId="0" fontId="27" fillId="0" borderId="0" applyNumberFormat="0" applyFill="0" applyBorder="0" applyAlignment="0" applyProtection="0"/>
    <xf numFmtId="9" fontId="28" fillId="0" borderId="0" applyFont="0" applyFill="0" applyBorder="0" applyAlignment="0" applyProtection="0"/>
    <xf numFmtId="173" fontId="29" fillId="0" borderId="11" applyNumberFormat="0" applyFill="0">
      <alignment horizontal="right"/>
    </xf>
    <xf numFmtId="0" fontId="30" fillId="0" borderId="0">
      <alignment horizontal="right"/>
    </xf>
    <xf numFmtId="0" fontId="31" fillId="0" borderId="0">
      <alignment horizontal="left"/>
    </xf>
    <xf numFmtId="168" fontId="32" fillId="0" borderId="0"/>
    <xf numFmtId="174" fontId="28" fillId="0" borderId="0"/>
    <xf numFmtId="175" fontId="28" fillId="0" borderId="0"/>
    <xf numFmtId="176" fontId="28" fillId="0" borderId="0"/>
  </cellStyleXfs>
  <cellXfs count="87">
    <xf numFmtId="168" fontId="0" fillId="0" borderId="0" xfId="0"/>
    <xf numFmtId="168" fontId="26" fillId="0" borderId="0" xfId="0" applyFont="1"/>
    <xf numFmtId="168" fontId="0" fillId="0" borderId="0" xfId="0"/>
    <xf numFmtId="168" fontId="33" fillId="0" borderId="0" xfId="0" applyFont="1"/>
    <xf numFmtId="168" fontId="24" fillId="0" borderId="0" xfId="42" applyNumberFormat="1" applyFill="1" applyBorder="1"/>
    <xf numFmtId="168" fontId="35" fillId="0" borderId="0" xfId="0" applyFont="1"/>
    <xf numFmtId="175" fontId="36" fillId="0" borderId="0" xfId="62" applyFont="1"/>
    <xf numFmtId="176" fontId="36" fillId="0" borderId="0" xfId="63" applyFont="1"/>
    <xf numFmtId="168" fontId="0" fillId="0" borderId="0" xfId="0" applyAlignment="1">
      <alignment horizontal="center"/>
    </xf>
    <xf numFmtId="168" fontId="0" fillId="0" borderId="12" xfId="0" applyBorder="1"/>
    <xf numFmtId="15" fontId="24" fillId="0" borderId="0" xfId="42" applyNumberFormat="1" applyFill="1" applyBorder="1"/>
    <xf numFmtId="168" fontId="0" fillId="35" borderId="0" xfId="0" applyFill="1"/>
    <xf numFmtId="169" fontId="0" fillId="0" borderId="0" xfId="49" applyFont="1"/>
    <xf numFmtId="168" fontId="37" fillId="0" borderId="0" xfId="0" applyFont="1"/>
    <xf numFmtId="174" fontId="36" fillId="36" borderId="0" xfId="61" applyFont="1" applyFill="1"/>
    <xf numFmtId="168" fontId="25" fillId="34" borderId="1" xfId="50"/>
    <xf numFmtId="168" fontId="0" fillId="0" borderId="0" xfId="0" applyAlignment="1">
      <alignment horizontal="left" indent="1"/>
    </xf>
    <xf numFmtId="175" fontId="38" fillId="0" borderId="0" xfId="62" applyFont="1"/>
    <xf numFmtId="176" fontId="38" fillId="0" borderId="0" xfId="63" applyFont="1"/>
    <xf numFmtId="168" fontId="32" fillId="0" borderId="0" xfId="0" applyFont="1"/>
    <xf numFmtId="168" fontId="33" fillId="0" borderId="12" xfId="0" applyFont="1" applyBorder="1"/>
    <xf numFmtId="168" fontId="39" fillId="0" borderId="0" xfId="0" applyFont="1"/>
    <xf numFmtId="172" fontId="25" fillId="34" borderId="1" xfId="51" applyFont="1" applyFill="1" applyBorder="1"/>
    <xf numFmtId="168" fontId="33" fillId="0" borderId="13" xfId="0" applyFont="1" applyBorder="1"/>
    <xf numFmtId="168" fontId="0" fillId="0" borderId="14" xfId="0" applyBorder="1"/>
    <xf numFmtId="168" fontId="0" fillId="0" borderId="15" xfId="0" applyBorder="1"/>
    <xf numFmtId="168" fontId="0" fillId="0" borderId="0" xfId="0" applyBorder="1"/>
    <xf numFmtId="168" fontId="0" fillId="0" borderId="16" xfId="0" applyBorder="1"/>
    <xf numFmtId="168" fontId="0" fillId="0" borderId="17" xfId="0" applyBorder="1"/>
    <xf numFmtId="168" fontId="0" fillId="0" borderId="18" xfId="0" applyBorder="1"/>
    <xf numFmtId="168" fontId="0" fillId="0" borderId="19" xfId="0" applyBorder="1"/>
    <xf numFmtId="169" fontId="24" fillId="0" borderId="0" xfId="42" applyFill="1" applyBorder="1"/>
    <xf numFmtId="169" fontId="25" fillId="34" borderId="1" xfId="49" applyFont="1" applyFill="1" applyBorder="1"/>
    <xf numFmtId="172" fontId="24" fillId="0" borderId="16" xfId="51" applyFont="1" applyFill="1" applyBorder="1"/>
    <xf numFmtId="169" fontId="24" fillId="0" borderId="16" xfId="42" applyFill="1" applyBorder="1"/>
    <xf numFmtId="168" fontId="24" fillId="0" borderId="16" xfId="42" applyNumberFormat="1" applyFill="1" applyBorder="1"/>
    <xf numFmtId="168" fontId="33" fillId="0" borderId="15" xfId="0" applyFont="1" applyBorder="1"/>
    <xf numFmtId="168" fontId="0" fillId="0" borderId="20" xfId="0" applyBorder="1"/>
    <xf numFmtId="168" fontId="0" fillId="0" borderId="21" xfId="0" applyBorder="1"/>
    <xf numFmtId="168" fontId="0" fillId="0" borderId="22" xfId="0" applyBorder="1"/>
    <xf numFmtId="168" fontId="0" fillId="0" borderId="0" xfId="0" applyFont="1" applyBorder="1"/>
    <xf numFmtId="168" fontId="0" fillId="0" borderId="0" xfId="0" applyBorder="1" applyAlignment="1">
      <alignment horizontal="left" indent="1"/>
    </xf>
    <xf numFmtId="168" fontId="0" fillId="0" borderId="15" xfId="0" applyBorder="1" applyAlignment="1">
      <alignment horizontal="left" indent="1"/>
    </xf>
    <xf numFmtId="169" fontId="24" fillId="0" borderId="0" xfId="49" applyFont="1" applyFill="1" applyBorder="1"/>
    <xf numFmtId="169" fontId="0" fillId="0" borderId="22" xfId="49" applyFont="1" applyBorder="1"/>
    <xf numFmtId="169" fontId="24" fillId="0" borderId="22" xfId="42" applyFill="1" applyBorder="1"/>
    <xf numFmtId="168" fontId="24" fillId="0" borderId="22" xfId="42" applyNumberFormat="1" applyFill="1" applyBorder="1"/>
    <xf numFmtId="168" fontId="25" fillId="34" borderId="1" xfId="50" applyBorder="1"/>
    <xf numFmtId="168" fontId="32" fillId="0" borderId="0" xfId="0" applyFont="1" applyBorder="1"/>
    <xf numFmtId="168" fontId="0" fillId="0" borderId="17" xfId="0" applyBorder="1" applyAlignment="1">
      <alignment horizontal="left" indent="1"/>
    </xf>
    <xf numFmtId="168" fontId="32" fillId="0" borderId="18" xfId="0" applyFont="1" applyBorder="1"/>
    <xf numFmtId="168" fontId="39" fillId="0" borderId="0" xfId="0" applyFont="1" applyBorder="1"/>
    <xf numFmtId="172" fontId="0" fillId="0" borderId="0" xfId="51" applyFont="1"/>
    <xf numFmtId="177" fontId="24" fillId="0" borderId="0" xfId="42" applyNumberFormat="1" applyFill="1" applyBorder="1"/>
    <xf numFmtId="168" fontId="26" fillId="0" borderId="0" xfId="0" applyFont="1" applyAlignment="1">
      <alignment horizontal="center"/>
    </xf>
    <xf numFmtId="169" fontId="0" fillId="0" borderId="0" xfId="49" applyFont="1" applyAlignment="1">
      <alignment horizontal="center"/>
    </xf>
    <xf numFmtId="168" fontId="33" fillId="35" borderId="12" xfId="0" applyFont="1" applyFill="1" applyBorder="1"/>
    <xf numFmtId="168" fontId="35" fillId="35" borderId="12" xfId="0" applyFont="1" applyFill="1" applyBorder="1"/>
    <xf numFmtId="168" fontId="34" fillId="35" borderId="12" xfId="42" applyNumberFormat="1" applyFont="1" applyFill="1" applyBorder="1"/>
    <xf numFmtId="169" fontId="0" fillId="0" borderId="16" xfId="49" applyFont="1" applyBorder="1" applyAlignment="1">
      <alignment horizontal="center"/>
    </xf>
    <xf numFmtId="168" fontId="26" fillId="0" borderId="0" xfId="0" applyFont="1" applyBorder="1"/>
    <xf numFmtId="169" fontId="37" fillId="0" borderId="0" xfId="49" applyFont="1" applyBorder="1"/>
    <xf numFmtId="169" fontId="26" fillId="0" borderId="0" xfId="49" applyFont="1" applyBorder="1"/>
    <xf numFmtId="168" fontId="32" fillId="0" borderId="0" xfId="60" applyBorder="1"/>
    <xf numFmtId="169" fontId="0" fillId="0" borderId="0" xfId="49" applyFont="1" applyBorder="1"/>
    <xf numFmtId="169" fontId="0" fillId="0" borderId="18" xfId="49" applyFont="1" applyBorder="1"/>
    <xf numFmtId="168" fontId="0" fillId="35" borderId="14" xfId="0" applyFill="1" applyBorder="1"/>
    <xf numFmtId="168" fontId="0" fillId="35" borderId="13" xfId="0" applyFill="1" applyBorder="1"/>
    <xf numFmtId="168" fontId="0" fillId="35" borderId="12" xfId="0" applyFill="1" applyBorder="1"/>
    <xf numFmtId="174" fontId="36" fillId="35" borderId="12" xfId="61" applyFont="1" applyFill="1" applyBorder="1"/>
    <xf numFmtId="175" fontId="36" fillId="35" borderId="12" xfId="62" applyFont="1" applyFill="1" applyBorder="1"/>
    <xf numFmtId="176" fontId="36" fillId="35" borderId="12" xfId="63" applyFont="1" applyFill="1" applyBorder="1"/>
    <xf numFmtId="168" fontId="26" fillId="35" borderId="14" xfId="0" applyFont="1" applyFill="1" applyBorder="1" applyAlignment="1">
      <alignment horizontal="center"/>
    </xf>
    <xf numFmtId="176" fontId="36" fillId="35" borderId="14" xfId="63" applyFont="1" applyFill="1" applyBorder="1"/>
    <xf numFmtId="172" fontId="0" fillId="0" borderId="0" xfId="51" applyFont="1" applyBorder="1"/>
    <xf numFmtId="172" fontId="0" fillId="0" borderId="16" xfId="51" applyFont="1" applyBorder="1"/>
    <xf numFmtId="172" fontId="0" fillId="0" borderId="18" xfId="51" applyFont="1" applyBorder="1"/>
    <xf numFmtId="172" fontId="0" fillId="0" borderId="19" xfId="51" applyFont="1" applyBorder="1"/>
    <xf numFmtId="168" fontId="33" fillId="0" borderId="0" xfId="0" applyFont="1" applyBorder="1"/>
    <xf numFmtId="172" fontId="33" fillId="0" borderId="12" xfId="51" applyFont="1" applyBorder="1"/>
    <xf numFmtId="172" fontId="33" fillId="0" borderId="14" xfId="51" applyFont="1" applyBorder="1"/>
    <xf numFmtId="168" fontId="33" fillId="0" borderId="17" xfId="0" applyFont="1" applyBorder="1"/>
    <xf numFmtId="168" fontId="33" fillId="0" borderId="18" xfId="0" applyFont="1" applyBorder="1"/>
    <xf numFmtId="169" fontId="33" fillId="0" borderId="18" xfId="49" applyFont="1" applyBorder="1"/>
    <xf numFmtId="169" fontId="33" fillId="0" borderId="19" xfId="49" applyFont="1" applyBorder="1"/>
    <xf numFmtId="168" fontId="35" fillId="35" borderId="14" xfId="0" applyFont="1" applyFill="1" applyBorder="1"/>
    <xf numFmtId="168" fontId="33" fillId="35" borderId="13" xfId="0" applyFont="1" applyFill="1" applyBorder="1"/>
  </cellXfs>
  <cellStyles count="6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a" xfId="57" xr:uid="{0A79D64B-2B60-403D-8078-15B4686A2A21}"/>
    <cellStyle name="Date" xfId="43" xr:uid="{00000000-0005-0000-0000-000021000000}"/>
    <cellStyle name="Diff Tab" xfId="60" xr:uid="{AA092CCF-6B77-4B86-B3A2-D636368C5372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Hyperlink 2" xfId="55" xr:uid="{9909F660-3FB5-46B9-9E85-21C7D6DFD9A4}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rmal 2" xfId="54" xr:uid="{4639C9A5-C64B-4825-B3BC-926F3EF9970E}"/>
    <cellStyle name="Note" xfId="15" builtinId="10" hidden="1"/>
    <cellStyle name="Output" xfId="10" builtinId="21" hidden="1"/>
    <cellStyle name="Percent" xfId="49" builtinId="5" customBuiltin="1"/>
    <cellStyle name="Percent 2" xfId="56" xr:uid="{C3D4BFED-A4CC-4A25-BEA8-F8A5CFC3D2E0}"/>
    <cellStyle name="Source Superscript" xfId="58" xr:uid="{3C695E52-D672-4736-84BE-5F57A61DA3F9}"/>
    <cellStyle name="Source Text" xfId="59" xr:uid="{51FF992F-AACC-419C-8DB6-D4F145C161CA}"/>
    <cellStyle name="Title" xfId="2" builtinId="15" hidden="1"/>
    <cellStyle name="Total" xfId="17" builtinId="25" hidden="1"/>
    <cellStyle name="Warning Text" xfId="14" builtinId="11" hidden="1"/>
    <cellStyle name="Year Actual" xfId="61" xr:uid="{0B3253BA-17D9-43A7-A490-86E4A4A8F5FB}"/>
    <cellStyle name="Year Estimate" xfId="62" xr:uid="{54779C49-FAAB-47DB-9195-05BA31585D44}"/>
    <cellStyle name="Year Forecast" xfId="63" xr:uid="{E8818E40-BEE2-4775-8F04-466F6665D9FF}"/>
  </cellStyles>
  <dxfs count="0"/>
  <tableStyles count="0" defaultTableStyle="TableStyleMedium9" defaultPivotStyle="PivotStyleLight16"/>
  <colors>
    <mruColors>
      <color rgb="FFFFFFCC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14D-E545-4C21-9E71-D17353221B2C}">
  <dimension ref="A1:AB171"/>
  <sheetViews>
    <sheetView showGridLines="0" tabSelected="1" topLeftCell="A7" zoomScale="85" zoomScaleNormal="85" workbookViewId="0">
      <selection activeCell="P18" sqref="P18"/>
    </sheetView>
  </sheetViews>
  <sheetFormatPr defaultColWidth="10.7109375" defaultRowHeight="15" outlineLevelCol="1" x14ac:dyDescent="0.25"/>
  <cols>
    <col min="1" max="2" width="2.7109375" customWidth="1"/>
    <col min="6" max="7" width="10.7109375" style="2"/>
    <col min="8" max="10" width="10.7109375" customWidth="1" outlineLevel="1"/>
  </cols>
  <sheetData>
    <row r="1" spans="1:22" x14ac:dyDescent="0.25">
      <c r="A1" s="1" t="s">
        <v>0</v>
      </c>
      <c r="J1" s="13"/>
    </row>
    <row r="2" spans="1:22" x14ac:dyDescent="0.25">
      <c r="A2" s="1" t="s">
        <v>4</v>
      </c>
    </row>
    <row r="3" spans="1:22" x14ac:dyDescent="0.25">
      <c r="A3" t="s">
        <v>1</v>
      </c>
      <c r="B3" s="3" t="s">
        <v>25</v>
      </c>
    </row>
    <row r="4" spans="1:22" x14ac:dyDescent="0.25">
      <c r="C4" s="23" t="s">
        <v>56</v>
      </c>
      <c r="D4" s="9"/>
      <c r="E4" s="9"/>
      <c r="F4" s="24"/>
      <c r="H4" s="23" t="s">
        <v>63</v>
      </c>
      <c r="I4" s="9"/>
      <c r="J4" s="9"/>
      <c r="K4" s="9"/>
      <c r="L4" s="20" t="s">
        <v>64</v>
      </c>
      <c r="M4" s="9"/>
      <c r="N4" s="24"/>
      <c r="P4" s="23" t="s">
        <v>54</v>
      </c>
      <c r="Q4" s="9"/>
      <c r="R4" s="9"/>
      <c r="S4" s="9"/>
      <c r="T4" s="9"/>
      <c r="U4" s="9"/>
      <c r="V4" s="24"/>
    </row>
    <row r="5" spans="1:22" x14ac:dyDescent="0.25">
      <c r="C5" s="25" t="s">
        <v>36</v>
      </c>
      <c r="D5" s="26"/>
      <c r="E5" s="26"/>
      <c r="F5" s="27">
        <f ca="1">+K44</f>
        <v>376.3</v>
      </c>
      <c r="H5" s="25" t="s">
        <v>70</v>
      </c>
      <c r="I5" s="26"/>
      <c r="J5" s="26">
        <f>+F11*G44</f>
        <v>1899</v>
      </c>
      <c r="K5" s="26"/>
      <c r="L5" s="40" t="s">
        <v>50</v>
      </c>
      <c r="M5" s="26"/>
      <c r="N5" s="27">
        <f ca="1">+F7</f>
        <v>3988.78</v>
      </c>
      <c r="P5" s="36" t="s">
        <v>37</v>
      </c>
      <c r="Q5" s="26"/>
      <c r="R5" s="26"/>
      <c r="S5" s="26"/>
      <c r="T5" s="47">
        <v>2</v>
      </c>
      <c r="U5" s="51" t="str">
        <f>+CHOOSE(T5, "Mgmt. case", "Adj. mgmt. case")</f>
        <v>Adj. mgmt. case</v>
      </c>
      <c r="V5" s="27"/>
    </row>
    <row r="6" spans="1:22" x14ac:dyDescent="0.25">
      <c r="C6" s="25" t="s">
        <v>49</v>
      </c>
      <c r="D6" s="26"/>
      <c r="E6" s="26"/>
      <c r="F6" s="22">
        <v>10.6</v>
      </c>
      <c r="H6" s="25" t="s">
        <v>69</v>
      </c>
      <c r="I6" s="26"/>
      <c r="J6" s="26">
        <f>+F17*G44</f>
        <v>633</v>
      </c>
      <c r="K6" s="26"/>
      <c r="L6" s="26" t="s">
        <v>68</v>
      </c>
      <c r="M6" s="26"/>
      <c r="N6" s="27">
        <f>+H82</f>
        <v>1511</v>
      </c>
      <c r="P6" s="36" t="s">
        <v>55</v>
      </c>
      <c r="Q6" s="26"/>
      <c r="R6" s="26"/>
      <c r="S6" s="26"/>
      <c r="T6" s="47">
        <v>1</v>
      </c>
      <c r="U6" s="26"/>
      <c r="V6" s="27"/>
    </row>
    <row r="7" spans="1:22" s="2" customFormat="1" x14ac:dyDescent="0.25">
      <c r="C7" s="28" t="s">
        <v>50</v>
      </c>
      <c r="D7" s="29"/>
      <c r="E7" s="29"/>
      <c r="F7" s="30">
        <f ca="1">+F6*F5</f>
        <v>3988.78</v>
      </c>
      <c r="H7" s="25" t="s">
        <v>23</v>
      </c>
      <c r="I7" s="26"/>
      <c r="J7" s="26">
        <f ca="1">+J11-J5-J6-J10</f>
        <v>2843.6278000000011</v>
      </c>
      <c r="K7" s="26"/>
      <c r="L7" s="26" t="s">
        <v>65</v>
      </c>
      <c r="M7" s="26"/>
      <c r="N7" s="27">
        <f ca="1">+N5*L14</f>
        <v>39.887800000000006</v>
      </c>
      <c r="P7" s="36" t="s">
        <v>139</v>
      </c>
      <c r="Q7" s="26"/>
      <c r="R7" s="26"/>
      <c r="S7" s="26"/>
      <c r="T7" s="26"/>
      <c r="U7" s="26"/>
      <c r="V7" s="27"/>
    </row>
    <row r="8" spans="1:22" x14ac:dyDescent="0.25">
      <c r="H8" s="42" t="s">
        <v>71</v>
      </c>
      <c r="I8" s="26"/>
      <c r="J8" s="26">
        <f ca="1">+J7-J9</f>
        <v>2132.7208500000006</v>
      </c>
      <c r="K8" s="26"/>
      <c r="L8" s="26" t="s">
        <v>66</v>
      </c>
      <c r="M8" s="26"/>
      <c r="N8" s="27">
        <f>+L15*(J6+J5)</f>
        <v>75.959999999999994</v>
      </c>
      <c r="P8" s="42" t="s">
        <v>140</v>
      </c>
      <c r="Q8" s="26"/>
      <c r="R8" s="26"/>
      <c r="S8" s="26"/>
      <c r="T8" s="48">
        <f>+RevBuild!R8</f>
        <v>1</v>
      </c>
      <c r="U8" s="26"/>
      <c r="V8" s="27"/>
    </row>
    <row r="9" spans="1:22" x14ac:dyDescent="0.25">
      <c r="H9" s="42" t="s">
        <v>72</v>
      </c>
      <c r="I9" s="26"/>
      <c r="J9" s="26">
        <f ca="1">+L13*J7</f>
        <v>710.90695000000028</v>
      </c>
      <c r="K9" s="26"/>
      <c r="L9" s="26" t="s">
        <v>67</v>
      </c>
      <c r="M9" s="26"/>
      <c r="N9" s="35">
        <v>150</v>
      </c>
      <c r="P9" s="42" t="s">
        <v>141</v>
      </c>
      <c r="Q9" s="26"/>
      <c r="R9" s="26"/>
      <c r="S9" s="26"/>
      <c r="T9" s="48">
        <f>+RevBuild!R9</f>
        <v>1</v>
      </c>
      <c r="U9" s="26"/>
      <c r="V9" s="27"/>
    </row>
    <row r="10" spans="1:22" x14ac:dyDescent="0.25">
      <c r="C10" s="23" t="s">
        <v>61</v>
      </c>
      <c r="D10" s="9"/>
      <c r="E10" s="9"/>
      <c r="F10" s="24"/>
      <c r="H10" s="25" t="s">
        <v>78</v>
      </c>
      <c r="I10" s="26"/>
      <c r="J10" s="26">
        <f>+H63</f>
        <v>390</v>
      </c>
      <c r="K10" s="26"/>
      <c r="L10" s="26"/>
      <c r="M10" s="26"/>
      <c r="N10" s="27"/>
      <c r="P10" s="42" t="s">
        <v>142</v>
      </c>
      <c r="Q10" s="26"/>
      <c r="R10" s="26"/>
      <c r="S10" s="26"/>
      <c r="T10" s="48">
        <f>+RevBuild!R10</f>
        <v>1</v>
      </c>
      <c r="U10" s="26"/>
      <c r="V10" s="27"/>
    </row>
    <row r="11" spans="1:22" x14ac:dyDescent="0.25">
      <c r="C11" s="25" t="s">
        <v>57</v>
      </c>
      <c r="D11" s="26"/>
      <c r="E11" s="26"/>
      <c r="F11" s="33">
        <v>6</v>
      </c>
      <c r="H11" s="37" t="s">
        <v>44</v>
      </c>
      <c r="I11" s="38"/>
      <c r="J11" s="38">
        <f ca="1">+N11</f>
        <v>5765.6278000000011</v>
      </c>
      <c r="K11" s="29"/>
      <c r="L11" s="38" t="s">
        <v>44</v>
      </c>
      <c r="M11" s="38"/>
      <c r="N11" s="39">
        <f ca="1">+SUM(N5:N9)</f>
        <v>5765.6278000000011</v>
      </c>
      <c r="P11" s="42" t="s">
        <v>143</v>
      </c>
      <c r="Q11" s="26"/>
      <c r="R11" s="26"/>
      <c r="S11" s="26"/>
      <c r="T11" s="48">
        <f>+RevBuild!R11</f>
        <v>0</v>
      </c>
      <c r="U11" s="26"/>
      <c r="V11" s="27"/>
    </row>
    <row r="12" spans="1:22" x14ac:dyDescent="0.25">
      <c r="C12" s="25" t="s">
        <v>58</v>
      </c>
      <c r="D12" s="26"/>
      <c r="E12" s="26"/>
      <c r="F12" s="34">
        <v>7.0000000000000007E-2</v>
      </c>
      <c r="P12" s="49" t="s">
        <v>144</v>
      </c>
      <c r="Q12" s="29"/>
      <c r="R12" s="29"/>
      <c r="S12" s="29"/>
      <c r="T12" s="50">
        <f>+RevBuild!R12</f>
        <v>0</v>
      </c>
      <c r="U12" s="29"/>
      <c r="V12" s="30"/>
    </row>
    <row r="13" spans="1:22" s="2" customFormat="1" x14ac:dyDescent="0.25">
      <c r="C13" s="25" t="s">
        <v>59</v>
      </c>
      <c r="D13" s="26"/>
      <c r="E13" s="26"/>
      <c r="F13" s="35">
        <v>5</v>
      </c>
      <c r="H13" s="2" t="s">
        <v>73</v>
      </c>
      <c r="L13" s="31">
        <v>0.25</v>
      </c>
    </row>
    <row r="14" spans="1:22" s="2" customFormat="1" x14ac:dyDescent="0.25">
      <c r="C14" s="25" t="s">
        <v>60</v>
      </c>
      <c r="D14" s="26"/>
      <c r="E14" s="26"/>
      <c r="F14" s="32">
        <v>1</v>
      </c>
      <c r="H14" s="2" t="s">
        <v>74</v>
      </c>
      <c r="L14" s="31">
        <v>0.01</v>
      </c>
    </row>
    <row r="15" spans="1:22" x14ac:dyDescent="0.25">
      <c r="C15" s="25"/>
      <c r="D15" s="26"/>
      <c r="E15" s="26"/>
      <c r="F15" s="27"/>
      <c r="H15" t="s">
        <v>75</v>
      </c>
      <c r="L15" s="31">
        <v>0.03</v>
      </c>
    </row>
    <row r="16" spans="1:22" x14ac:dyDescent="0.25">
      <c r="C16" s="36" t="s">
        <v>62</v>
      </c>
      <c r="D16" s="26"/>
      <c r="E16" s="26"/>
      <c r="F16" s="27"/>
    </row>
    <row r="17" spans="1:28" x14ac:dyDescent="0.25">
      <c r="C17" s="25" t="s">
        <v>57</v>
      </c>
      <c r="D17" s="26"/>
      <c r="E17" s="26"/>
      <c r="F17" s="33">
        <v>2</v>
      </c>
      <c r="H17" t="s">
        <v>166</v>
      </c>
      <c r="L17" s="53">
        <v>0.13</v>
      </c>
    </row>
    <row r="18" spans="1:28" x14ac:dyDescent="0.25">
      <c r="C18" s="25" t="s">
        <v>58</v>
      </c>
      <c r="D18" s="26"/>
      <c r="E18" s="26"/>
      <c r="F18" s="34">
        <v>0.09</v>
      </c>
    </row>
    <row r="19" spans="1:28" x14ac:dyDescent="0.25">
      <c r="C19" s="25" t="s">
        <v>59</v>
      </c>
      <c r="D19" s="26"/>
      <c r="E19" s="26"/>
      <c r="F19" s="35">
        <v>7</v>
      </c>
      <c r="H19" t="s">
        <v>167</v>
      </c>
      <c r="L19">
        <f ca="1">+J8*L17</f>
        <v>277.25371050000007</v>
      </c>
    </row>
    <row r="20" spans="1:28" x14ac:dyDescent="0.25">
      <c r="C20" s="28" t="s">
        <v>60</v>
      </c>
      <c r="D20" s="29"/>
      <c r="E20" s="29"/>
      <c r="F20" s="32">
        <v>0</v>
      </c>
    </row>
    <row r="21" spans="1:28" x14ac:dyDescent="0.25">
      <c r="S21" s="2"/>
      <c r="T21" s="2"/>
      <c r="U21" s="2"/>
      <c r="V21" s="2"/>
      <c r="W21" s="2"/>
      <c r="X21" s="2"/>
    </row>
    <row r="22" spans="1:28" x14ac:dyDescent="0.25">
      <c r="B22" s="67"/>
      <c r="C22" s="68"/>
      <c r="D22" s="68"/>
      <c r="E22" s="68"/>
      <c r="F22" s="56" t="s">
        <v>29</v>
      </c>
      <c r="G22" s="56"/>
      <c r="H22" s="56"/>
      <c r="I22" s="56"/>
      <c r="J22" s="57"/>
      <c r="K22" s="58">
        <v>0</v>
      </c>
      <c r="L22" s="57">
        <f>+K22+1</f>
        <v>1</v>
      </c>
      <c r="M22" s="57">
        <f t="shared" ref="M22:P22" si="0">+L22+1</f>
        <v>2</v>
      </c>
      <c r="N22" s="57">
        <f t="shared" si="0"/>
        <v>3</v>
      </c>
      <c r="O22" s="57">
        <f t="shared" si="0"/>
        <v>4</v>
      </c>
      <c r="P22" s="57">
        <f t="shared" si="0"/>
        <v>5</v>
      </c>
      <c r="Q22" s="66"/>
      <c r="T22" s="67"/>
      <c r="U22" s="68"/>
      <c r="V22" s="58">
        <v>0</v>
      </c>
      <c r="W22" s="57">
        <f>+V22+1</f>
        <v>1</v>
      </c>
      <c r="X22" s="57">
        <f t="shared" ref="X22:AA22" si="1">+W22+1</f>
        <v>2</v>
      </c>
      <c r="Y22" s="57">
        <f t="shared" si="1"/>
        <v>3</v>
      </c>
      <c r="Z22" s="57">
        <f t="shared" si="1"/>
        <v>4</v>
      </c>
      <c r="AA22" s="85">
        <f t="shared" si="1"/>
        <v>5</v>
      </c>
    </row>
    <row r="23" spans="1:28" x14ac:dyDescent="0.25">
      <c r="B23" s="67"/>
      <c r="C23" s="68"/>
      <c r="D23" s="68"/>
      <c r="E23" s="68"/>
      <c r="F23" s="56" t="s">
        <v>3</v>
      </c>
      <c r="G23" s="69">
        <f>+K23-1</f>
        <v>2016</v>
      </c>
      <c r="H23" s="56"/>
      <c r="I23" s="56"/>
      <c r="J23" s="57"/>
      <c r="K23" s="70">
        <v>2017</v>
      </c>
      <c r="L23" s="71">
        <f>+K23+1</f>
        <v>2018</v>
      </c>
      <c r="M23" s="71">
        <f t="shared" ref="M23:P23" si="2">+L23+1</f>
        <v>2019</v>
      </c>
      <c r="N23" s="71">
        <f t="shared" si="2"/>
        <v>2020</v>
      </c>
      <c r="O23" s="71">
        <f t="shared" si="2"/>
        <v>2021</v>
      </c>
      <c r="P23" s="71">
        <f t="shared" si="2"/>
        <v>2022</v>
      </c>
      <c r="Q23" s="72" t="s">
        <v>168</v>
      </c>
      <c r="R23" s="54"/>
      <c r="T23" s="67"/>
      <c r="U23" s="68"/>
      <c r="V23" s="70">
        <v>2017</v>
      </c>
      <c r="W23" s="71">
        <f>+V23+1</f>
        <v>2018</v>
      </c>
      <c r="X23" s="71">
        <f t="shared" ref="X23:AA23" si="3">+W23+1</f>
        <v>2019</v>
      </c>
      <c r="Y23" s="71">
        <f t="shared" si="3"/>
        <v>2020</v>
      </c>
      <c r="Z23" s="71">
        <f t="shared" si="3"/>
        <v>2021</v>
      </c>
      <c r="AA23" s="73">
        <f t="shared" si="3"/>
        <v>2022</v>
      </c>
    </row>
    <row r="24" spans="1:28" x14ac:dyDescent="0.25">
      <c r="A24" t="s">
        <v>1</v>
      </c>
      <c r="B24" s="36" t="s">
        <v>2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/>
      <c r="T24" s="36" t="s">
        <v>169</v>
      </c>
      <c r="U24" s="26"/>
      <c r="V24" s="26"/>
      <c r="W24" s="26"/>
      <c r="X24" s="26"/>
      <c r="Y24" s="26"/>
      <c r="Z24" s="26"/>
      <c r="AA24" s="27"/>
    </row>
    <row r="25" spans="1:28" x14ac:dyDescent="0.25">
      <c r="B25" s="25"/>
      <c r="C25" s="26" t="s">
        <v>5</v>
      </c>
      <c r="D25" s="26"/>
      <c r="E25" s="26"/>
      <c r="F25" s="26"/>
      <c r="G25" s="4">
        <v>1220</v>
      </c>
      <c r="H25" s="26"/>
      <c r="I25" s="26"/>
      <c r="J25" s="26"/>
      <c r="K25" s="26">
        <f t="shared" ref="K25:P25" ca="1" si="4">+CHOOSE($T$5, K27,K28)</f>
        <v>1296</v>
      </c>
      <c r="L25" s="26">
        <f t="shared" ca="1" si="4"/>
        <v>1400.6</v>
      </c>
      <c r="M25" s="26">
        <f t="shared" ca="1" si="4"/>
        <v>1505.1999999999998</v>
      </c>
      <c r="N25" s="26">
        <f t="shared" ca="1" si="4"/>
        <v>1609.7999999999997</v>
      </c>
      <c r="O25" s="26">
        <f t="shared" ca="1" si="4"/>
        <v>1714.3999999999996</v>
      </c>
      <c r="P25" s="26">
        <f t="shared" ca="1" si="4"/>
        <v>1819</v>
      </c>
      <c r="Q25" s="59">
        <f ca="1">+(P25/K25)^(1/$P$22)-1</f>
        <v>7.0152177497146306E-2</v>
      </c>
      <c r="R25" s="55"/>
      <c r="T25" s="25" t="s">
        <v>33</v>
      </c>
      <c r="U25" s="26"/>
      <c r="V25" s="26"/>
      <c r="W25" s="26"/>
      <c r="X25" s="26"/>
      <c r="Y25" s="26">
        <f ca="1">+N44</f>
        <v>483.65953115360878</v>
      </c>
      <c r="Z25" s="26">
        <f ca="1">+O44</f>
        <v>525.3885245901638</v>
      </c>
      <c r="AA25" s="27">
        <f ca="1">+P44</f>
        <v>569.54035087719308</v>
      </c>
    </row>
    <row r="26" spans="1:28" x14ac:dyDescent="0.25">
      <c r="B26" s="25"/>
      <c r="C26" s="60" t="s">
        <v>26</v>
      </c>
      <c r="D26" s="26"/>
      <c r="E26" s="26"/>
      <c r="F26" s="26"/>
      <c r="G26" s="26"/>
      <c r="H26" s="26"/>
      <c r="I26" s="26"/>
      <c r="J26" s="26"/>
      <c r="K26" s="61">
        <f ca="1">+K25/G25-1</f>
        <v>6.2295081967213006E-2</v>
      </c>
      <c r="L26" s="62">
        <f ca="1">+L25/K25-1</f>
        <v>8.0709876543209713E-2</v>
      </c>
      <c r="M26" s="62">
        <f t="shared" ref="M26:P26" ca="1" si="5">+M25/L25-1</f>
        <v>7.4682279023275733E-2</v>
      </c>
      <c r="N26" s="62">
        <f t="shared" ca="1" si="5"/>
        <v>6.9492426255647111E-2</v>
      </c>
      <c r="O26" s="62">
        <f t="shared" ca="1" si="5"/>
        <v>6.4977015778357572E-2</v>
      </c>
      <c r="P26" s="62">
        <f t="shared" ca="1" si="5"/>
        <v>6.1012599160056302E-2</v>
      </c>
      <c r="Q26" s="27"/>
      <c r="T26" s="25" t="s">
        <v>145</v>
      </c>
      <c r="U26" s="26"/>
      <c r="V26" s="26"/>
      <c r="W26" s="26"/>
      <c r="X26" s="26"/>
      <c r="Y26" s="22">
        <v>14</v>
      </c>
      <c r="Z26" s="22">
        <v>14</v>
      </c>
      <c r="AA26" s="22">
        <v>14</v>
      </c>
      <c r="AB26" t="s">
        <v>164</v>
      </c>
    </row>
    <row r="27" spans="1:28" x14ac:dyDescent="0.25">
      <c r="B27" s="25"/>
      <c r="C27" s="41" t="s">
        <v>27</v>
      </c>
      <c r="D27" s="26"/>
      <c r="E27" s="26"/>
      <c r="F27" s="26"/>
      <c r="G27" s="26"/>
      <c r="H27" s="26"/>
      <c r="I27" s="26"/>
      <c r="J27" s="26"/>
      <c r="K27" s="4">
        <v>1296</v>
      </c>
      <c r="L27" s="4">
        <v>1384</v>
      </c>
      <c r="M27" s="4">
        <v>1490</v>
      </c>
      <c r="N27" s="4">
        <v>1621</v>
      </c>
      <c r="O27" s="4">
        <v>1769</v>
      </c>
      <c r="P27" s="4">
        <v>1938</v>
      </c>
      <c r="Q27" s="27"/>
      <c r="T27" s="25" t="s">
        <v>146</v>
      </c>
      <c r="U27" s="26"/>
      <c r="V27" s="26"/>
      <c r="W27" s="26"/>
      <c r="X27" s="26"/>
      <c r="Y27" s="26">
        <f ca="1">+Y26*Y25</f>
        <v>6771.2334361505227</v>
      </c>
      <c r="Z27" s="26">
        <f t="shared" ref="Z27:AA27" ca="1" si="6">+Z26*Z25</f>
        <v>7355.4393442622932</v>
      </c>
      <c r="AA27" s="27">
        <f t="shared" ca="1" si="6"/>
        <v>7973.5649122807026</v>
      </c>
    </row>
    <row r="28" spans="1:28" s="2" customFormat="1" x14ac:dyDescent="0.25">
      <c r="B28" s="25"/>
      <c r="C28" s="41" t="s">
        <v>52</v>
      </c>
      <c r="D28" s="26"/>
      <c r="E28" s="26"/>
      <c r="F28" s="26"/>
      <c r="G28" s="26"/>
      <c r="H28" s="26"/>
      <c r="I28" s="26"/>
      <c r="J28" s="26"/>
      <c r="K28" s="63">
        <f ca="1">+RevBuild!K13</f>
        <v>1296</v>
      </c>
      <c r="L28" s="63">
        <f ca="1">+RevBuild!L13</f>
        <v>1400.6</v>
      </c>
      <c r="M28" s="63">
        <f ca="1">+RevBuild!M13</f>
        <v>1505.1999999999998</v>
      </c>
      <c r="N28" s="63">
        <f ca="1">+RevBuild!N13</f>
        <v>1609.7999999999997</v>
      </c>
      <c r="O28" s="63">
        <f ca="1">+RevBuild!O13</f>
        <v>1714.3999999999996</v>
      </c>
      <c r="P28" s="63">
        <f ca="1">+RevBuild!P13</f>
        <v>1819</v>
      </c>
      <c r="Q28" s="27"/>
      <c r="T28" s="25"/>
      <c r="U28" s="26"/>
      <c r="V28" s="26"/>
      <c r="W28" s="26"/>
      <c r="X28" s="26"/>
      <c r="Y28" s="26"/>
      <c r="Z28" s="26"/>
      <c r="AA28" s="27"/>
    </row>
    <row r="29" spans="1:28" x14ac:dyDescent="0.25"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"/>
      <c r="T29" s="25" t="s">
        <v>153</v>
      </c>
      <c r="U29" s="26"/>
      <c r="V29" s="26"/>
      <c r="W29" s="26"/>
      <c r="X29" s="26"/>
      <c r="Y29" s="26">
        <f ca="1">+Y37</f>
        <v>1669.3781612945979</v>
      </c>
      <c r="Z29" s="26">
        <f ca="1">+Z37</f>
        <v>1312.568871590908</v>
      </c>
      <c r="AA29" s="27">
        <f ca="1">+AA37</f>
        <v>885.84878467463841</v>
      </c>
    </row>
    <row r="30" spans="1:28" x14ac:dyDescent="0.25">
      <c r="B30" s="25"/>
      <c r="C30" s="26" t="s">
        <v>28</v>
      </c>
      <c r="D30" s="26"/>
      <c r="E30" s="26"/>
      <c r="F30" s="26"/>
      <c r="G30" s="4">
        <v>-600</v>
      </c>
      <c r="H30" s="26"/>
      <c r="I30" s="26"/>
      <c r="J30" s="26"/>
      <c r="K30" s="26">
        <f t="shared" ref="K30:P30" ca="1" si="7">+CHOOSE($T$5, K32,K33)</f>
        <v>-618</v>
      </c>
      <c r="L30" s="26">
        <f t="shared" ca="1" si="7"/>
        <v>-668.92817919075139</v>
      </c>
      <c r="M30" s="26">
        <f t="shared" ca="1" si="7"/>
        <v>-719.26335570469791</v>
      </c>
      <c r="N30" s="26">
        <f t="shared" ca="1" si="7"/>
        <v>-769.64528069093137</v>
      </c>
      <c r="O30" s="26">
        <f t="shared" ca="1" si="7"/>
        <v>-820.85743357829267</v>
      </c>
      <c r="P30" s="26">
        <f t="shared" ca="1" si="7"/>
        <v>-872.8947368421052</v>
      </c>
      <c r="Q30" s="27"/>
      <c r="T30" s="25" t="s">
        <v>154</v>
      </c>
      <c r="U30" s="26"/>
      <c r="V30" s="26"/>
      <c r="W30" s="26"/>
      <c r="X30" s="26"/>
      <c r="Y30" s="26">
        <f ca="1">+Y27-Y29</f>
        <v>5101.855274855925</v>
      </c>
      <c r="Z30" s="26">
        <f t="shared" ref="Z30:AA30" ca="1" si="8">+Z27-Z29</f>
        <v>6042.870472671385</v>
      </c>
      <c r="AA30" s="27">
        <f t="shared" ca="1" si="8"/>
        <v>7087.7161276060642</v>
      </c>
    </row>
    <row r="31" spans="1:28" x14ac:dyDescent="0.25">
      <c r="B31" s="25"/>
      <c r="C31" s="26" t="s">
        <v>35</v>
      </c>
      <c r="D31" s="26"/>
      <c r="E31" s="26"/>
      <c r="F31" s="26"/>
      <c r="G31" s="64">
        <f>+G30/G25*-1</f>
        <v>0.49180327868852458</v>
      </c>
      <c r="H31" s="26"/>
      <c r="I31" s="26"/>
      <c r="J31" s="26"/>
      <c r="K31" s="64">
        <f ca="1">+K30/K25*-1</f>
        <v>0.47685185185185186</v>
      </c>
      <c r="L31" s="64">
        <f t="shared" ref="L31:P31" ca="1" si="9">+L30/L25*-1</f>
        <v>0.47760115606936415</v>
      </c>
      <c r="M31" s="64">
        <f t="shared" ca="1" si="9"/>
        <v>0.4778523489932886</v>
      </c>
      <c r="N31" s="64">
        <f t="shared" ca="1" si="9"/>
        <v>0.47809993830968539</v>
      </c>
      <c r="O31" s="64">
        <f t="shared" ca="1" si="9"/>
        <v>0.47880158281514984</v>
      </c>
      <c r="P31" s="64">
        <f t="shared" ca="1" si="9"/>
        <v>0.47987616099071206</v>
      </c>
      <c r="Q31" s="27"/>
      <c r="T31" s="25"/>
      <c r="U31" s="26"/>
      <c r="V31" s="26"/>
      <c r="W31" s="26"/>
      <c r="X31" s="26"/>
      <c r="Y31" s="26"/>
      <c r="Z31" s="26"/>
      <c r="AA31" s="27"/>
    </row>
    <row r="32" spans="1:28" x14ac:dyDescent="0.25">
      <c r="B32" s="25"/>
      <c r="C32" s="41" t="s">
        <v>27</v>
      </c>
      <c r="D32" s="26"/>
      <c r="E32" s="26"/>
      <c r="F32" s="26"/>
      <c r="G32" s="26"/>
      <c r="H32" s="26"/>
      <c r="I32" s="26"/>
      <c r="J32" s="26"/>
      <c r="K32" s="4">
        <v>-618</v>
      </c>
      <c r="L32" s="4">
        <v>-661</v>
      </c>
      <c r="M32" s="4">
        <v>-712</v>
      </c>
      <c r="N32" s="4">
        <v>-775</v>
      </c>
      <c r="O32" s="4">
        <v>-847</v>
      </c>
      <c r="P32" s="4">
        <v>-930</v>
      </c>
      <c r="Q32" s="27"/>
      <c r="T32" s="23" t="s">
        <v>155</v>
      </c>
      <c r="U32" s="20"/>
      <c r="V32" s="20"/>
      <c r="W32" s="20"/>
      <c r="X32" s="20"/>
      <c r="Y32" s="79">
        <f ca="1">+Y30/$J$7</f>
        <v>1.7941360943425588</v>
      </c>
      <c r="Z32" s="79">
        <f ca="1">+Z30/$J$7</f>
        <v>2.1250567576640593</v>
      </c>
      <c r="AA32" s="80">
        <f ca="1">+AA30/$J$7</f>
        <v>2.4924907991144485</v>
      </c>
    </row>
    <row r="33" spans="2:27" s="2" customFormat="1" x14ac:dyDescent="0.25">
      <c r="B33" s="25"/>
      <c r="C33" s="41" t="s">
        <v>52</v>
      </c>
      <c r="D33" s="26"/>
      <c r="E33" s="26"/>
      <c r="F33" s="26"/>
      <c r="G33" s="26"/>
      <c r="H33" s="26"/>
      <c r="I33" s="26"/>
      <c r="J33" s="26"/>
      <c r="K33" s="26">
        <f ca="1">+K32/K$27*K$28</f>
        <v>-618</v>
      </c>
      <c r="L33" s="26">
        <f t="shared" ref="L33:P33" ca="1" si="10">+L32/L$27*L$28</f>
        <v>-668.92817919075139</v>
      </c>
      <c r="M33" s="26">
        <f t="shared" ca="1" si="10"/>
        <v>-719.26335570469791</v>
      </c>
      <c r="N33" s="26">
        <f t="shared" ca="1" si="10"/>
        <v>-769.64528069093137</v>
      </c>
      <c r="O33" s="26">
        <f t="shared" ca="1" si="10"/>
        <v>-820.85743357829267</v>
      </c>
      <c r="P33" s="26">
        <f t="shared" ca="1" si="10"/>
        <v>-872.8947368421052</v>
      </c>
      <c r="Q33" s="27"/>
      <c r="T33" s="81" t="s">
        <v>156</v>
      </c>
      <c r="U33" s="82"/>
      <c r="V33" s="82"/>
      <c r="W33" s="82"/>
      <c r="X33" s="82"/>
      <c r="Y33" s="83">
        <f ca="1">+Y32^(1/Y22)-1</f>
        <v>0.21511801917536033</v>
      </c>
      <c r="Z33" s="83">
        <f t="shared" ref="Z33:AA33" ca="1" si="11">+Z32^(1/Z22)-1</f>
        <v>0.20737626334937453</v>
      </c>
      <c r="AA33" s="84">
        <f t="shared" ca="1" si="11"/>
        <v>0.20040200670991593</v>
      </c>
    </row>
    <row r="34" spans="2:27" x14ac:dyDescent="0.25">
      <c r="B34" s="25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7"/>
      <c r="T34" s="25"/>
      <c r="U34" s="26"/>
      <c r="V34" s="26"/>
      <c r="W34" s="26"/>
      <c r="X34" s="26"/>
      <c r="Y34" s="26"/>
      <c r="Z34" s="26"/>
      <c r="AA34" s="27"/>
    </row>
    <row r="35" spans="2:27" x14ac:dyDescent="0.25">
      <c r="B35" s="25"/>
      <c r="C35" s="26" t="s">
        <v>30</v>
      </c>
      <c r="D35" s="26"/>
      <c r="E35" s="26"/>
      <c r="F35" s="26"/>
      <c r="G35" s="26">
        <f>+G30+G25</f>
        <v>620</v>
      </c>
      <c r="H35" s="26"/>
      <c r="I35" s="26"/>
      <c r="J35" s="26"/>
      <c r="K35" s="26">
        <f ca="1">+K30+K25</f>
        <v>678</v>
      </c>
      <c r="L35" s="26">
        <f t="shared" ref="L35:P35" ca="1" si="12">+L30+L25</f>
        <v>731.67182080924852</v>
      </c>
      <c r="M35" s="26">
        <f t="shared" ca="1" si="12"/>
        <v>785.9366442953019</v>
      </c>
      <c r="N35" s="26">
        <f t="shared" ca="1" si="12"/>
        <v>840.15471930906835</v>
      </c>
      <c r="O35" s="26">
        <f t="shared" ca="1" si="12"/>
        <v>893.54256642170697</v>
      </c>
      <c r="P35" s="26">
        <f t="shared" ca="1" si="12"/>
        <v>946.1052631578948</v>
      </c>
      <c r="Q35" s="59">
        <f ca="1">+(P35/K35)^(1/$P$22)-1</f>
        <v>6.891200066528258E-2</v>
      </c>
      <c r="T35" s="36" t="s">
        <v>147</v>
      </c>
      <c r="U35" s="26"/>
      <c r="V35" s="26"/>
      <c r="W35" s="26"/>
      <c r="X35" s="26"/>
      <c r="Y35" s="26"/>
      <c r="Z35" s="26"/>
      <c r="AA35" s="27"/>
    </row>
    <row r="36" spans="2:27" s="2" customFormat="1" x14ac:dyDescent="0.25">
      <c r="B36" s="25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"/>
      <c r="T36" s="25" t="s">
        <v>148</v>
      </c>
      <c r="U36" s="26"/>
      <c r="V36" s="26">
        <f t="shared" ref="V36:AA36" si="13">+K77+K80+K81</f>
        <v>2532</v>
      </c>
      <c r="W36" s="26">
        <f t="shared" ca="1" si="13"/>
        <v>2349.4783893145022</v>
      </c>
      <c r="X36" s="26">
        <f t="shared" ca="1" si="13"/>
        <v>2113.3457678062387</v>
      </c>
      <c r="Y36" s="26">
        <f t="shared" ca="1" si="13"/>
        <v>1819.3781612945979</v>
      </c>
      <c r="Z36" s="26">
        <f t="shared" ca="1" si="13"/>
        <v>1462.568871590908</v>
      </c>
      <c r="AA36" s="27">
        <f t="shared" ca="1" si="13"/>
        <v>1035.8487846746384</v>
      </c>
    </row>
    <row r="37" spans="2:27" s="2" customFormat="1" x14ac:dyDescent="0.25">
      <c r="B37" s="25"/>
      <c r="C37" s="26" t="s">
        <v>31</v>
      </c>
      <c r="D37" s="26"/>
      <c r="E37" s="26"/>
      <c r="F37" s="26"/>
      <c r="G37" s="4">
        <v>-317</v>
      </c>
      <c r="H37" s="26"/>
      <c r="I37" s="26"/>
      <c r="J37" s="26"/>
      <c r="K37" s="26">
        <f t="shared" ref="K37:P37" ca="1" si="14">+CHOOSE($T$5, K39,K40)</f>
        <v>-316</v>
      </c>
      <c r="L37" s="26">
        <f t="shared" ca="1" si="14"/>
        <v>-341.04205202312136</v>
      </c>
      <c r="M37" s="26">
        <f t="shared" ca="1" si="14"/>
        <v>-359.63167785234896</v>
      </c>
      <c r="N37" s="26">
        <f t="shared" ca="1" si="14"/>
        <v>-374.39518815545955</v>
      </c>
      <c r="O37" s="26">
        <f t="shared" ca="1" si="14"/>
        <v>-387.65404183154317</v>
      </c>
      <c r="P37" s="26">
        <f t="shared" ca="1" si="14"/>
        <v>-397.96491228070175</v>
      </c>
      <c r="Q37" s="27"/>
      <c r="T37" s="25" t="s">
        <v>149</v>
      </c>
      <c r="U37" s="26"/>
      <c r="V37" s="26">
        <f t="shared" ref="V37:AA37" si="15">+V36-K63</f>
        <v>2382</v>
      </c>
      <c r="W37" s="26">
        <f t="shared" ca="1" si="15"/>
        <v>2199.4783893145022</v>
      </c>
      <c r="X37" s="26">
        <f t="shared" ca="1" si="15"/>
        <v>1963.3457678062387</v>
      </c>
      <c r="Y37" s="26">
        <f t="shared" ca="1" si="15"/>
        <v>1669.3781612945979</v>
      </c>
      <c r="Z37" s="26">
        <f t="shared" ca="1" si="15"/>
        <v>1312.568871590908</v>
      </c>
      <c r="AA37" s="27">
        <f t="shared" ca="1" si="15"/>
        <v>885.84878467463841</v>
      </c>
    </row>
    <row r="38" spans="2:27" s="2" customFormat="1" x14ac:dyDescent="0.25">
      <c r="B38" s="25"/>
      <c r="C38" s="26" t="s">
        <v>35</v>
      </c>
      <c r="D38" s="26"/>
      <c r="E38" s="26"/>
      <c r="F38" s="26"/>
      <c r="G38" s="4"/>
      <c r="H38" s="26"/>
      <c r="I38" s="26"/>
      <c r="J38" s="26"/>
      <c r="K38" s="64">
        <f ca="1">+K37/K25*-1</f>
        <v>0.24382716049382716</v>
      </c>
      <c r="L38" s="64">
        <f t="shared" ref="L38:P38" ca="1" si="16">+L37/L25*-1</f>
        <v>0.24349710982658959</v>
      </c>
      <c r="M38" s="64">
        <f t="shared" ca="1" si="16"/>
        <v>0.2389261744966443</v>
      </c>
      <c r="N38" s="64">
        <f t="shared" ca="1" si="16"/>
        <v>0.23257248611967923</v>
      </c>
      <c r="O38" s="64">
        <f t="shared" ca="1" si="16"/>
        <v>0.22611644997173544</v>
      </c>
      <c r="P38" s="64">
        <f t="shared" ca="1" si="16"/>
        <v>0.21878224974200206</v>
      </c>
      <c r="Q38" s="27"/>
      <c r="T38" s="25"/>
      <c r="U38" s="26"/>
      <c r="V38" s="26"/>
      <c r="W38" s="26"/>
      <c r="X38" s="26"/>
      <c r="Y38" s="26"/>
      <c r="Z38" s="26"/>
      <c r="AA38" s="27"/>
    </row>
    <row r="39" spans="2:27" s="2" customFormat="1" x14ac:dyDescent="0.25">
      <c r="B39" s="25"/>
      <c r="C39" s="41" t="s">
        <v>27</v>
      </c>
      <c r="D39" s="26"/>
      <c r="E39" s="26"/>
      <c r="F39" s="26"/>
      <c r="G39" s="4"/>
      <c r="H39" s="26"/>
      <c r="I39" s="26"/>
      <c r="J39" s="26"/>
      <c r="K39" s="4">
        <v>-316</v>
      </c>
      <c r="L39" s="4">
        <v>-337</v>
      </c>
      <c r="M39" s="4">
        <v>-356</v>
      </c>
      <c r="N39" s="4">
        <v>-377</v>
      </c>
      <c r="O39" s="4">
        <v>-400</v>
      </c>
      <c r="P39" s="4">
        <v>-424</v>
      </c>
      <c r="Q39" s="27"/>
      <c r="T39" s="25" t="s">
        <v>150</v>
      </c>
      <c r="U39" s="26"/>
      <c r="V39" s="74">
        <f t="shared" ref="V39:AA39" ca="1" si="17">+V36/K44</f>
        <v>6.7286739303747005</v>
      </c>
      <c r="W39" s="74">
        <f t="shared" ca="1" si="17"/>
        <v>5.7878937934024135</v>
      </c>
      <c r="X39" s="74">
        <f t="shared" ca="1" si="17"/>
        <v>4.7737114511873564</v>
      </c>
      <c r="Y39" s="74">
        <f t="shared" ca="1" si="17"/>
        <v>3.7616919425842328</v>
      </c>
      <c r="Z39" s="74">
        <f t="shared" ca="1" si="17"/>
        <v>2.7837853381586588</v>
      </c>
      <c r="AA39" s="75">
        <f t="shared" ca="1" si="17"/>
        <v>1.8187452093240588</v>
      </c>
    </row>
    <row r="40" spans="2:27" s="2" customFormat="1" x14ac:dyDescent="0.25">
      <c r="B40" s="25"/>
      <c r="C40" s="41" t="s">
        <v>52</v>
      </c>
      <c r="D40" s="26"/>
      <c r="E40" s="26"/>
      <c r="F40" s="26"/>
      <c r="G40" s="4"/>
      <c r="H40" s="26"/>
      <c r="I40" s="26"/>
      <c r="J40" s="26"/>
      <c r="K40" s="26">
        <f ca="1">+K39/K$27*K$28</f>
        <v>-316</v>
      </c>
      <c r="L40" s="26">
        <f t="shared" ref="L40" ca="1" si="18">+L39/L$27*L$28</f>
        <v>-341.04205202312136</v>
      </c>
      <c r="M40" s="26">
        <f t="shared" ref="M40" ca="1" si="19">+M39/M$27*M$28</f>
        <v>-359.63167785234896</v>
      </c>
      <c r="N40" s="26">
        <f t="shared" ref="N40" ca="1" si="20">+N39/N$27*N$28</f>
        <v>-374.39518815545955</v>
      </c>
      <c r="O40" s="26">
        <f t="shared" ref="O40" ca="1" si="21">+O39/O$27*O$28</f>
        <v>-387.65404183154317</v>
      </c>
      <c r="P40" s="26">
        <f t="shared" ref="P40" ca="1" si="22">+P39/P$27*P$28</f>
        <v>-397.96491228070175</v>
      </c>
      <c r="Q40" s="27"/>
      <c r="T40" s="25" t="s">
        <v>151</v>
      </c>
      <c r="U40" s="26"/>
      <c r="V40" s="74">
        <f t="shared" ref="V40:AA40" ca="1" si="23">+V37/K44</f>
        <v>6.3300558065373371</v>
      </c>
      <c r="W40" s="74">
        <f t="shared" ca="1" si="23"/>
        <v>5.4183717441854942</v>
      </c>
      <c r="X40" s="74">
        <f t="shared" ca="1" si="23"/>
        <v>4.4348853449314891</v>
      </c>
      <c r="Y40" s="74">
        <f t="shared" ca="1" si="23"/>
        <v>3.4515564229921245</v>
      </c>
      <c r="Z40" s="74">
        <f t="shared" ca="1" si="23"/>
        <v>2.4982823380369688</v>
      </c>
      <c r="AA40" s="75">
        <f t="shared" ca="1" si="23"/>
        <v>1.5553749322770094</v>
      </c>
    </row>
    <row r="41" spans="2:27" s="2" customFormat="1" x14ac:dyDescent="0.25">
      <c r="B41" s="25"/>
      <c r="C41" s="41"/>
      <c r="D41" s="26"/>
      <c r="E41" s="26"/>
      <c r="F41" s="26"/>
      <c r="G41" s="4"/>
      <c r="H41" s="26"/>
      <c r="I41" s="26"/>
      <c r="J41" s="26"/>
      <c r="K41" s="26"/>
      <c r="L41" s="26"/>
      <c r="M41" s="26"/>
      <c r="N41" s="26"/>
      <c r="O41" s="26"/>
      <c r="P41" s="26"/>
      <c r="Q41" s="27"/>
      <c r="T41" s="25"/>
      <c r="U41" s="26"/>
      <c r="V41" s="26"/>
      <c r="W41" s="26"/>
      <c r="X41" s="26"/>
      <c r="Y41" s="26"/>
      <c r="Z41" s="26"/>
      <c r="AA41" s="27"/>
    </row>
    <row r="42" spans="2:27" s="2" customFormat="1" x14ac:dyDescent="0.25">
      <c r="B42" s="25"/>
      <c r="C42" s="26" t="s">
        <v>32</v>
      </c>
      <c r="D42" s="26"/>
      <c r="E42" s="26"/>
      <c r="F42" s="26"/>
      <c r="G42" s="4">
        <v>13.5</v>
      </c>
      <c r="H42" s="26"/>
      <c r="I42" s="26"/>
      <c r="J42" s="26"/>
      <c r="K42" s="4">
        <v>14.3</v>
      </c>
      <c r="L42" s="4">
        <v>15.3</v>
      </c>
      <c r="M42" s="4">
        <v>16.399999999999999</v>
      </c>
      <c r="N42" s="4">
        <v>17.899999999999999</v>
      </c>
      <c r="O42" s="4">
        <v>19.5</v>
      </c>
      <c r="P42" s="4">
        <v>21.4</v>
      </c>
      <c r="Q42" s="27"/>
      <c r="T42" s="28" t="s">
        <v>152</v>
      </c>
      <c r="U42" s="29"/>
      <c r="V42" s="29"/>
      <c r="W42" s="76">
        <f ca="1">+L50/L53*-1</f>
        <v>1.4213115936475811</v>
      </c>
      <c r="X42" s="76">
        <f ca="1">+M50/M53*-1</f>
        <v>1.7599561667281163</v>
      </c>
      <c r="Y42" s="76">
        <f ca="1">+N50/N53*-1</f>
        <v>2.2468951317978001</v>
      </c>
      <c r="Z42" s="76">
        <f ca="1">+O50/O53*-1</f>
        <v>2.9721354542501781</v>
      </c>
      <c r="AA42" s="77">
        <f ca="1">+P50/P53*-1</f>
        <v>4.223225256270104</v>
      </c>
    </row>
    <row r="43" spans="2:27" s="2" customFormat="1" x14ac:dyDescent="0.25"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7"/>
    </row>
    <row r="44" spans="2:27" s="2" customFormat="1" x14ac:dyDescent="0.25">
      <c r="B44" s="25"/>
      <c r="C44" s="26" t="s">
        <v>33</v>
      </c>
      <c r="D44" s="26"/>
      <c r="E44" s="26"/>
      <c r="F44" s="26"/>
      <c r="G44" s="26">
        <f>+G42+G37+G35</f>
        <v>316.5</v>
      </c>
      <c r="H44" s="26"/>
      <c r="I44" s="26"/>
      <c r="J44" s="26"/>
      <c r="K44" s="26">
        <f ca="1">+K42+K37+K35</f>
        <v>376.3</v>
      </c>
      <c r="L44" s="26">
        <f t="shared" ref="L44:P44" ca="1" si="24">+L42+L37+L35</f>
        <v>405.92976878612717</v>
      </c>
      <c r="M44" s="26">
        <f t="shared" ca="1" si="24"/>
        <v>442.70496644295292</v>
      </c>
      <c r="N44" s="26">
        <f t="shared" ca="1" si="24"/>
        <v>483.65953115360878</v>
      </c>
      <c r="O44" s="26">
        <f t="shared" ca="1" si="24"/>
        <v>525.3885245901638</v>
      </c>
      <c r="P44" s="26">
        <f t="shared" ca="1" si="24"/>
        <v>569.54035087719308</v>
      </c>
      <c r="Q44" s="59">
        <f ca="1">+(P44/K44)^(1/$P$22)-1</f>
        <v>8.6420760613783454E-2</v>
      </c>
      <c r="R44" s="55"/>
      <c r="T44" s="3" t="s">
        <v>158</v>
      </c>
    </row>
    <row r="45" spans="2:27" s="2" customFormat="1" x14ac:dyDescent="0.25">
      <c r="B45" s="28"/>
      <c r="C45" s="29" t="s">
        <v>53</v>
      </c>
      <c r="D45" s="29"/>
      <c r="E45" s="29"/>
      <c r="F45" s="29"/>
      <c r="G45" s="29"/>
      <c r="H45" s="29"/>
      <c r="I45" s="29"/>
      <c r="J45" s="29"/>
      <c r="K45" s="65">
        <f ca="1">+K44/K25</f>
        <v>0.29035493827160497</v>
      </c>
      <c r="L45" s="65">
        <f t="shared" ref="L45:P45" ca="1" si="25">+L44/L25</f>
        <v>0.28982562386557703</v>
      </c>
      <c r="M45" s="65">
        <f t="shared" ca="1" si="25"/>
        <v>0.29411703856162169</v>
      </c>
      <c r="N45" s="65">
        <f t="shared" ca="1" si="25"/>
        <v>0.30044696928414016</v>
      </c>
      <c r="O45" s="65">
        <f t="shared" ca="1" si="25"/>
        <v>0.3064562089303336</v>
      </c>
      <c r="P45" s="65">
        <f t="shared" ca="1" si="25"/>
        <v>0.31310629514963884</v>
      </c>
      <c r="Q45" s="30"/>
      <c r="T45" s="2" t="s">
        <v>157</v>
      </c>
      <c r="Y45" s="32">
        <v>0.2</v>
      </c>
      <c r="Z45" s="32">
        <v>0.2</v>
      </c>
      <c r="AA45" s="32">
        <v>0.2</v>
      </c>
    </row>
    <row r="46" spans="2:27" s="2" customFormat="1" x14ac:dyDescent="0.25">
      <c r="T46" s="2" t="s">
        <v>154</v>
      </c>
      <c r="Y46" s="2">
        <f ca="1">+Y30</f>
        <v>5101.855274855925</v>
      </c>
      <c r="Z46" s="2">
        <f t="shared" ref="Z46:AA46" ca="1" si="26">+Z30</f>
        <v>6042.870472671385</v>
      </c>
      <c r="AA46" s="2">
        <f t="shared" ca="1" si="26"/>
        <v>7087.7161276060642</v>
      </c>
    </row>
    <row r="47" spans="2:27" s="2" customFormat="1" x14ac:dyDescent="0.25">
      <c r="C47" s="2" t="s">
        <v>104</v>
      </c>
      <c r="K47" s="4">
        <v>-83</v>
      </c>
      <c r="L47" s="2">
        <f ca="1">+L116</f>
        <v>-145.10239999999999</v>
      </c>
      <c r="M47" s="2">
        <f t="shared" ref="M47:P47" ca="1" si="27">+M116</f>
        <v>-145.52080000000001</v>
      </c>
      <c r="N47" s="2">
        <f t="shared" ca="1" si="27"/>
        <v>-145.9392</v>
      </c>
      <c r="O47" s="2">
        <f t="shared" ca="1" si="27"/>
        <v>-146.35759999999999</v>
      </c>
      <c r="P47" s="2">
        <f t="shared" ca="1" si="27"/>
        <v>-146.77600000000001</v>
      </c>
    </row>
    <row r="48" spans="2:27" s="2" customFormat="1" x14ac:dyDescent="0.25">
      <c r="C48" s="16" t="s">
        <v>27</v>
      </c>
      <c r="K48" s="4">
        <v>-83</v>
      </c>
      <c r="L48" s="4">
        <v>-88</v>
      </c>
      <c r="M48" s="4">
        <v>-95</v>
      </c>
      <c r="N48" s="4">
        <v>-103</v>
      </c>
      <c r="O48" s="4">
        <v>-113</v>
      </c>
      <c r="P48" s="4">
        <v>-124</v>
      </c>
      <c r="T48" s="2" t="s">
        <v>159</v>
      </c>
      <c r="Y48" s="2">
        <f ca="1">+Y46/(1+Y45)^Y22</f>
        <v>2952.462543319401</v>
      </c>
      <c r="Z48" s="2">
        <f t="shared" ref="Z48:AA48" ca="1" si="28">+Z46/(1+Z45)^Z22</f>
        <v>2914.1929362805677</v>
      </c>
      <c r="AA48" s="2">
        <f t="shared" ca="1" si="28"/>
        <v>2848.3941485042378</v>
      </c>
    </row>
    <row r="49" spans="1:27" s="2" customFormat="1" x14ac:dyDescent="0.25">
      <c r="C49" s="16"/>
      <c r="K49" s="4"/>
      <c r="L49" s="4"/>
      <c r="M49" s="4"/>
      <c r="N49" s="4"/>
      <c r="O49" s="4"/>
      <c r="P49" s="4"/>
      <c r="T49" s="2" t="s">
        <v>160</v>
      </c>
      <c r="Y49" s="2">
        <f>+$J$5+$J$6-$N$9</f>
        <v>2382</v>
      </c>
      <c r="Z49" s="2">
        <f t="shared" ref="Z49:AA49" si="29">+$J$5+$J$6-$N$9</f>
        <v>2382</v>
      </c>
      <c r="AA49" s="2">
        <f t="shared" si="29"/>
        <v>2382</v>
      </c>
    </row>
    <row r="50" spans="1:27" s="2" customFormat="1" x14ac:dyDescent="0.25">
      <c r="C50" s="2" t="s">
        <v>34</v>
      </c>
      <c r="K50" s="2">
        <f ca="1">+K47+K44</f>
        <v>293.3</v>
      </c>
      <c r="L50" s="2">
        <f t="shared" ref="L50:P50" ca="1" si="30">+L47+L44</f>
        <v>260.82736878612718</v>
      </c>
      <c r="M50" s="2">
        <f t="shared" ca="1" si="30"/>
        <v>297.18416644295291</v>
      </c>
      <c r="N50" s="2">
        <f t="shared" ca="1" si="30"/>
        <v>337.72033115360875</v>
      </c>
      <c r="O50" s="2">
        <f t="shared" ca="1" si="30"/>
        <v>379.03092459016381</v>
      </c>
      <c r="P50" s="2">
        <f t="shared" ca="1" si="30"/>
        <v>422.76435087719307</v>
      </c>
      <c r="T50" s="2" t="s">
        <v>161</v>
      </c>
      <c r="Y50" s="2">
        <f ca="1">+$N$7+$N$8</f>
        <v>115.84780000000001</v>
      </c>
      <c r="Z50" s="2">
        <f t="shared" ref="Z50:AA50" ca="1" si="31">+$N$7+$N$8</f>
        <v>115.84780000000001</v>
      </c>
      <c r="AA50" s="2">
        <f t="shared" ca="1" si="31"/>
        <v>115.84780000000001</v>
      </c>
    </row>
    <row r="51" spans="1:27" s="2" customFormat="1" x14ac:dyDescent="0.25">
      <c r="L51" s="12"/>
      <c r="M51" s="12"/>
      <c r="N51" s="12"/>
      <c r="O51" s="12"/>
      <c r="P51" s="12"/>
      <c r="T51" s="2" t="s">
        <v>162</v>
      </c>
      <c r="Y51" s="2">
        <f>+$N$6-$J$10</f>
        <v>1121</v>
      </c>
      <c r="Z51" s="2">
        <f t="shared" ref="Z51:AA51" si="32">+$N$6-$J$10</f>
        <v>1121</v>
      </c>
      <c r="AA51" s="2">
        <f t="shared" si="32"/>
        <v>1121</v>
      </c>
    </row>
    <row r="52" spans="1:27" s="2" customFormat="1" x14ac:dyDescent="0.25">
      <c r="C52" s="2" t="s">
        <v>105</v>
      </c>
      <c r="L52" s="2">
        <f>+L119</f>
        <v>-10.851428571428571</v>
      </c>
      <c r="M52" s="2">
        <f t="shared" ref="M52:P52" si="33">+M119</f>
        <v>-10.851428571428571</v>
      </c>
      <c r="N52" s="2">
        <f t="shared" si="33"/>
        <v>-10.851428571428571</v>
      </c>
      <c r="O52" s="2">
        <f t="shared" si="33"/>
        <v>-10.851428571428571</v>
      </c>
      <c r="P52" s="2">
        <f t="shared" si="33"/>
        <v>-10.851428571428571</v>
      </c>
      <c r="T52" s="9" t="s">
        <v>82</v>
      </c>
      <c r="U52" s="9"/>
      <c r="V52" s="9"/>
      <c r="W52" s="9"/>
      <c r="X52" s="9"/>
      <c r="Y52" s="9">
        <f ca="1">+Y48+Y49-Y50-Y51</f>
        <v>4097.6147433194019</v>
      </c>
      <c r="Z52" s="9">
        <f t="shared" ref="Z52:AA52" ca="1" si="34">+Z48+Z49-Z50-Z51</f>
        <v>4059.3451362805681</v>
      </c>
      <c r="AA52" s="9">
        <f t="shared" ca="1" si="34"/>
        <v>3993.5463485042383</v>
      </c>
    </row>
    <row r="53" spans="1:27" s="2" customFormat="1" x14ac:dyDescent="0.25">
      <c r="C53" s="2" t="s">
        <v>106</v>
      </c>
      <c r="L53" s="2">
        <f ca="1">+IF(circ=1, L171, 0)</f>
        <v>-183.51174362600759</v>
      </c>
      <c r="M53" s="2">
        <f ca="1">+IF(circ=1, M171, 0)</f>
        <v>-168.85884549922594</v>
      </c>
      <c r="N53" s="2">
        <f ca="1">+IF(circ=1, N171, 0)</f>
        <v>-150.30533751852931</v>
      </c>
      <c r="O53" s="2">
        <f ca="1">+IF(circ=1, O171, 0)</f>
        <v>-127.52814615099271</v>
      </c>
      <c r="P53" s="2">
        <f ca="1">+IF(circ=1, P171, 0)</f>
        <v>-100.10461796929413</v>
      </c>
    </row>
    <row r="54" spans="1:27" s="2" customFormat="1" x14ac:dyDescent="0.25">
      <c r="T54" s="2" t="s">
        <v>163</v>
      </c>
      <c r="Y54" s="2">
        <f ca="1">+$K$44</f>
        <v>376.3</v>
      </c>
      <c r="Z54" s="2">
        <f t="shared" ref="Z54:AA54" ca="1" si="35">+$K$44</f>
        <v>376.3</v>
      </c>
      <c r="AA54" s="2">
        <f t="shared" ca="1" si="35"/>
        <v>376.3</v>
      </c>
    </row>
    <row r="55" spans="1:27" s="2" customFormat="1" x14ac:dyDescent="0.25">
      <c r="C55" s="2" t="s">
        <v>107</v>
      </c>
      <c r="L55" s="2">
        <f ca="1">+L53+L52+L50</f>
        <v>66.464196588691038</v>
      </c>
      <c r="M55" s="2">
        <f t="shared" ref="M55:P55" ca="1" si="36">+M53+M52+M50</f>
        <v>117.47389237229839</v>
      </c>
      <c r="N55" s="2">
        <f t="shared" ca="1" si="36"/>
        <v>176.56356506365086</v>
      </c>
      <c r="O55" s="2">
        <f t="shared" ca="1" si="36"/>
        <v>240.65134986774251</v>
      </c>
      <c r="P55" s="2">
        <f t="shared" ca="1" si="36"/>
        <v>311.80830433647037</v>
      </c>
      <c r="T55" s="2" t="s">
        <v>165</v>
      </c>
      <c r="Y55" s="52">
        <f ca="1">+Y52/Y54</f>
        <v>10.889223341268673</v>
      </c>
      <c r="Z55" s="52">
        <f t="shared" ref="Z55:AA55" ca="1" si="37">+Z52/Z54</f>
        <v>10.787523614883252</v>
      </c>
      <c r="AA55" s="52">
        <f t="shared" ca="1" si="37"/>
        <v>10.612666352655429</v>
      </c>
    </row>
    <row r="56" spans="1:27" s="2" customFormat="1" x14ac:dyDescent="0.25">
      <c r="C56" s="2" t="s">
        <v>108</v>
      </c>
      <c r="L56" s="43">
        <v>0.28000000000000003</v>
      </c>
      <c r="M56" s="43">
        <v>0.28000000000000003</v>
      </c>
      <c r="N56" s="43">
        <v>0.28000000000000003</v>
      </c>
      <c r="O56" s="43">
        <v>0.28000000000000003</v>
      </c>
      <c r="P56" s="43">
        <v>0.28000000000000003</v>
      </c>
    </row>
    <row r="57" spans="1:27" s="2" customFormat="1" x14ac:dyDescent="0.25">
      <c r="L57" s="43"/>
      <c r="M57" s="43"/>
      <c r="N57" s="43"/>
      <c r="O57" s="43"/>
      <c r="P57" s="43"/>
    </row>
    <row r="58" spans="1:27" s="2" customFormat="1" x14ac:dyDescent="0.25">
      <c r="C58" s="2" t="s">
        <v>109</v>
      </c>
      <c r="L58" s="2">
        <f ca="1">+L55+(1-L56)</f>
        <v>67.184196588691037</v>
      </c>
      <c r="M58" s="2">
        <f t="shared" ref="M58:P58" ca="1" si="38">+M55+(1-M56)</f>
        <v>118.19389237229839</v>
      </c>
      <c r="N58" s="2">
        <f t="shared" ca="1" si="38"/>
        <v>177.28356506365085</v>
      </c>
      <c r="O58" s="2">
        <f t="shared" ca="1" si="38"/>
        <v>241.37134986774251</v>
      </c>
      <c r="P58" s="2">
        <f t="shared" ca="1" si="38"/>
        <v>312.5283043364704</v>
      </c>
      <c r="R58" s="55"/>
    </row>
    <row r="59" spans="1:27" s="2" customFormat="1" x14ac:dyDescent="0.25"/>
    <row r="60" spans="1:27" x14ac:dyDescent="0.25">
      <c r="K60" s="5">
        <f t="shared" ref="K60:P61" si="39">+K22</f>
        <v>0</v>
      </c>
      <c r="L60" s="5">
        <f t="shared" si="39"/>
        <v>1</v>
      </c>
      <c r="M60" s="5">
        <f t="shared" si="39"/>
        <v>2</v>
      </c>
      <c r="N60" s="5">
        <f t="shared" si="39"/>
        <v>3</v>
      </c>
      <c r="O60" s="5">
        <f t="shared" si="39"/>
        <v>4</v>
      </c>
      <c r="P60" s="5">
        <f t="shared" si="39"/>
        <v>5</v>
      </c>
    </row>
    <row r="61" spans="1:27" x14ac:dyDescent="0.25">
      <c r="G61" s="14">
        <f>+K61-1</f>
        <v>2016</v>
      </c>
      <c r="K61" s="6">
        <f t="shared" si="39"/>
        <v>2017</v>
      </c>
      <c r="L61" s="7">
        <f t="shared" si="39"/>
        <v>2018</v>
      </c>
      <c r="M61" s="7">
        <f t="shared" si="39"/>
        <v>2019</v>
      </c>
      <c r="N61" s="7">
        <f t="shared" si="39"/>
        <v>2020</v>
      </c>
      <c r="O61" s="7">
        <f t="shared" si="39"/>
        <v>2021</v>
      </c>
      <c r="P61" s="7">
        <f t="shared" si="39"/>
        <v>2022</v>
      </c>
    </row>
    <row r="62" spans="1:27" x14ac:dyDescent="0.25">
      <c r="A62" t="s">
        <v>1</v>
      </c>
      <c r="B62" s="3" t="s">
        <v>6</v>
      </c>
      <c r="H62" s="10">
        <v>42916</v>
      </c>
      <c r="I62" s="8" t="s">
        <v>8</v>
      </c>
      <c r="J62" s="8" t="s">
        <v>9</v>
      </c>
      <c r="K62" t="s">
        <v>10</v>
      </c>
    </row>
    <row r="63" spans="1:27" x14ac:dyDescent="0.25">
      <c r="C63" t="s">
        <v>7</v>
      </c>
      <c r="G63" s="4">
        <v>326</v>
      </c>
      <c r="H63" s="4">
        <v>390</v>
      </c>
      <c r="I63" s="11">
        <f>+N9</f>
        <v>150</v>
      </c>
      <c r="J63" s="11">
        <f>+H63</f>
        <v>390</v>
      </c>
      <c r="K63" s="13">
        <f>+H63+I63-J63</f>
        <v>150</v>
      </c>
      <c r="L63">
        <f ca="1">+L168</f>
        <v>150</v>
      </c>
      <c r="M63" s="2">
        <f t="shared" ref="M63:P63" ca="1" si="40">+M168</f>
        <v>150</v>
      </c>
      <c r="N63" s="2">
        <f t="shared" ca="1" si="40"/>
        <v>150</v>
      </c>
      <c r="O63" s="2">
        <f t="shared" ca="1" si="40"/>
        <v>150</v>
      </c>
      <c r="P63" s="2">
        <f t="shared" ca="1" si="40"/>
        <v>150</v>
      </c>
    </row>
    <row r="64" spans="1:27" x14ac:dyDescent="0.25">
      <c r="C64" t="s">
        <v>11</v>
      </c>
      <c r="G64" s="4">
        <v>92</v>
      </c>
      <c r="H64" s="4">
        <v>98</v>
      </c>
      <c r="I64" s="11"/>
      <c r="J64" s="11"/>
      <c r="K64" s="13">
        <f t="shared" ref="K64:K65" si="41">+H64+I64-J64</f>
        <v>98</v>
      </c>
      <c r="L64">
        <f ca="1">+L98/365*L30*-1</f>
        <v>106.29543669332489</v>
      </c>
      <c r="M64" s="2">
        <f t="shared" ref="M64:P64" ca="1" si="42">+M98/365*M30*-1</f>
        <v>114.29390309828078</v>
      </c>
      <c r="N64" s="2">
        <f t="shared" ca="1" si="42"/>
        <v>122.29979802760006</v>
      </c>
      <c r="O64" s="2">
        <f t="shared" ca="1" si="42"/>
        <v>130.43761958230405</v>
      </c>
      <c r="P64" s="2">
        <f t="shared" ca="1" si="42"/>
        <v>138.70656092285509</v>
      </c>
    </row>
    <row r="65" spans="3:16" x14ac:dyDescent="0.25">
      <c r="C65" t="s">
        <v>12</v>
      </c>
      <c r="G65" s="4">
        <v>173</v>
      </c>
      <c r="H65" s="4">
        <v>183</v>
      </c>
      <c r="I65" s="11"/>
      <c r="J65" s="11"/>
      <c r="K65" s="13">
        <f t="shared" si="41"/>
        <v>183</v>
      </c>
      <c r="L65">
        <f ca="1">+L99/365*L25</f>
        <v>199.53753424657532</v>
      </c>
      <c r="M65" s="2">
        <f t="shared" ref="M65:P65" ca="1" si="43">+M99/365*M25</f>
        <v>214.43945205479449</v>
      </c>
      <c r="N65" s="2">
        <f t="shared" ca="1" si="43"/>
        <v>229.34136986301365</v>
      </c>
      <c r="O65" s="2">
        <f t="shared" ca="1" si="43"/>
        <v>244.24328767123282</v>
      </c>
      <c r="P65" s="2">
        <f t="shared" ca="1" si="43"/>
        <v>259.14520547945204</v>
      </c>
    </row>
    <row r="66" spans="3:16" s="2" customFormat="1" x14ac:dyDescent="0.25">
      <c r="C66" s="2" t="s">
        <v>14</v>
      </c>
      <c r="G66" s="9">
        <f>SUM(G63:G65)</f>
        <v>591</v>
      </c>
      <c r="H66" s="9">
        <f>SUM(H63:H65)</f>
        <v>671</v>
      </c>
      <c r="I66" s="11"/>
      <c r="J66" s="11"/>
      <c r="K66" s="9">
        <f>SUM(K63:K65)</f>
        <v>431</v>
      </c>
      <c r="L66" s="9">
        <f t="shared" ref="L66:P66" ca="1" si="44">SUM(L63:L65)</f>
        <v>455.83297093990018</v>
      </c>
      <c r="M66" s="9">
        <f t="shared" ca="1" si="44"/>
        <v>478.73335515307531</v>
      </c>
      <c r="N66" s="9">
        <f t="shared" ca="1" si="44"/>
        <v>501.6411678906137</v>
      </c>
      <c r="O66" s="9">
        <f t="shared" ca="1" si="44"/>
        <v>524.68090725353682</v>
      </c>
      <c r="P66" s="9">
        <f t="shared" ca="1" si="44"/>
        <v>547.85176640230713</v>
      </c>
    </row>
    <row r="67" spans="3:16" s="2" customFormat="1" x14ac:dyDescent="0.25">
      <c r="I67" s="11"/>
      <c r="J67" s="11"/>
    </row>
    <row r="68" spans="3:16" x14ac:dyDescent="0.25">
      <c r="C68" t="s">
        <v>13</v>
      </c>
      <c r="G68" s="4">
        <v>128</v>
      </c>
      <c r="H68" s="4">
        <v>123</v>
      </c>
      <c r="I68" s="11"/>
      <c r="J68" s="11"/>
      <c r="K68" s="13">
        <f>+H68+I68-J68</f>
        <v>123</v>
      </c>
      <c r="L68">
        <f ca="1">+L109</f>
        <v>139.80720000000002</v>
      </c>
      <c r="M68" s="2">
        <f t="shared" ref="M68:P68" ca="1" si="45">+M109</f>
        <v>157.86960000000002</v>
      </c>
      <c r="N68" s="2">
        <f t="shared" ca="1" si="45"/>
        <v>177.18720000000002</v>
      </c>
      <c r="O68" s="2">
        <f t="shared" ca="1" si="45"/>
        <v>197.76000000000002</v>
      </c>
      <c r="P68" s="2">
        <f t="shared" ca="1" si="45"/>
        <v>219.58800000000002</v>
      </c>
    </row>
    <row r="69" spans="3:16" x14ac:dyDescent="0.25">
      <c r="C69" t="s">
        <v>15</v>
      </c>
      <c r="G69" s="4">
        <v>1675</v>
      </c>
      <c r="H69" s="4">
        <v>1674</v>
      </c>
      <c r="I69" s="11"/>
      <c r="J69" s="11"/>
      <c r="K69" s="13">
        <f t="shared" ref="K69:K72" si="46">+H69+I69-J69</f>
        <v>1674</v>
      </c>
      <c r="L69">
        <f>+L114</f>
        <v>1534.5</v>
      </c>
      <c r="M69" s="2">
        <f t="shared" ref="M69:P69" si="47">+M114</f>
        <v>1395</v>
      </c>
      <c r="N69" s="2">
        <f t="shared" si="47"/>
        <v>1255.5</v>
      </c>
      <c r="O69" s="2">
        <f t="shared" si="47"/>
        <v>1116</v>
      </c>
      <c r="P69" s="2">
        <f t="shared" si="47"/>
        <v>976.5</v>
      </c>
    </row>
    <row r="70" spans="3:16" x14ac:dyDescent="0.25">
      <c r="C70" t="s">
        <v>16</v>
      </c>
      <c r="G70" s="4">
        <v>45</v>
      </c>
      <c r="H70" s="4">
        <v>47</v>
      </c>
      <c r="I70" s="11"/>
      <c r="J70" s="11"/>
      <c r="K70" s="13">
        <f t="shared" si="46"/>
        <v>47</v>
      </c>
      <c r="L70" s="4">
        <f>+K70</f>
        <v>47</v>
      </c>
      <c r="M70" s="4">
        <f t="shared" ref="M70:P70" si="48">+L70</f>
        <v>47</v>
      </c>
      <c r="N70" s="4">
        <f t="shared" si="48"/>
        <v>47</v>
      </c>
      <c r="O70" s="4">
        <f t="shared" si="48"/>
        <v>47</v>
      </c>
      <c r="P70" s="4">
        <f t="shared" si="48"/>
        <v>47</v>
      </c>
    </row>
    <row r="71" spans="3:16" s="2" customFormat="1" x14ac:dyDescent="0.25">
      <c r="C71" s="2" t="s">
        <v>77</v>
      </c>
      <c r="G71" s="4"/>
      <c r="H71" s="4"/>
      <c r="I71" s="11">
        <f>+N8</f>
        <v>75.959999999999994</v>
      </c>
      <c r="J71" s="11"/>
      <c r="K71" s="13">
        <f t="shared" si="46"/>
        <v>75.959999999999994</v>
      </c>
      <c r="L71" s="2">
        <f>+L120</f>
        <v>65.108571428571423</v>
      </c>
      <c r="M71" s="2">
        <f t="shared" ref="M71:P71" si="49">+M120</f>
        <v>54.257142857142853</v>
      </c>
      <c r="N71" s="2">
        <f t="shared" si="49"/>
        <v>43.405714285714282</v>
      </c>
      <c r="O71" s="2">
        <f t="shared" si="49"/>
        <v>32.554285714285712</v>
      </c>
      <c r="P71" s="2">
        <f t="shared" si="49"/>
        <v>21.702857142857141</v>
      </c>
    </row>
    <row r="72" spans="3:16" s="2" customFormat="1" x14ac:dyDescent="0.25">
      <c r="C72" s="2" t="s">
        <v>80</v>
      </c>
      <c r="G72" s="4"/>
      <c r="H72" s="4"/>
      <c r="I72" s="11">
        <f ca="1">+F95</f>
        <v>3539.78</v>
      </c>
      <c r="J72" s="11"/>
      <c r="K72" s="13">
        <f t="shared" ca="1" si="46"/>
        <v>3539.78</v>
      </c>
      <c r="L72" s="4">
        <f ca="1">+K72</f>
        <v>3539.78</v>
      </c>
      <c r="M72" s="4">
        <f t="shared" ref="M72:P72" ca="1" si="50">+L72</f>
        <v>3539.78</v>
      </c>
      <c r="N72" s="4">
        <f t="shared" ca="1" si="50"/>
        <v>3539.78</v>
      </c>
      <c r="O72" s="4">
        <f t="shared" ca="1" si="50"/>
        <v>3539.78</v>
      </c>
      <c r="P72" s="4">
        <f t="shared" ca="1" si="50"/>
        <v>3539.78</v>
      </c>
    </row>
    <row r="73" spans="3:16" x14ac:dyDescent="0.25">
      <c r="C73" t="s">
        <v>17</v>
      </c>
      <c r="G73" s="9">
        <f>SUM(G68:G72)</f>
        <v>1848</v>
      </c>
      <c r="H73" s="9">
        <f>SUM(H68:H72)</f>
        <v>1844</v>
      </c>
      <c r="I73" s="11"/>
      <c r="J73" s="11"/>
      <c r="K73" s="9">
        <f ca="1">SUM(K68:K72)</f>
        <v>5459.74</v>
      </c>
      <c r="L73" s="9">
        <f t="shared" ref="L73:P73" ca="1" si="51">SUM(L68:L72)</f>
        <v>5326.1957714285718</v>
      </c>
      <c r="M73" s="9">
        <f t="shared" ca="1" si="51"/>
        <v>5193.9067428571434</v>
      </c>
      <c r="N73" s="9">
        <f t="shared" ca="1" si="51"/>
        <v>5062.8729142857146</v>
      </c>
      <c r="O73" s="9">
        <f t="shared" ca="1" si="51"/>
        <v>4933.0942857142854</v>
      </c>
      <c r="P73" s="9">
        <f t="shared" ca="1" si="51"/>
        <v>4804.5708571428568</v>
      </c>
    </row>
    <row r="74" spans="3:16" x14ac:dyDescent="0.25">
      <c r="I74" s="11"/>
      <c r="J74" s="11"/>
    </row>
    <row r="75" spans="3:16" x14ac:dyDescent="0.25">
      <c r="C75" t="s">
        <v>18</v>
      </c>
      <c r="G75" s="2">
        <f>+G73+G66</f>
        <v>2439</v>
      </c>
      <c r="H75">
        <f>+H73+H66</f>
        <v>2515</v>
      </c>
      <c r="I75" s="11"/>
      <c r="J75" s="11"/>
      <c r="K75" s="2">
        <f ca="1">+K73+K66</f>
        <v>5890.74</v>
      </c>
      <c r="L75" s="2">
        <f t="shared" ref="L75:P75" ca="1" si="52">+L73+L66</f>
        <v>5782.0287423684722</v>
      </c>
      <c r="M75" s="2">
        <f t="shared" ca="1" si="52"/>
        <v>5672.6400980102189</v>
      </c>
      <c r="N75" s="2">
        <f t="shared" ca="1" si="52"/>
        <v>5564.514082176328</v>
      </c>
      <c r="O75" s="2">
        <f t="shared" ca="1" si="52"/>
        <v>5457.7751929678225</v>
      </c>
      <c r="P75" s="2">
        <f t="shared" ca="1" si="52"/>
        <v>5352.4226235451642</v>
      </c>
    </row>
    <row r="76" spans="3:16" x14ac:dyDescent="0.25">
      <c r="I76" s="11"/>
      <c r="J76" s="11"/>
    </row>
    <row r="77" spans="3:16" s="2" customFormat="1" x14ac:dyDescent="0.25">
      <c r="C77" s="2" t="s">
        <v>79</v>
      </c>
      <c r="H77" s="4">
        <v>0</v>
      </c>
      <c r="I77" s="11"/>
      <c r="J77" s="11"/>
      <c r="K77" s="13">
        <f>+H77-I77+J77</f>
        <v>0</v>
      </c>
      <c r="L77" s="2">
        <f ca="1">+L151</f>
        <v>0</v>
      </c>
      <c r="M77" s="2">
        <f t="shared" ref="M77:P77" ca="1" si="53">+M151</f>
        <v>0</v>
      </c>
      <c r="N77" s="2">
        <f t="shared" ca="1" si="53"/>
        <v>0</v>
      </c>
      <c r="O77" s="2">
        <f t="shared" ca="1" si="53"/>
        <v>0</v>
      </c>
      <c r="P77" s="2">
        <f t="shared" ca="1" si="53"/>
        <v>402.84878467463841</v>
      </c>
    </row>
    <row r="78" spans="3:16" x14ac:dyDescent="0.25">
      <c r="C78" t="s">
        <v>19</v>
      </c>
      <c r="G78" s="4">
        <v>108</v>
      </c>
      <c r="H78" s="4">
        <v>107</v>
      </c>
      <c r="I78" s="11"/>
      <c r="J78" s="11"/>
      <c r="K78" s="13">
        <f>+H78-I78+J78</f>
        <v>107</v>
      </c>
      <c r="L78">
        <f ca="1">+L100/365*L30*-1</f>
        <v>113.62615646527831</v>
      </c>
      <c r="M78" s="2">
        <f t="shared" ref="M78:P78" ca="1" si="54">+M100/365*M30*-1</f>
        <v>122.17624124298978</v>
      </c>
      <c r="N78" s="2">
        <f t="shared" ca="1" si="54"/>
        <v>130.73426685708972</v>
      </c>
      <c r="O78" s="2">
        <f t="shared" ca="1" si="54"/>
        <v>139.4333174845319</v>
      </c>
      <c r="P78" s="2">
        <f t="shared" ca="1" si="54"/>
        <v>148.27253064167266</v>
      </c>
    </row>
    <row r="79" spans="3:16" s="2" customFormat="1" x14ac:dyDescent="0.25">
      <c r="G79" s="4"/>
      <c r="H79" s="4"/>
      <c r="I79" s="11"/>
      <c r="J79" s="11"/>
    </row>
    <row r="80" spans="3:16" s="2" customFormat="1" x14ac:dyDescent="0.25">
      <c r="C80" s="2" t="s">
        <v>70</v>
      </c>
      <c r="G80" s="4"/>
      <c r="H80" s="4"/>
      <c r="I80" s="11"/>
      <c r="J80" s="11">
        <f>+J5</f>
        <v>1899</v>
      </c>
      <c r="K80" s="13">
        <f t="shared" ref="K80:K83" si="55">+H80-I80+J80</f>
        <v>1899</v>
      </c>
      <c r="L80" s="2">
        <f ca="1">+L157</f>
        <v>1716.4783893145022</v>
      </c>
      <c r="M80" s="2">
        <f t="shared" ref="M80:P80" ca="1" si="56">+M157</f>
        <v>1480.3457678062389</v>
      </c>
      <c r="N80" s="2">
        <f t="shared" ca="1" si="56"/>
        <v>1186.3781612945979</v>
      </c>
      <c r="O80" s="2">
        <f t="shared" ca="1" si="56"/>
        <v>829.56887159090797</v>
      </c>
      <c r="P80" s="2">
        <f t="shared" ca="1" si="56"/>
        <v>0</v>
      </c>
    </row>
    <row r="81" spans="3:18" s="2" customFormat="1" x14ac:dyDescent="0.25">
      <c r="C81" s="2" t="s">
        <v>69</v>
      </c>
      <c r="G81" s="4"/>
      <c r="H81" s="4"/>
      <c r="I81" s="11"/>
      <c r="J81" s="11">
        <f>+J6</f>
        <v>633</v>
      </c>
      <c r="K81" s="13">
        <f t="shared" si="55"/>
        <v>633</v>
      </c>
      <c r="L81" s="2">
        <f ca="1">+L163</f>
        <v>633</v>
      </c>
      <c r="M81" s="2">
        <f t="shared" ref="M81:P81" ca="1" si="57">+M163</f>
        <v>633</v>
      </c>
      <c r="N81" s="2">
        <f t="shared" ca="1" si="57"/>
        <v>633</v>
      </c>
      <c r="O81" s="2">
        <f t="shared" ca="1" si="57"/>
        <v>633</v>
      </c>
      <c r="P81" s="2">
        <f t="shared" ca="1" si="57"/>
        <v>633</v>
      </c>
    </row>
    <row r="82" spans="3:18" x14ac:dyDescent="0.25">
      <c r="C82" t="s">
        <v>20</v>
      </c>
      <c r="G82" s="4">
        <v>1566</v>
      </c>
      <c r="H82" s="4">
        <v>1511</v>
      </c>
      <c r="I82" s="11">
        <f>+H82</f>
        <v>1511</v>
      </c>
      <c r="J82" s="11"/>
      <c r="K82" s="13">
        <f t="shared" si="55"/>
        <v>0</v>
      </c>
      <c r="L82" s="11"/>
      <c r="M82" s="11"/>
      <c r="N82" s="11"/>
      <c r="O82" s="11"/>
      <c r="P82" s="11"/>
      <c r="Q82" s="2"/>
      <c r="R82" s="2"/>
    </row>
    <row r="83" spans="3:18" x14ac:dyDescent="0.25">
      <c r="C83" t="s">
        <v>21</v>
      </c>
      <c r="G83" s="4">
        <v>427</v>
      </c>
      <c r="H83" s="4">
        <v>448</v>
      </c>
      <c r="I83" s="11"/>
      <c r="J83" s="11"/>
      <c r="K83" s="13">
        <f t="shared" si="55"/>
        <v>448</v>
      </c>
      <c r="L83" s="4">
        <f>+K83</f>
        <v>448</v>
      </c>
      <c r="M83" s="4">
        <f t="shared" ref="M83:P83" si="58">+L83</f>
        <v>448</v>
      </c>
      <c r="N83" s="4">
        <f t="shared" si="58"/>
        <v>448</v>
      </c>
      <c r="O83" s="4">
        <f t="shared" si="58"/>
        <v>448</v>
      </c>
      <c r="P83" s="4">
        <f t="shared" si="58"/>
        <v>448</v>
      </c>
    </row>
    <row r="84" spans="3:18" x14ac:dyDescent="0.25">
      <c r="C84" t="s">
        <v>22</v>
      </c>
      <c r="G84" s="9">
        <f>SUM(G77:G83)</f>
        <v>2101</v>
      </c>
      <c r="H84" s="9">
        <f>SUM(H77:H83)</f>
        <v>2066</v>
      </c>
      <c r="I84" s="11"/>
      <c r="J84" s="11"/>
      <c r="K84" s="9">
        <f>SUM(K77:K83)</f>
        <v>3087</v>
      </c>
      <c r="L84" s="9">
        <f t="shared" ref="L84:P84" ca="1" si="59">SUM(L77:L83)</f>
        <v>2911.1045457797804</v>
      </c>
      <c r="M84" s="9">
        <f t="shared" ca="1" si="59"/>
        <v>2683.5220090492285</v>
      </c>
      <c r="N84" s="9">
        <f t="shared" ca="1" si="59"/>
        <v>2398.1124281516877</v>
      </c>
      <c r="O84" s="9">
        <f t="shared" ca="1" si="59"/>
        <v>2050.0021890754397</v>
      </c>
      <c r="P84" s="9">
        <f t="shared" ca="1" si="59"/>
        <v>1632.1213153163112</v>
      </c>
    </row>
    <row r="85" spans="3:18" x14ac:dyDescent="0.25">
      <c r="I85" s="11"/>
      <c r="J85" s="11"/>
    </row>
    <row r="86" spans="3:18" x14ac:dyDescent="0.25">
      <c r="C86" t="s">
        <v>23</v>
      </c>
      <c r="G86" s="2">
        <f>+G75-G84</f>
        <v>338</v>
      </c>
      <c r="H86" s="2">
        <f>+H75-H84</f>
        <v>449</v>
      </c>
      <c r="I86" s="11">
        <f ca="1">+H86+N7</f>
        <v>488.88780000000003</v>
      </c>
      <c r="J86" s="11">
        <f ca="1">+J7</f>
        <v>2843.6278000000011</v>
      </c>
      <c r="K86" s="13">
        <f ca="1">+H86-I86+J86</f>
        <v>2803.7400000000011</v>
      </c>
      <c r="L86" s="2">
        <f ca="1">+K86+L58</f>
        <v>2870.9241965886922</v>
      </c>
      <c r="M86" s="2">
        <f t="shared" ref="M86:P86" ca="1" si="60">+L86+M58</f>
        <v>2989.1180889609905</v>
      </c>
      <c r="N86" s="2">
        <f t="shared" ca="1" si="60"/>
        <v>3166.4016540246412</v>
      </c>
      <c r="O86" s="2">
        <f t="shared" ca="1" si="60"/>
        <v>3407.7730038923837</v>
      </c>
      <c r="P86" s="2">
        <f t="shared" ca="1" si="60"/>
        <v>3720.3013082288539</v>
      </c>
    </row>
    <row r="88" spans="3:18" x14ac:dyDescent="0.25">
      <c r="C88" t="s">
        <v>24</v>
      </c>
      <c r="G88" s="2">
        <f>+G86+G84-G75</f>
        <v>0</v>
      </c>
      <c r="H88" s="2">
        <f>+H86+H84-H75</f>
        <v>0</v>
      </c>
      <c r="K88" s="2">
        <f ca="1">+K86+K84-K75</f>
        <v>0</v>
      </c>
      <c r="L88" s="2">
        <f ca="1">+L86+L84-L75</f>
        <v>0</v>
      </c>
      <c r="M88" s="2">
        <f t="shared" ref="M88:P88" ca="1" si="61">+M86+M84-M75</f>
        <v>0</v>
      </c>
      <c r="N88" s="2">
        <f t="shared" ca="1" si="61"/>
        <v>0</v>
      </c>
      <c r="O88" s="2">
        <f t="shared" ca="1" si="61"/>
        <v>0</v>
      </c>
      <c r="P88" s="2">
        <f t="shared" ca="1" si="61"/>
        <v>0</v>
      </c>
    </row>
    <row r="89" spans="3:18" s="2" customFormat="1" x14ac:dyDescent="0.25"/>
    <row r="90" spans="3:18" s="2" customFormat="1" x14ac:dyDescent="0.25">
      <c r="C90" s="2" t="s">
        <v>86</v>
      </c>
      <c r="K90" s="2">
        <f>+K65+K64-K78</f>
        <v>174</v>
      </c>
      <c r="L90" s="2">
        <f t="shared" ref="L90:P90" ca="1" si="62">+L65+L64-L78</f>
        <v>192.20681447462186</v>
      </c>
      <c r="M90" s="2">
        <f t="shared" ca="1" si="62"/>
        <v>206.55711391008549</v>
      </c>
      <c r="N90" s="2">
        <f t="shared" ca="1" si="62"/>
        <v>220.90690103352398</v>
      </c>
      <c r="O90" s="2">
        <f t="shared" ca="1" si="62"/>
        <v>235.24758976900497</v>
      </c>
      <c r="P90" s="2">
        <f t="shared" ca="1" si="62"/>
        <v>249.57923576063448</v>
      </c>
    </row>
    <row r="92" spans="3:18" x14ac:dyDescent="0.25">
      <c r="C92" s="3" t="s">
        <v>81</v>
      </c>
    </row>
    <row r="93" spans="3:18" x14ac:dyDescent="0.25">
      <c r="C93" t="s">
        <v>82</v>
      </c>
      <c r="F93" s="2">
        <f ca="1">+N5</f>
        <v>3988.78</v>
      </c>
    </row>
    <row r="94" spans="3:18" x14ac:dyDescent="0.25">
      <c r="C94" t="s">
        <v>83</v>
      </c>
      <c r="F94" s="2">
        <f>+H86-H72</f>
        <v>449</v>
      </c>
    </row>
    <row r="95" spans="3:18" x14ac:dyDescent="0.25">
      <c r="C95" s="9" t="s">
        <v>80</v>
      </c>
      <c r="D95" s="9"/>
      <c r="E95" s="9"/>
      <c r="F95" s="9">
        <f ca="1">+F93-F94</f>
        <v>3539.78</v>
      </c>
    </row>
    <row r="97" spans="1:16" x14ac:dyDescent="0.25">
      <c r="A97" t="s">
        <v>1</v>
      </c>
      <c r="B97" s="3" t="s">
        <v>84</v>
      </c>
    </row>
    <row r="98" spans="1:16" x14ac:dyDescent="0.25">
      <c r="C98" t="s">
        <v>85</v>
      </c>
      <c r="L98" s="4">
        <v>58</v>
      </c>
      <c r="M98" s="4">
        <v>58</v>
      </c>
      <c r="N98" s="4">
        <v>58</v>
      </c>
      <c r="O98" s="4">
        <v>58</v>
      </c>
      <c r="P98" s="4">
        <v>58</v>
      </c>
    </row>
    <row r="99" spans="1:16" x14ac:dyDescent="0.25">
      <c r="C99" t="s">
        <v>87</v>
      </c>
      <c r="L99" s="4">
        <v>52</v>
      </c>
      <c r="M99" s="4">
        <v>52</v>
      </c>
      <c r="N99" s="4">
        <v>52</v>
      </c>
      <c r="O99" s="4">
        <v>52</v>
      </c>
      <c r="P99" s="4">
        <v>52</v>
      </c>
    </row>
    <row r="100" spans="1:16" x14ac:dyDescent="0.25">
      <c r="C100" t="s">
        <v>88</v>
      </c>
      <c r="L100" s="4">
        <v>62</v>
      </c>
      <c r="M100" s="4">
        <v>62</v>
      </c>
      <c r="N100" s="4">
        <v>62</v>
      </c>
      <c r="O100" s="4">
        <v>62</v>
      </c>
      <c r="P100" s="4">
        <v>62</v>
      </c>
    </row>
    <row r="102" spans="1:16" x14ac:dyDescent="0.25">
      <c r="C102" t="s">
        <v>89</v>
      </c>
      <c r="L102" s="43">
        <v>4.0000000000000001E-3</v>
      </c>
      <c r="M102" s="43">
        <v>4.0000000000000001E-3</v>
      </c>
      <c r="N102" s="43">
        <v>4.0000000000000001E-3</v>
      </c>
      <c r="O102" s="43">
        <v>4.0000000000000001E-3</v>
      </c>
      <c r="P102" s="43">
        <v>4.0000000000000001E-3</v>
      </c>
    </row>
    <row r="103" spans="1:16" x14ac:dyDescent="0.25">
      <c r="C103" t="s">
        <v>90</v>
      </c>
      <c r="L103" s="43">
        <v>1.2E-2</v>
      </c>
      <c r="M103" s="43">
        <v>1.2E-2</v>
      </c>
      <c r="N103" s="43">
        <v>1.2E-2</v>
      </c>
      <c r="O103" s="43">
        <v>1.2E-2</v>
      </c>
      <c r="P103" s="43">
        <v>1.2E-2</v>
      </c>
    </row>
    <row r="104" spans="1:16" s="2" customFormat="1" x14ac:dyDescent="0.25">
      <c r="C104" s="2" t="s">
        <v>92</v>
      </c>
      <c r="L104" s="12">
        <f>+L103+L102</f>
        <v>1.6E-2</v>
      </c>
      <c r="M104" s="12">
        <f t="shared" ref="M104:P104" si="63">+M103+M102</f>
        <v>1.6E-2</v>
      </c>
      <c r="N104" s="12">
        <f t="shared" si="63"/>
        <v>1.6E-2</v>
      </c>
      <c r="O104" s="12">
        <f t="shared" si="63"/>
        <v>1.6E-2</v>
      </c>
      <c r="P104" s="12">
        <f t="shared" si="63"/>
        <v>1.6E-2</v>
      </c>
    </row>
    <row r="106" spans="1:16" x14ac:dyDescent="0.25">
      <c r="C106" t="s">
        <v>91</v>
      </c>
      <c r="L106">
        <f>+K109</f>
        <v>123</v>
      </c>
      <c r="M106" s="2">
        <f t="shared" ref="M106:P106" ca="1" si="64">+L109</f>
        <v>139.80720000000002</v>
      </c>
      <c r="N106" s="2">
        <f t="shared" ca="1" si="64"/>
        <v>157.86960000000002</v>
      </c>
      <c r="O106" s="2">
        <f t="shared" ca="1" si="64"/>
        <v>177.18720000000002</v>
      </c>
      <c r="P106" s="2">
        <f t="shared" ca="1" si="64"/>
        <v>197.76000000000002</v>
      </c>
    </row>
    <row r="107" spans="1:16" x14ac:dyDescent="0.25">
      <c r="C107" t="s">
        <v>93</v>
      </c>
      <c r="L107">
        <f ca="1">+L104*L25</f>
        <v>22.409599999999998</v>
      </c>
      <c r="M107" s="2">
        <f t="shared" ref="M107:P107" ca="1" si="65">+M104*M25</f>
        <v>24.083199999999998</v>
      </c>
      <c r="N107" s="2">
        <f t="shared" ca="1" si="65"/>
        <v>25.756799999999995</v>
      </c>
      <c r="O107" s="2">
        <f t="shared" ca="1" si="65"/>
        <v>27.430399999999995</v>
      </c>
      <c r="P107" s="2">
        <f t="shared" ca="1" si="65"/>
        <v>29.103999999999999</v>
      </c>
    </row>
    <row r="108" spans="1:16" x14ac:dyDescent="0.25">
      <c r="C108" t="s">
        <v>76</v>
      </c>
      <c r="G108" s="37" t="s">
        <v>95</v>
      </c>
      <c r="H108" s="38"/>
      <c r="I108" s="45">
        <v>4.0000000000000001E-3</v>
      </c>
      <c r="L108">
        <f ca="1">+$I$108*L25*-1</f>
        <v>-5.6023999999999994</v>
      </c>
      <c r="M108" s="2">
        <f t="shared" ref="M108:P108" ca="1" si="66">+$I$108*M25*-1</f>
        <v>-6.0207999999999995</v>
      </c>
      <c r="N108" s="2">
        <f t="shared" ca="1" si="66"/>
        <v>-6.4391999999999987</v>
      </c>
      <c r="O108" s="2">
        <f t="shared" ca="1" si="66"/>
        <v>-6.8575999999999988</v>
      </c>
      <c r="P108" s="2">
        <f t="shared" ca="1" si="66"/>
        <v>-7.2759999999999998</v>
      </c>
    </row>
    <row r="109" spans="1:16" x14ac:dyDescent="0.25">
      <c r="C109" t="s">
        <v>94</v>
      </c>
      <c r="K109" s="13">
        <f>+K68</f>
        <v>123</v>
      </c>
      <c r="L109" s="9">
        <f ca="1">+SUM(L106:L108)</f>
        <v>139.80720000000002</v>
      </c>
      <c r="M109" s="9">
        <f t="shared" ref="M109:P109" ca="1" si="67">+SUM(M106:M108)</f>
        <v>157.86960000000002</v>
      </c>
      <c r="N109" s="9">
        <f t="shared" ca="1" si="67"/>
        <v>177.18720000000002</v>
      </c>
      <c r="O109" s="9">
        <f t="shared" ca="1" si="67"/>
        <v>197.76000000000002</v>
      </c>
      <c r="P109" s="9">
        <f t="shared" ca="1" si="67"/>
        <v>219.58800000000002</v>
      </c>
    </row>
    <row r="111" spans="1:16" x14ac:dyDescent="0.25">
      <c r="C111" s="2" t="s">
        <v>96</v>
      </c>
      <c r="L111">
        <f>+K114</f>
        <v>1674</v>
      </c>
      <c r="M111" s="2">
        <f t="shared" ref="M111:P111" si="68">+L114</f>
        <v>1534.5</v>
      </c>
      <c r="N111" s="2">
        <f t="shared" si="68"/>
        <v>1395</v>
      </c>
      <c r="O111" s="2">
        <f t="shared" si="68"/>
        <v>1255.5</v>
      </c>
      <c r="P111" s="2">
        <f t="shared" si="68"/>
        <v>1116</v>
      </c>
    </row>
    <row r="112" spans="1:16" x14ac:dyDescent="0.25">
      <c r="C112" s="2" t="s">
        <v>97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</row>
    <row r="113" spans="1:16" x14ac:dyDescent="0.25">
      <c r="C113" s="2" t="s">
        <v>98</v>
      </c>
      <c r="G113" s="37" t="s">
        <v>100</v>
      </c>
      <c r="H113" s="38"/>
      <c r="I113" s="46">
        <v>12</v>
      </c>
      <c r="L113">
        <f>+MIN(L111, $K$114/$I$113)*-1</f>
        <v>-139.5</v>
      </c>
      <c r="M113" s="2">
        <f t="shared" ref="M113:P113" si="69">+MIN(M111, $K$114/$I$113)*-1</f>
        <v>-139.5</v>
      </c>
      <c r="N113" s="2">
        <f t="shared" si="69"/>
        <v>-139.5</v>
      </c>
      <c r="O113" s="2">
        <f t="shared" si="69"/>
        <v>-139.5</v>
      </c>
      <c r="P113" s="2">
        <f t="shared" si="69"/>
        <v>-139.5</v>
      </c>
    </row>
    <row r="114" spans="1:16" x14ac:dyDescent="0.25">
      <c r="C114" s="2" t="s">
        <v>99</v>
      </c>
      <c r="K114" s="13">
        <f>+K69</f>
        <v>1674</v>
      </c>
      <c r="L114" s="9">
        <f>+SUM(L111:L113)</f>
        <v>1534.5</v>
      </c>
      <c r="M114" s="9">
        <f t="shared" ref="M114" si="70">+SUM(M111:M113)</f>
        <v>1395</v>
      </c>
      <c r="N114" s="9">
        <f t="shared" ref="N114" si="71">+SUM(N111:N113)</f>
        <v>1255.5</v>
      </c>
      <c r="O114" s="9">
        <f t="shared" ref="O114" si="72">+SUM(O111:O113)</f>
        <v>1116</v>
      </c>
      <c r="P114" s="9">
        <f t="shared" ref="P114" si="73">+SUM(P111:P113)</f>
        <v>976.5</v>
      </c>
    </row>
    <row r="116" spans="1:16" x14ac:dyDescent="0.25">
      <c r="C116" t="s">
        <v>103</v>
      </c>
      <c r="L116">
        <f ca="1">+L113+L108</f>
        <v>-145.10239999999999</v>
      </c>
      <c r="M116" s="2">
        <f t="shared" ref="M116:P116" ca="1" si="74">+M113+M108</f>
        <v>-145.52080000000001</v>
      </c>
      <c r="N116" s="2">
        <f t="shared" ca="1" si="74"/>
        <v>-145.9392</v>
      </c>
      <c r="O116" s="2">
        <f t="shared" ca="1" si="74"/>
        <v>-146.35759999999999</v>
      </c>
      <c r="P116" s="2">
        <f t="shared" ca="1" si="74"/>
        <v>-146.77600000000001</v>
      </c>
    </row>
    <row r="118" spans="1:16" x14ac:dyDescent="0.25">
      <c r="C118" t="s">
        <v>101</v>
      </c>
      <c r="L118">
        <f>+K120</f>
        <v>75.959999999999994</v>
      </c>
      <c r="M118" s="2">
        <f t="shared" ref="M118:P118" si="75">+L120</f>
        <v>65.108571428571423</v>
      </c>
      <c r="N118" s="2">
        <f t="shared" si="75"/>
        <v>54.257142857142853</v>
      </c>
      <c r="O118" s="2">
        <f t="shared" si="75"/>
        <v>43.405714285714282</v>
      </c>
      <c r="P118" s="2">
        <f t="shared" si="75"/>
        <v>32.554285714285712</v>
      </c>
    </row>
    <row r="119" spans="1:16" x14ac:dyDescent="0.25">
      <c r="C119" t="s">
        <v>98</v>
      </c>
      <c r="G119" s="37" t="s">
        <v>100</v>
      </c>
      <c r="H119" s="38"/>
      <c r="I119" s="46">
        <v>7</v>
      </c>
      <c r="L119">
        <f>+MIN(L118, $K$120/$I$119)*-1</f>
        <v>-10.851428571428571</v>
      </c>
      <c r="M119" s="2">
        <f t="shared" ref="M119:P119" si="76">+MIN(M118, $K$120/$I$119)*-1</f>
        <v>-10.851428571428571</v>
      </c>
      <c r="N119" s="2">
        <f t="shared" si="76"/>
        <v>-10.851428571428571</v>
      </c>
      <c r="O119" s="2">
        <f t="shared" si="76"/>
        <v>-10.851428571428571</v>
      </c>
      <c r="P119" s="2">
        <f t="shared" si="76"/>
        <v>-10.851428571428571</v>
      </c>
    </row>
    <row r="120" spans="1:16" x14ac:dyDescent="0.25">
      <c r="C120" s="2" t="s">
        <v>102</v>
      </c>
      <c r="K120" s="13">
        <f>+K71</f>
        <v>75.959999999999994</v>
      </c>
      <c r="L120" s="9">
        <f>SUM(L118:L119)</f>
        <v>65.108571428571423</v>
      </c>
      <c r="M120" s="9">
        <f t="shared" ref="M120:P120" si="77">SUM(M118:M119)</f>
        <v>54.257142857142853</v>
      </c>
      <c r="N120" s="9">
        <f t="shared" si="77"/>
        <v>43.405714285714282</v>
      </c>
      <c r="O120" s="9">
        <f t="shared" si="77"/>
        <v>32.554285714285712</v>
      </c>
      <c r="P120" s="9">
        <f t="shared" si="77"/>
        <v>21.702857142857141</v>
      </c>
    </row>
    <row r="122" spans="1:16" x14ac:dyDescent="0.25">
      <c r="A122" t="s">
        <v>1</v>
      </c>
      <c r="B122" s="86" t="s">
        <v>110</v>
      </c>
      <c r="C122" s="56"/>
      <c r="D122" s="56"/>
      <c r="E122" s="56"/>
      <c r="F122" s="56"/>
      <c r="G122" s="56"/>
      <c r="H122" s="56"/>
      <c r="I122" s="56"/>
      <c r="J122" s="56"/>
      <c r="K122" s="70">
        <v>2017</v>
      </c>
      <c r="L122" s="71">
        <f>+K122+1</f>
        <v>2018</v>
      </c>
      <c r="M122" s="71">
        <f t="shared" ref="M122:P122" si="78">+L122+1</f>
        <v>2019</v>
      </c>
      <c r="N122" s="71">
        <f t="shared" si="78"/>
        <v>2020</v>
      </c>
      <c r="O122" s="71">
        <f t="shared" si="78"/>
        <v>2021</v>
      </c>
      <c r="P122" s="73">
        <f t="shared" si="78"/>
        <v>2022</v>
      </c>
    </row>
    <row r="123" spans="1:16" x14ac:dyDescent="0.25">
      <c r="B123" s="25"/>
      <c r="C123" s="26" t="s">
        <v>109</v>
      </c>
      <c r="D123" s="26"/>
      <c r="E123" s="26"/>
      <c r="F123" s="26"/>
      <c r="G123" s="26"/>
      <c r="H123" s="26"/>
      <c r="I123" s="26"/>
      <c r="J123" s="26"/>
      <c r="K123" s="26"/>
      <c r="L123" s="26">
        <f ca="1">+L58</f>
        <v>67.184196588691037</v>
      </c>
      <c r="M123" s="26">
        <f t="shared" ref="M123:P123" ca="1" si="79">+M58</f>
        <v>118.19389237229839</v>
      </c>
      <c r="N123" s="26">
        <f t="shared" ca="1" si="79"/>
        <v>177.28356506365085</v>
      </c>
      <c r="O123" s="26">
        <f t="shared" ca="1" si="79"/>
        <v>241.37134986774251</v>
      </c>
      <c r="P123" s="27">
        <f t="shared" ca="1" si="79"/>
        <v>312.5283043364704</v>
      </c>
    </row>
    <row r="124" spans="1:16" x14ac:dyDescent="0.25">
      <c r="B124" s="25"/>
      <c r="C124" s="26" t="s">
        <v>111</v>
      </c>
      <c r="D124" s="26"/>
      <c r="E124" s="26"/>
      <c r="F124" s="26"/>
      <c r="G124" s="26"/>
      <c r="H124" s="26"/>
      <c r="I124" s="26"/>
      <c r="J124" s="26"/>
      <c r="K124" s="26"/>
      <c r="L124" s="26">
        <f ca="1">+L116*-1</f>
        <v>145.10239999999999</v>
      </c>
      <c r="M124" s="26">
        <f t="shared" ref="M124:P124" ca="1" si="80">+M116*-1</f>
        <v>145.52080000000001</v>
      </c>
      <c r="N124" s="26">
        <f t="shared" ca="1" si="80"/>
        <v>145.9392</v>
      </c>
      <c r="O124" s="26">
        <f t="shared" ca="1" si="80"/>
        <v>146.35759999999999</v>
      </c>
      <c r="P124" s="27">
        <f t="shared" ca="1" si="80"/>
        <v>146.77600000000001</v>
      </c>
    </row>
    <row r="125" spans="1:16" x14ac:dyDescent="0.25">
      <c r="B125" s="25"/>
      <c r="C125" s="26" t="s">
        <v>112</v>
      </c>
      <c r="D125" s="26"/>
      <c r="E125" s="26"/>
      <c r="F125" s="26"/>
      <c r="G125" s="26"/>
      <c r="H125" s="26"/>
      <c r="I125" s="26"/>
      <c r="J125" s="26"/>
      <c r="K125" s="26"/>
      <c r="L125" s="26">
        <f>+L119*-1</f>
        <v>10.851428571428571</v>
      </c>
      <c r="M125" s="26">
        <f t="shared" ref="M125:P125" si="81">+M119*-1</f>
        <v>10.851428571428571</v>
      </c>
      <c r="N125" s="26">
        <f t="shared" si="81"/>
        <v>10.851428571428571</v>
      </c>
      <c r="O125" s="26">
        <f t="shared" si="81"/>
        <v>10.851428571428571</v>
      </c>
      <c r="P125" s="27">
        <f t="shared" si="81"/>
        <v>10.851428571428571</v>
      </c>
    </row>
    <row r="126" spans="1:16" x14ac:dyDescent="0.25">
      <c r="B126" s="25"/>
      <c r="C126" s="26" t="s">
        <v>113</v>
      </c>
      <c r="D126" s="26"/>
      <c r="E126" s="26"/>
      <c r="F126" s="26"/>
      <c r="G126" s="26"/>
      <c r="H126" s="26"/>
      <c r="I126" s="26"/>
      <c r="J126" s="26"/>
      <c r="K126" s="26"/>
      <c r="L126" s="26">
        <f ca="1">+K90-L90</f>
        <v>-18.206814474621865</v>
      </c>
      <c r="M126" s="26">
        <f t="shared" ref="M126:P126" ca="1" si="82">+L90-M90</f>
        <v>-14.350299435463626</v>
      </c>
      <c r="N126" s="26">
        <f t="shared" ca="1" si="82"/>
        <v>-14.349787123438489</v>
      </c>
      <c r="O126" s="26">
        <f t="shared" ca="1" si="82"/>
        <v>-14.340688735480995</v>
      </c>
      <c r="P126" s="27">
        <f t="shared" ca="1" si="82"/>
        <v>-14.3316459916295</v>
      </c>
    </row>
    <row r="127" spans="1:16" x14ac:dyDescent="0.25">
      <c r="B127" s="25"/>
      <c r="C127" s="78" t="s">
        <v>114</v>
      </c>
      <c r="D127" s="26"/>
      <c r="E127" s="26"/>
      <c r="F127" s="26"/>
      <c r="G127" s="26"/>
      <c r="H127" s="26"/>
      <c r="I127" s="26"/>
      <c r="J127" s="26"/>
      <c r="K127" s="26"/>
      <c r="L127" s="9">
        <f ca="1">SUM(L123:L126)</f>
        <v>204.93121068549772</v>
      </c>
      <c r="M127" s="9">
        <f t="shared" ref="M127:P127" ca="1" si="83">SUM(M123:M126)</f>
        <v>260.21582150826333</v>
      </c>
      <c r="N127" s="9">
        <f t="shared" ca="1" si="83"/>
        <v>319.72440651164095</v>
      </c>
      <c r="O127" s="9">
        <f t="shared" ca="1" si="83"/>
        <v>384.23968970369003</v>
      </c>
      <c r="P127" s="24">
        <f t="shared" ca="1" si="83"/>
        <v>455.82408691626949</v>
      </c>
    </row>
    <row r="128" spans="1:16" x14ac:dyDescent="0.25">
      <c r="B128" s="25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7"/>
    </row>
    <row r="129" spans="1:16" x14ac:dyDescent="0.25">
      <c r="B129" s="25"/>
      <c r="C129" s="26" t="s">
        <v>93</v>
      </c>
      <c r="D129" s="26"/>
      <c r="E129" s="26"/>
      <c r="F129" s="26"/>
      <c r="G129" s="26"/>
      <c r="H129" s="26"/>
      <c r="I129" s="26"/>
      <c r="J129" s="26"/>
      <c r="K129" s="26"/>
      <c r="L129" s="26">
        <f ca="1">+L107*-1</f>
        <v>-22.409599999999998</v>
      </c>
      <c r="M129" s="26">
        <f t="shared" ref="M129:P129" ca="1" si="84">+M107*-1</f>
        <v>-24.083199999999998</v>
      </c>
      <c r="N129" s="26">
        <f t="shared" ca="1" si="84"/>
        <v>-25.756799999999995</v>
      </c>
      <c r="O129" s="26">
        <f t="shared" ca="1" si="84"/>
        <v>-27.430399999999995</v>
      </c>
      <c r="P129" s="27">
        <f t="shared" ca="1" si="84"/>
        <v>-29.103999999999999</v>
      </c>
    </row>
    <row r="130" spans="1:16" x14ac:dyDescent="0.25">
      <c r="B130" s="25"/>
      <c r="C130" s="78" t="s">
        <v>117</v>
      </c>
      <c r="D130" s="26"/>
      <c r="E130" s="26"/>
      <c r="F130" s="26"/>
      <c r="G130" s="26"/>
      <c r="H130" s="26"/>
      <c r="I130" s="26"/>
      <c r="J130" s="26"/>
      <c r="K130" s="26"/>
      <c r="L130" s="9">
        <f ca="1">+L129</f>
        <v>-22.409599999999998</v>
      </c>
      <c r="M130" s="9">
        <f t="shared" ref="M130:P130" ca="1" si="85">+M129</f>
        <v>-24.083199999999998</v>
      </c>
      <c r="N130" s="9">
        <f t="shared" ca="1" si="85"/>
        <v>-25.756799999999995</v>
      </c>
      <c r="O130" s="9">
        <f t="shared" ca="1" si="85"/>
        <v>-27.430399999999995</v>
      </c>
      <c r="P130" s="24">
        <f t="shared" ca="1" si="85"/>
        <v>-29.103999999999999</v>
      </c>
    </row>
    <row r="131" spans="1:16" x14ac:dyDescent="0.25">
      <c r="B131" s="25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7"/>
    </row>
    <row r="132" spans="1:16" x14ac:dyDescent="0.25">
      <c r="B132" s="25"/>
      <c r="C132" s="26" t="s">
        <v>116</v>
      </c>
      <c r="D132" s="26"/>
      <c r="E132" s="26"/>
      <c r="F132" s="26"/>
      <c r="G132" s="26"/>
      <c r="H132" s="26"/>
      <c r="I132" s="26"/>
      <c r="J132" s="26"/>
      <c r="K132" s="26"/>
      <c r="L132" s="26">
        <f ca="1">+L150+L155+L156+L161+L162</f>
        <v>-182.52161068549771</v>
      </c>
      <c r="M132" s="26">
        <f t="shared" ref="M132:P132" ca="1" si="86">+M150+M155+M156+M161+M162</f>
        <v>-236.13262150826336</v>
      </c>
      <c r="N132" s="26">
        <f t="shared" ca="1" si="86"/>
        <v>-293.96760651164095</v>
      </c>
      <c r="O132" s="26">
        <f t="shared" ca="1" si="86"/>
        <v>-356.80928970369001</v>
      </c>
      <c r="P132" s="27">
        <f t="shared" ca="1" si="86"/>
        <v>-426.72008691626957</v>
      </c>
    </row>
    <row r="133" spans="1:16" x14ac:dyDescent="0.25">
      <c r="B133" s="25"/>
      <c r="C133" s="78" t="s">
        <v>115</v>
      </c>
      <c r="D133" s="26"/>
      <c r="E133" s="26"/>
      <c r="F133" s="26"/>
      <c r="G133" s="26"/>
      <c r="H133" s="26"/>
      <c r="I133" s="26"/>
      <c r="J133" s="26"/>
      <c r="K133" s="26"/>
      <c r="L133" s="9">
        <f ca="1">+L132</f>
        <v>-182.52161068549771</v>
      </c>
      <c r="M133" s="9">
        <f t="shared" ref="M133" ca="1" si="87">+M132</f>
        <v>-236.13262150826336</v>
      </c>
      <c r="N133" s="9">
        <f t="shared" ref="N133" ca="1" si="88">+N132</f>
        <v>-293.96760651164095</v>
      </c>
      <c r="O133" s="9">
        <f t="shared" ref="O133" ca="1" si="89">+O132</f>
        <v>-356.80928970369001</v>
      </c>
      <c r="P133" s="24">
        <f t="shared" ref="P133" ca="1" si="90">+P132</f>
        <v>-426.72008691626957</v>
      </c>
    </row>
    <row r="134" spans="1:16" x14ac:dyDescent="0.25">
      <c r="B134" s="25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7"/>
    </row>
    <row r="135" spans="1:16" x14ac:dyDescent="0.25">
      <c r="B135" s="25"/>
      <c r="C135" s="26" t="s">
        <v>118</v>
      </c>
      <c r="D135" s="26"/>
      <c r="E135" s="26"/>
      <c r="F135" s="26"/>
      <c r="G135" s="26"/>
      <c r="H135" s="26"/>
      <c r="I135" s="26"/>
      <c r="J135" s="26"/>
      <c r="K135" s="26"/>
      <c r="L135" s="26">
        <f ca="1">+L133+L130+L127</f>
        <v>0</v>
      </c>
      <c r="M135" s="26">
        <f t="shared" ref="M135:P135" ca="1" si="91">+M133+M130+M127</f>
        <v>0</v>
      </c>
      <c r="N135" s="26">
        <f t="shared" ca="1" si="91"/>
        <v>0</v>
      </c>
      <c r="O135" s="26">
        <f t="shared" ca="1" si="91"/>
        <v>0</v>
      </c>
      <c r="P135" s="27">
        <f t="shared" ca="1" si="91"/>
        <v>0</v>
      </c>
    </row>
    <row r="136" spans="1:16" x14ac:dyDescent="0.25">
      <c r="B136" s="25"/>
      <c r="C136" s="26" t="s">
        <v>170</v>
      </c>
      <c r="D136" s="26"/>
      <c r="E136" s="26"/>
      <c r="F136" s="26"/>
      <c r="G136" s="26"/>
      <c r="H136" s="26"/>
      <c r="I136" s="26"/>
      <c r="J136" s="26"/>
      <c r="K136" s="26"/>
      <c r="L136" s="26">
        <f ca="1">+L127+L129</f>
        <v>182.52161068549771</v>
      </c>
      <c r="M136" s="26">
        <f t="shared" ref="M136:P136" ca="1" si="92">+M127+M129</f>
        <v>236.13262150826333</v>
      </c>
      <c r="N136" s="26">
        <f t="shared" ca="1" si="92"/>
        <v>293.96760651164095</v>
      </c>
      <c r="O136" s="26">
        <f t="shared" ca="1" si="92"/>
        <v>356.80928970369001</v>
      </c>
      <c r="P136" s="27">
        <f t="shared" ca="1" si="92"/>
        <v>426.72008691626951</v>
      </c>
    </row>
    <row r="137" spans="1:16" s="2" customFormat="1" x14ac:dyDescent="0.25">
      <c r="B137" s="28"/>
      <c r="C137" s="29" t="s">
        <v>171</v>
      </c>
      <c r="D137" s="29"/>
      <c r="E137" s="29"/>
      <c r="F137" s="29"/>
      <c r="G137" s="29"/>
      <c r="H137" s="29"/>
      <c r="I137" s="29"/>
      <c r="J137" s="29"/>
      <c r="K137" s="29"/>
      <c r="L137" s="29">
        <f ca="1">+L136-L53</f>
        <v>366.03335431150526</v>
      </c>
      <c r="M137" s="29">
        <f t="shared" ref="M137:P137" ca="1" si="93">+M136-M53</f>
        <v>404.99146700748929</v>
      </c>
      <c r="N137" s="29">
        <f t="shared" ca="1" si="93"/>
        <v>444.27294403017027</v>
      </c>
      <c r="O137" s="29">
        <f t="shared" ca="1" si="93"/>
        <v>484.33743585468272</v>
      </c>
      <c r="P137" s="30">
        <f t="shared" ca="1" si="93"/>
        <v>526.82470488556362</v>
      </c>
    </row>
    <row r="138" spans="1:16" s="2" customFormat="1" x14ac:dyDescent="0.25"/>
    <row r="139" spans="1:16" x14ac:dyDescent="0.25">
      <c r="A139" t="s">
        <v>1</v>
      </c>
      <c r="B139" t="s">
        <v>119</v>
      </c>
    </row>
    <row r="140" spans="1:16" x14ac:dyDescent="0.25">
      <c r="C140" t="s">
        <v>120</v>
      </c>
      <c r="L140">
        <f ca="1">+L127+L129</f>
        <v>182.52161068549771</v>
      </c>
      <c r="M140" s="2">
        <f ca="1">+M127+M129</f>
        <v>236.13262150826333</v>
      </c>
      <c r="N140" s="2">
        <f ca="1">+N127+N129</f>
        <v>293.96760651164095</v>
      </c>
      <c r="O140" s="2">
        <f ca="1">+O127+O129</f>
        <v>356.80928970369001</v>
      </c>
      <c r="P140" s="2">
        <f ca="1">+P127+P129</f>
        <v>426.72008691626951</v>
      </c>
    </row>
    <row r="141" spans="1:16" x14ac:dyDescent="0.25">
      <c r="C141" t="s">
        <v>121</v>
      </c>
      <c r="L141">
        <f>+K63</f>
        <v>150</v>
      </c>
      <c r="M141" s="2">
        <f ca="1">+L63</f>
        <v>150</v>
      </c>
      <c r="N141" s="2">
        <f ca="1">+M63</f>
        <v>150</v>
      </c>
      <c r="O141" s="2">
        <f ca="1">+N63</f>
        <v>150</v>
      </c>
      <c r="P141" s="2">
        <f ca="1">+O63</f>
        <v>150</v>
      </c>
    </row>
    <row r="142" spans="1:16" x14ac:dyDescent="0.25">
      <c r="C142" t="s">
        <v>122</v>
      </c>
      <c r="L142">
        <f>+$N$9*-1</f>
        <v>-150</v>
      </c>
      <c r="M142" s="2">
        <f t="shared" ref="M142:P142" si="94">+$N$9*-1</f>
        <v>-150</v>
      </c>
      <c r="N142" s="2">
        <f t="shared" si="94"/>
        <v>-150</v>
      </c>
      <c r="O142" s="2">
        <f t="shared" si="94"/>
        <v>-150</v>
      </c>
      <c r="P142" s="2">
        <f t="shared" si="94"/>
        <v>-150</v>
      </c>
    </row>
    <row r="143" spans="1:16" x14ac:dyDescent="0.25">
      <c r="C143" t="s">
        <v>123</v>
      </c>
      <c r="L143" s="9">
        <f ca="1">SUM(L140:L142)</f>
        <v>182.52161068549771</v>
      </c>
      <c r="M143" s="9">
        <f t="shared" ref="M143:P143" ca="1" si="95">SUM(M140:M142)</f>
        <v>236.13262150826336</v>
      </c>
      <c r="N143" s="9">
        <f t="shared" ca="1" si="95"/>
        <v>293.96760651164095</v>
      </c>
      <c r="O143" s="9">
        <f t="shared" ca="1" si="95"/>
        <v>356.80928970369001</v>
      </c>
      <c r="P143" s="9">
        <f t="shared" ca="1" si="95"/>
        <v>426.72008691626957</v>
      </c>
    </row>
    <row r="145" spans="3:16" x14ac:dyDescent="0.25">
      <c r="C145" t="s">
        <v>124</v>
      </c>
      <c r="L145">
        <f>+L155+L161</f>
        <v>0</v>
      </c>
      <c r="M145" s="2">
        <f t="shared" ref="M145:P145" si="96">+M155+M161</f>
        <v>0</v>
      </c>
      <c r="N145" s="2">
        <f t="shared" si="96"/>
        <v>0</v>
      </c>
      <c r="O145" s="2">
        <f t="shared" si="96"/>
        <v>0</v>
      </c>
      <c r="P145" s="2">
        <f t="shared" ca="1" si="96"/>
        <v>-829.56887159090797</v>
      </c>
    </row>
    <row r="147" spans="3:16" x14ac:dyDescent="0.25">
      <c r="C147" t="s">
        <v>125</v>
      </c>
      <c r="L147">
        <f ca="1">+L145+L143</f>
        <v>182.52161068549771</v>
      </c>
      <c r="M147" s="2">
        <f t="shared" ref="M147:P147" ca="1" si="97">+M145+M143</f>
        <v>236.13262150826336</v>
      </c>
      <c r="N147" s="2">
        <f t="shared" ca="1" si="97"/>
        <v>293.96760651164095</v>
      </c>
      <c r="O147" s="2">
        <f t="shared" ca="1" si="97"/>
        <v>356.80928970369001</v>
      </c>
      <c r="P147" s="2">
        <f t="shared" ca="1" si="97"/>
        <v>-402.84878467463841</v>
      </c>
    </row>
    <row r="149" spans="3:16" x14ac:dyDescent="0.25">
      <c r="C149" t="s">
        <v>127</v>
      </c>
      <c r="L149">
        <f>+K151</f>
        <v>0</v>
      </c>
      <c r="M149" s="2">
        <f t="shared" ref="M149:P149" ca="1" si="98">+L151</f>
        <v>0</v>
      </c>
      <c r="N149" s="2">
        <f t="shared" ca="1" si="98"/>
        <v>0</v>
      </c>
      <c r="O149" s="2">
        <f t="shared" ca="1" si="98"/>
        <v>0</v>
      </c>
      <c r="P149" s="2">
        <f t="shared" ca="1" si="98"/>
        <v>0</v>
      </c>
    </row>
    <row r="150" spans="3:16" x14ac:dyDescent="0.25">
      <c r="C150" t="s">
        <v>128</v>
      </c>
      <c r="L150">
        <f ca="1">+MIN(L149, L147)*-1</f>
        <v>0</v>
      </c>
      <c r="M150" s="2">
        <f t="shared" ref="M150:P150" ca="1" si="99">+MIN(M149, M147)*-1</f>
        <v>0</v>
      </c>
      <c r="N150" s="2">
        <f t="shared" ca="1" si="99"/>
        <v>0</v>
      </c>
      <c r="O150" s="2">
        <f t="shared" ca="1" si="99"/>
        <v>0</v>
      </c>
      <c r="P150" s="2">
        <f t="shared" ca="1" si="99"/>
        <v>402.84878467463841</v>
      </c>
    </row>
    <row r="151" spans="3:16" x14ac:dyDescent="0.25">
      <c r="C151" t="s">
        <v>129</v>
      </c>
      <c r="K151" s="13">
        <f>+K77</f>
        <v>0</v>
      </c>
      <c r="L151" s="9">
        <f ca="1">SUM(L149:L150)</f>
        <v>0</v>
      </c>
      <c r="M151" s="9">
        <f t="shared" ref="M151:P151" ca="1" si="100">SUM(M149:M150)</f>
        <v>0</v>
      </c>
      <c r="N151" s="9">
        <f t="shared" ca="1" si="100"/>
        <v>0</v>
      </c>
      <c r="O151" s="9">
        <f t="shared" ca="1" si="100"/>
        <v>0</v>
      </c>
      <c r="P151" s="9">
        <f t="shared" ca="1" si="100"/>
        <v>402.84878467463841</v>
      </c>
    </row>
    <row r="152" spans="3:16" x14ac:dyDescent="0.25">
      <c r="C152" s="1" t="s">
        <v>58</v>
      </c>
      <c r="G152" s="37" t="s">
        <v>130</v>
      </c>
      <c r="H152" s="38"/>
      <c r="I152" s="44">
        <f>+F12</f>
        <v>7.0000000000000007E-2</v>
      </c>
      <c r="L152" s="1">
        <f ca="1">+AVERAGE(L151,L149)*$I$152*-1</f>
        <v>0</v>
      </c>
      <c r="M152" s="1">
        <f t="shared" ref="M152:P152" ca="1" si="101">+AVERAGE(M151,M149)*$I$152*-1</f>
        <v>0</v>
      </c>
      <c r="N152" s="1">
        <f t="shared" ca="1" si="101"/>
        <v>0</v>
      </c>
      <c r="O152" s="1">
        <f t="shared" ca="1" si="101"/>
        <v>0</v>
      </c>
      <c r="P152" s="1">
        <f t="shared" ca="1" si="101"/>
        <v>-14.099707463612345</v>
      </c>
    </row>
    <row r="154" spans="3:16" x14ac:dyDescent="0.25">
      <c r="C154" t="s">
        <v>126</v>
      </c>
      <c r="L154">
        <f>+K157</f>
        <v>1899</v>
      </c>
      <c r="M154" s="2">
        <f t="shared" ref="M154:P154" ca="1" si="102">+L157</f>
        <v>1716.4783893145022</v>
      </c>
      <c r="N154" s="2">
        <f t="shared" ca="1" si="102"/>
        <v>1480.3457678062389</v>
      </c>
      <c r="O154" s="2">
        <f t="shared" ca="1" si="102"/>
        <v>1186.3781612945979</v>
      </c>
      <c r="P154" s="2">
        <f t="shared" ca="1" si="102"/>
        <v>829.56887159090797</v>
      </c>
    </row>
    <row r="155" spans="3:16" x14ac:dyDescent="0.25">
      <c r="C155" t="s">
        <v>131</v>
      </c>
      <c r="L155">
        <f>+IF($F$13=L22, L154, 0)*-1</f>
        <v>0</v>
      </c>
      <c r="M155" s="2">
        <f>+IF($F$13=M22, M154, 0)*-1</f>
        <v>0</v>
      </c>
      <c r="N155" s="2">
        <f>+IF($F$13=N22, N154, 0)*-1</f>
        <v>0</v>
      </c>
      <c r="O155" s="2">
        <f>+IF($F$13=O22, O154, 0)*-1</f>
        <v>0</v>
      </c>
      <c r="P155" s="2">
        <f ca="1">+IF($F$13=P22, P154, 0)*-1</f>
        <v>-829.56887159090797</v>
      </c>
    </row>
    <row r="156" spans="3:16" x14ac:dyDescent="0.25">
      <c r="C156" t="s">
        <v>60</v>
      </c>
      <c r="L156">
        <f ca="1">+MIN(L154+L155, L150+L147)*-1*$F$14</f>
        <v>-182.52161068549771</v>
      </c>
      <c r="M156" s="2">
        <f t="shared" ref="M156:P156" ca="1" si="103">+MIN(M154+M155, M150+M147)*-1*$F$14</f>
        <v>-236.13262150826336</v>
      </c>
      <c r="N156" s="2">
        <f t="shared" ca="1" si="103"/>
        <v>-293.96760651164095</v>
      </c>
      <c r="O156" s="2">
        <f t="shared" ca="1" si="103"/>
        <v>-356.80928970369001</v>
      </c>
      <c r="P156" s="2">
        <f t="shared" ca="1" si="103"/>
        <v>0</v>
      </c>
    </row>
    <row r="157" spans="3:16" x14ac:dyDescent="0.25">
      <c r="C157" t="s">
        <v>132</v>
      </c>
      <c r="K157" s="13">
        <f>+K80</f>
        <v>1899</v>
      </c>
      <c r="L157" s="9">
        <f ca="1">SUM(L154:L156)</f>
        <v>1716.4783893145022</v>
      </c>
      <c r="M157" s="9">
        <f t="shared" ref="M157:P157" ca="1" si="104">SUM(M154:M156)</f>
        <v>1480.3457678062389</v>
      </c>
      <c r="N157" s="9">
        <f t="shared" ca="1" si="104"/>
        <v>1186.3781612945979</v>
      </c>
      <c r="O157" s="9">
        <f t="shared" ca="1" si="104"/>
        <v>829.56887159090797</v>
      </c>
      <c r="P157" s="9">
        <f t="shared" ca="1" si="104"/>
        <v>0</v>
      </c>
    </row>
    <row r="158" spans="3:16" x14ac:dyDescent="0.25">
      <c r="C158" s="1" t="s">
        <v>58</v>
      </c>
      <c r="L158" s="1">
        <f ca="1">+AVERAGE(L157,L154)*$F$12*-1</f>
        <v>-126.54174362600759</v>
      </c>
      <c r="M158" s="1">
        <f t="shared" ref="M158:P158" ca="1" si="105">+AVERAGE(M157,M154)*$F$12*-1</f>
        <v>-111.88884549922594</v>
      </c>
      <c r="N158" s="1">
        <f t="shared" ca="1" si="105"/>
        <v>-93.3353375185293</v>
      </c>
      <c r="O158" s="1">
        <f t="shared" ca="1" si="105"/>
        <v>-70.558146150992712</v>
      </c>
      <c r="P158" s="1">
        <f t="shared" ca="1" si="105"/>
        <v>-29.034910505681783</v>
      </c>
    </row>
    <row r="160" spans="3:16" x14ac:dyDescent="0.25">
      <c r="C160" s="2" t="s">
        <v>133</v>
      </c>
      <c r="K160" s="2"/>
      <c r="L160" s="2">
        <f>+K163</f>
        <v>633</v>
      </c>
      <c r="M160" s="2">
        <f t="shared" ref="M160:P160" ca="1" si="106">+L163</f>
        <v>633</v>
      </c>
      <c r="N160" s="2">
        <f t="shared" ca="1" si="106"/>
        <v>633</v>
      </c>
      <c r="O160" s="2">
        <f t="shared" ca="1" si="106"/>
        <v>633</v>
      </c>
      <c r="P160" s="2">
        <f t="shared" ca="1" si="106"/>
        <v>633</v>
      </c>
    </row>
    <row r="161" spans="3:16" x14ac:dyDescent="0.25">
      <c r="C161" s="2" t="s">
        <v>131</v>
      </c>
      <c r="K161" s="2"/>
      <c r="L161" s="2">
        <f>+IF($F$19=L22, L160, 0)*-1</f>
        <v>0</v>
      </c>
      <c r="M161" s="2">
        <f>+IF($F$19=M22, M160, 0)*-1</f>
        <v>0</v>
      </c>
      <c r="N161" s="2">
        <f>+IF($F$19=N22, N160, 0)*-1</f>
        <v>0</v>
      </c>
      <c r="O161" s="2">
        <f>+IF($F$19=O22, O160, 0)*-1</f>
        <v>0</v>
      </c>
      <c r="P161" s="2">
        <f>+IF($F$19=P22, P160, 0)*-1</f>
        <v>0</v>
      </c>
    </row>
    <row r="162" spans="3:16" x14ac:dyDescent="0.25">
      <c r="C162" s="2" t="s">
        <v>60</v>
      </c>
      <c r="K162" s="2"/>
      <c r="L162" s="2">
        <f ca="1">+MIN(L160+L161, L156+L150+L147)*-1*$F$20</f>
        <v>0</v>
      </c>
      <c r="M162" s="2">
        <f t="shared" ref="M162:P162" ca="1" si="107">+MIN(M160+M161, M156+M150+M147)*-1*$F$20</f>
        <v>0</v>
      </c>
      <c r="N162" s="2">
        <f t="shared" ca="1" si="107"/>
        <v>0</v>
      </c>
      <c r="O162" s="2">
        <f t="shared" ca="1" si="107"/>
        <v>0</v>
      </c>
      <c r="P162" s="2">
        <f t="shared" ca="1" si="107"/>
        <v>0</v>
      </c>
    </row>
    <row r="163" spans="3:16" x14ac:dyDescent="0.25">
      <c r="C163" s="2" t="s">
        <v>134</v>
      </c>
      <c r="K163" s="13">
        <f>+K81</f>
        <v>633</v>
      </c>
      <c r="L163" s="9">
        <f ca="1">SUM(L160:L162)</f>
        <v>633</v>
      </c>
      <c r="M163" s="9">
        <f t="shared" ref="M163:P163" ca="1" si="108">SUM(M160:M162)</f>
        <v>633</v>
      </c>
      <c r="N163" s="9">
        <f t="shared" ca="1" si="108"/>
        <v>633</v>
      </c>
      <c r="O163" s="9">
        <f t="shared" ca="1" si="108"/>
        <v>633</v>
      </c>
      <c r="P163" s="9">
        <f t="shared" ca="1" si="108"/>
        <v>633</v>
      </c>
    </row>
    <row r="164" spans="3:16" x14ac:dyDescent="0.25">
      <c r="C164" s="1" t="s">
        <v>58</v>
      </c>
      <c r="K164" s="2"/>
      <c r="L164" s="1">
        <f ca="1">+AVERAGE(L163,L160)*$F$18*-1</f>
        <v>-56.97</v>
      </c>
      <c r="M164" s="1">
        <f t="shared" ref="M164:P164" ca="1" si="109">+AVERAGE(M163,M160)*$F$18*-1</f>
        <v>-56.97</v>
      </c>
      <c r="N164" s="1">
        <f t="shared" ca="1" si="109"/>
        <v>-56.97</v>
      </c>
      <c r="O164" s="1">
        <f t="shared" ca="1" si="109"/>
        <v>-56.97</v>
      </c>
      <c r="P164" s="1">
        <f t="shared" ca="1" si="109"/>
        <v>-56.97</v>
      </c>
    </row>
    <row r="166" spans="3:16" x14ac:dyDescent="0.25">
      <c r="C166" t="s">
        <v>121</v>
      </c>
      <c r="L166">
        <f>+L141</f>
        <v>150</v>
      </c>
      <c r="M166" s="2">
        <f t="shared" ref="M166:P166" ca="1" si="110">+M141</f>
        <v>150</v>
      </c>
      <c r="N166" s="2">
        <f t="shared" ca="1" si="110"/>
        <v>150</v>
      </c>
      <c r="O166" s="2">
        <f t="shared" ca="1" si="110"/>
        <v>150</v>
      </c>
      <c r="P166" s="2">
        <f t="shared" ca="1" si="110"/>
        <v>150</v>
      </c>
    </row>
    <row r="167" spans="3:16" x14ac:dyDescent="0.25">
      <c r="C167" t="s">
        <v>135</v>
      </c>
      <c r="L167">
        <f ca="1">+L162+L161+L156+L155+L150+L140</f>
        <v>0</v>
      </c>
      <c r="M167" s="2">
        <f t="shared" ref="M167:P167" ca="1" si="111">+M162+M161+M156+M155+M150+M140</f>
        <v>0</v>
      </c>
      <c r="N167" s="2">
        <f t="shared" ca="1" si="111"/>
        <v>0</v>
      </c>
      <c r="O167" s="2">
        <f t="shared" ca="1" si="111"/>
        <v>0</v>
      </c>
      <c r="P167" s="2">
        <f t="shared" ca="1" si="111"/>
        <v>0</v>
      </c>
    </row>
    <row r="168" spans="3:16" x14ac:dyDescent="0.25">
      <c r="C168" t="s">
        <v>136</v>
      </c>
      <c r="L168" s="9">
        <f ca="1">SUM(L166:L167)</f>
        <v>150</v>
      </c>
      <c r="M168" s="9">
        <f t="shared" ref="M168:P168" ca="1" si="112">SUM(M166:M167)</f>
        <v>150</v>
      </c>
      <c r="N168" s="9">
        <f t="shared" ca="1" si="112"/>
        <v>150</v>
      </c>
      <c r="O168" s="9">
        <f t="shared" ca="1" si="112"/>
        <v>150</v>
      </c>
      <c r="P168" s="9">
        <f t="shared" ca="1" si="112"/>
        <v>150</v>
      </c>
    </row>
    <row r="169" spans="3:16" x14ac:dyDescent="0.25">
      <c r="C169" s="5" t="s">
        <v>137</v>
      </c>
    </row>
    <row r="171" spans="3:16" x14ac:dyDescent="0.25">
      <c r="C171" t="s">
        <v>138</v>
      </c>
      <c r="L171">
        <f ca="1">+L164+L158+L152</f>
        <v>-183.51174362600759</v>
      </c>
      <c r="M171" s="2">
        <f t="shared" ref="M171:P171" ca="1" si="113">+M164+M158+M152</f>
        <v>-168.85884549922594</v>
      </c>
      <c r="N171" s="2">
        <f t="shared" ca="1" si="113"/>
        <v>-150.30533751852931</v>
      </c>
      <c r="O171" s="2">
        <f t="shared" ca="1" si="113"/>
        <v>-127.52814615099271</v>
      </c>
      <c r="P171" s="2">
        <f t="shared" ca="1" si="113"/>
        <v>-100.10461796929413</v>
      </c>
    </row>
  </sheetData>
  <dataValidations count="2">
    <dataValidation type="list" allowBlank="1" showInputMessage="1" showErrorMessage="1" sqref="T5" xr:uid="{469C20F7-62FC-42E7-BEA4-5AD7A3396D44}">
      <formula1>"1,2"</formula1>
    </dataValidation>
    <dataValidation type="list" allowBlank="1" showInputMessage="1" showErrorMessage="1" sqref="T6" xr:uid="{F658D498-F781-4D1C-B746-5C10920D60B1}">
      <formula1>"0,1"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43BA-81A9-4374-828A-3F20390B09DA}">
  <dimension ref="E1:S13"/>
  <sheetViews>
    <sheetView showGridLines="0" zoomScale="85" zoomScaleNormal="85" workbookViewId="0">
      <selection activeCell="P12" sqref="P12"/>
    </sheetView>
  </sheetViews>
  <sheetFormatPr defaultColWidth="10.7109375" defaultRowHeight="15" x14ac:dyDescent="0.25"/>
  <cols>
    <col min="1" max="2" width="1.7109375" customWidth="1"/>
    <col min="17" max="17" width="1.7109375" customWidth="1"/>
  </cols>
  <sheetData>
    <row r="1" spans="5:19" s="2" customFormat="1" x14ac:dyDescent="0.25"/>
    <row r="2" spans="5:19" s="2" customFormat="1" x14ac:dyDescent="0.25"/>
    <row r="3" spans="5:19" s="2" customFormat="1" x14ac:dyDescent="0.25"/>
    <row r="4" spans="5:19" s="2" customFormat="1" x14ac:dyDescent="0.25"/>
    <row r="6" spans="5:19" x14ac:dyDescent="0.25">
      <c r="K6" s="17">
        <f>+Model!K23</f>
        <v>2017</v>
      </c>
      <c r="L6" s="18">
        <f>+Model!L23</f>
        <v>2018</v>
      </c>
      <c r="M6" s="18">
        <f>+Model!M23</f>
        <v>2019</v>
      </c>
      <c r="N6" s="18">
        <f>+Model!N23</f>
        <v>2020</v>
      </c>
      <c r="O6" s="18">
        <f>+Model!O23</f>
        <v>2021</v>
      </c>
      <c r="P6" s="18">
        <f>+Model!P23</f>
        <v>2022</v>
      </c>
      <c r="R6" s="3" t="s">
        <v>45</v>
      </c>
    </row>
    <row r="7" spans="5:19" x14ac:dyDescent="0.25">
      <c r="E7" s="16" t="s">
        <v>38</v>
      </c>
      <c r="K7" s="19">
        <f ca="1">+Model!K25</f>
        <v>1296</v>
      </c>
      <c r="P7">
        <f ca="1">+K7</f>
        <v>1296</v>
      </c>
    </row>
    <row r="8" spans="5:19" x14ac:dyDescent="0.25">
      <c r="E8" s="16" t="s">
        <v>39</v>
      </c>
      <c r="P8" s="4">
        <f>248*R8</f>
        <v>248</v>
      </c>
      <c r="R8" s="15">
        <v>1</v>
      </c>
    </row>
    <row r="9" spans="5:19" x14ac:dyDescent="0.25">
      <c r="E9" s="16" t="s">
        <v>40</v>
      </c>
      <c r="P9" s="4">
        <f>78*R9</f>
        <v>78</v>
      </c>
      <c r="R9" s="15">
        <v>1</v>
      </c>
    </row>
    <row r="10" spans="5:19" x14ac:dyDescent="0.25">
      <c r="E10" s="16" t="s">
        <v>41</v>
      </c>
      <c r="P10" s="4">
        <f>197*R10</f>
        <v>197</v>
      </c>
      <c r="R10" s="15">
        <v>1</v>
      </c>
    </row>
    <row r="11" spans="5:19" x14ac:dyDescent="0.25">
      <c r="E11" s="16" t="s">
        <v>42</v>
      </c>
      <c r="P11" s="4">
        <f>18*R11</f>
        <v>0</v>
      </c>
      <c r="R11" s="15">
        <v>0</v>
      </c>
      <c r="S11" s="21" t="s">
        <v>47</v>
      </c>
    </row>
    <row r="12" spans="5:19" x14ac:dyDescent="0.25">
      <c r="E12" s="16" t="s">
        <v>43</v>
      </c>
      <c r="P12" s="4">
        <f>102*R12</f>
        <v>0</v>
      </c>
      <c r="R12" s="15">
        <v>0</v>
      </c>
      <c r="S12" s="21" t="s">
        <v>48</v>
      </c>
    </row>
    <row r="13" spans="5:19" x14ac:dyDescent="0.25">
      <c r="E13" s="20" t="s">
        <v>51</v>
      </c>
      <c r="F13" s="9"/>
      <c r="G13" s="9"/>
      <c r="H13" s="9"/>
      <c r="I13" s="9"/>
      <c r="J13" s="9"/>
      <c r="K13" s="9">
        <f ca="1">+SUM(K7:K12)</f>
        <v>1296</v>
      </c>
      <c r="L13" s="9">
        <f ca="1">+($P$13-$K$13)/COUNTA($L$6:$P$6)+K13</f>
        <v>1400.6</v>
      </c>
      <c r="M13" s="9">
        <f t="shared" ref="M13:O13" ca="1" si="0">+($P$13-$K$13)/COUNTA($L$6:$P$6)+L13</f>
        <v>1505.1999999999998</v>
      </c>
      <c r="N13" s="9">
        <f t="shared" ca="1" si="0"/>
        <v>1609.7999999999997</v>
      </c>
      <c r="O13" s="9">
        <f t="shared" ca="1" si="0"/>
        <v>1714.3999999999996</v>
      </c>
      <c r="P13" s="9">
        <f ca="1">+SUM(P7:P12)</f>
        <v>1819</v>
      </c>
      <c r="S13" s="21" t="s">
        <v>46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26E05D194CB74FAF62182F98796E9B" ma:contentTypeVersion="8" ma:contentTypeDescription="Create a new document." ma:contentTypeScope="" ma:versionID="a799df334af69875562b5eea6c10c5ce">
  <xsd:schema xmlns:xsd="http://www.w3.org/2001/XMLSchema" xmlns:xs="http://www.w3.org/2001/XMLSchema" xmlns:p="http://schemas.microsoft.com/office/2006/metadata/properties" xmlns:ns2="0f37718b-b8af-4055-9598-f6a56c289e6c" targetNamespace="http://schemas.microsoft.com/office/2006/metadata/properties" ma:root="true" ma:fieldsID="035f89eee7ab82f64148e84eaeabc256" ns2:_="">
    <xsd:import namespace="0f37718b-b8af-4055-9598-f6a56c289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7718b-b8af-4055-9598-f6a56c289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A6BD54-DEF1-4E32-B84E-9AB7C1071B8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0f37718b-b8af-4055-9598-f6a56c289e6c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41EC2A7-3212-4587-9E02-1BE20658DE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F8F087-0FAD-4A99-ABED-5BE03707B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7718b-b8af-4055-9598-f6a56c289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Model</vt:lpstr>
      <vt:lpstr>RevBuild</vt:lpstr>
      <vt:lpstr>circ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2009-10-20T07:07:16Z</dcterms:created>
  <dcterms:modified xsi:type="dcterms:W3CDTF">2022-02-13T12:41:26Z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{2DD2EB6B-D429-483A-886B-D3F4C14677FB}</vt:lpwstr>
  </property>
</Properties>
</file>