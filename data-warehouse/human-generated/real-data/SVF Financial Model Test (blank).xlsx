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ward.shrager\Google Drive\"/>
    </mc:Choice>
  </mc:AlternateContent>
  <bookViews>
    <workbookView xWindow="0" yWindow="0" windowWidth="28800" windowHeight="13425"/>
  </bookViews>
  <sheets>
    <sheet name="Cover" sheetId="10" r:id="rId1"/>
    <sheet name="IS" sheetId="6" r:id="rId2"/>
    <sheet name="BS" sheetId="7" r:id="rId3"/>
    <sheet name="CF" sheetId="8" r:id="rId4"/>
    <sheet name="Calcs" sheetId="4" r:id="rId5"/>
    <sheet name="Returns" sheetId="9" r:id="rId6"/>
  </sheets>
  <definedNames>
    <definedName name="CIQWBGuid" hidden="1">"7b64cab6-618a-49e3-9987-257903729441"</definedName>
    <definedName name="circ">Cover!#REF!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42867.374525463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wacc">#REF!</definedName>
  </definedNames>
  <calcPr calcId="171027" calcMode="autoNoTable" iterate="1" iterateCount="500"/>
  <fileRecoveryPr autoRecover="0"/>
</workbook>
</file>

<file path=xl/calcChain.xml><?xml version="1.0" encoding="utf-8"?>
<calcChain xmlns="http://schemas.openxmlformats.org/spreadsheetml/2006/main">
  <c r="C6" i="9" l="1"/>
  <c r="C8" i="9" s="1"/>
  <c r="A1" i="9"/>
  <c r="D28" i="6" l="1"/>
  <c r="C28" i="6"/>
  <c r="D6" i="4" l="1"/>
  <c r="D7" i="7"/>
  <c r="C7" i="7"/>
  <c r="D5" i="7"/>
  <c r="C5" i="7"/>
  <c r="D15" i="6" l="1"/>
  <c r="C41" i="6"/>
  <c r="D6" i="6"/>
  <c r="C6" i="6"/>
  <c r="D5" i="6"/>
  <c r="D11" i="4"/>
  <c r="C28" i="7"/>
  <c r="C22" i="7"/>
  <c r="D28" i="7"/>
  <c r="D22" i="7"/>
  <c r="D2" i="4"/>
  <c r="D2" i="8"/>
  <c r="D2" i="7"/>
  <c r="D2" i="6"/>
  <c r="D17" i="6"/>
  <c r="C17" i="6"/>
  <c r="A1" i="4"/>
  <c r="A1" i="10"/>
  <c r="A1" i="6"/>
  <c r="A1" i="7"/>
  <c r="A1" i="8"/>
  <c r="C2" i="7" l="1"/>
  <c r="C2" i="8"/>
  <c r="D38" i="6"/>
  <c r="C2" i="4"/>
  <c r="C4" i="7"/>
  <c r="C6" i="7"/>
  <c r="C32" i="7"/>
  <c r="C35" i="7" s="1"/>
  <c r="D32" i="7"/>
  <c r="C8" i="7"/>
  <c r="C46" i="6"/>
  <c r="C50" i="6" s="1"/>
  <c r="C53" i="6" s="1"/>
  <c r="C5" i="4"/>
  <c r="C14" i="6"/>
  <c r="D41" i="6"/>
  <c r="C2" i="6"/>
  <c r="C55" i="6" l="1"/>
  <c r="C18" i="6" s="1"/>
  <c r="D4" i="7"/>
  <c r="D6" i="7"/>
  <c r="C15" i="7"/>
  <c r="C24" i="7" s="1"/>
  <c r="C38" i="7" s="1"/>
  <c r="D14" i="6"/>
  <c r="D5" i="4"/>
  <c r="D8" i="7"/>
  <c r="D46" i="6"/>
  <c r="D50" i="6" l="1"/>
  <c r="D53" i="6" s="1"/>
  <c r="D55" i="6" s="1"/>
  <c r="D18" i="6" s="1"/>
  <c r="C56" i="6"/>
  <c r="C19" i="6" s="1"/>
  <c r="C37" i="7"/>
  <c r="D15" i="7"/>
  <c r="D24" i="7" s="1"/>
  <c r="D56" i="6" l="1"/>
  <c r="D19" i="6" l="1"/>
  <c r="D35" i="7"/>
  <c r="D37" i="7" l="1"/>
  <c r="D38" i="7"/>
</calcChain>
</file>

<file path=xl/sharedStrings.xml><?xml version="1.0" encoding="utf-8"?>
<sst xmlns="http://schemas.openxmlformats.org/spreadsheetml/2006/main" count="103" uniqueCount="93">
  <si>
    <t>Hist.</t>
  </si>
  <si>
    <t>Company name:</t>
  </si>
  <si>
    <t>Assumptions</t>
  </si>
  <si>
    <t>Income statement</t>
  </si>
  <si>
    <t>Balance sheet</t>
  </si>
  <si>
    <t>&lt;Analyst Name&gt;</t>
  </si>
  <si>
    <t>Interest expense</t>
  </si>
  <si>
    <t>Cost of goods sold</t>
  </si>
  <si>
    <t>Depreciation</t>
  </si>
  <si>
    <t>Amortization</t>
  </si>
  <si>
    <t xml:space="preserve">  </t>
  </si>
  <si>
    <t xml:space="preserve"> Net income</t>
  </si>
  <si>
    <t>Dividends</t>
  </si>
  <si>
    <t>Inventories</t>
  </si>
  <si>
    <t>Other current assets</t>
  </si>
  <si>
    <t>Other assets</t>
  </si>
  <si>
    <t>Accounts payable</t>
  </si>
  <si>
    <t>Other current liabilities</t>
  </si>
  <si>
    <t xml:space="preserve"> Total current assets</t>
  </si>
  <si>
    <t xml:space="preserve"> Total non-current assets</t>
  </si>
  <si>
    <t>TOTAL ASSETS</t>
  </si>
  <si>
    <t>TOTAL LIABILITIES &amp; EQUITY</t>
  </si>
  <si>
    <t>Accounts receivable</t>
  </si>
  <si>
    <t xml:space="preserve"> Total current liabilities</t>
  </si>
  <si>
    <t xml:space="preserve"> Total non-current liabilities</t>
  </si>
  <si>
    <t>Balance check</t>
  </si>
  <si>
    <t>Cost of goods sold as % of sales</t>
  </si>
  <si>
    <t>Other current assets % of sales</t>
  </si>
  <si>
    <t>Capex</t>
  </si>
  <si>
    <t>Net cash flow</t>
  </si>
  <si>
    <t>Equity</t>
  </si>
  <si>
    <t>Property, plant &amp; equipment, net</t>
  </si>
  <si>
    <t>Revenue</t>
  </si>
  <si>
    <t>EBITDA</t>
  </si>
  <si>
    <t>EBIT</t>
  </si>
  <si>
    <t>Profit before tax</t>
  </si>
  <si>
    <t>Tax expense</t>
  </si>
  <si>
    <t>SG&amp;A</t>
  </si>
  <si>
    <t>Amortization amount</t>
  </si>
  <si>
    <t>Dividend payout ratio</t>
  </si>
  <si>
    <t>Capital expenditure % of sales</t>
  </si>
  <si>
    <t>Other current liabilities % of sales</t>
  </si>
  <si>
    <t>Other long-term liabilities</t>
  </si>
  <si>
    <t>Operating cash flow</t>
  </si>
  <si>
    <t>Investing cash flow</t>
  </si>
  <si>
    <t>Financing cash flow</t>
  </si>
  <si>
    <t>Cash analysis</t>
  </si>
  <si>
    <t>Long term debt</t>
  </si>
  <si>
    <t>Long-term debt, including current maturities</t>
  </si>
  <si>
    <t>Effective tax rate</t>
  </si>
  <si>
    <t>Share price</t>
  </si>
  <si>
    <t>Premium (%)</t>
  </si>
  <si>
    <t>Purchase price</t>
  </si>
  <si>
    <t>NOSH</t>
  </si>
  <si>
    <t>Net debt</t>
  </si>
  <si>
    <t>EV</t>
  </si>
  <si>
    <t>Equity value</t>
  </si>
  <si>
    <t>Goodwill</t>
  </si>
  <si>
    <t>Capitalised fees</t>
  </si>
  <si>
    <t>TechCo</t>
  </si>
  <si>
    <t>NWC</t>
  </si>
  <si>
    <t>Lightspeed Unit Price Growth</t>
  </si>
  <si>
    <t>Lightspeed Revenue</t>
  </si>
  <si>
    <t>Subscription Services</t>
  </si>
  <si>
    <t>Lightspeed</t>
  </si>
  <si>
    <t>Churn</t>
  </si>
  <si>
    <t>SS EoP</t>
  </si>
  <si>
    <t>Lightspeed Market Growth</t>
  </si>
  <si>
    <t>Lightspeed Market Share</t>
  </si>
  <si>
    <t>Support Services % Sell-Through</t>
  </si>
  <si>
    <t>Subscription Services Revenue</t>
  </si>
  <si>
    <t>SG&amp;A Growth</t>
  </si>
  <si>
    <t>Inventory Days</t>
  </si>
  <si>
    <t>Accounts Receivable Days</t>
  </si>
  <si>
    <t>Accounts Payable Days</t>
  </si>
  <si>
    <t>Customer Support</t>
  </si>
  <si>
    <t>SS Penetration %</t>
  </si>
  <si>
    <t>Semi Chip Market Size (MM units)</t>
  </si>
  <si>
    <t>Lightspeed Unit Price ($)</t>
  </si>
  <si>
    <t>Support Services Monthly ARPU Per Unit ($)</t>
  </si>
  <si>
    <t>Units Sold (MM)</t>
  </si>
  <si>
    <t>Customer Service Cost Per Unit Per Month ($)</t>
  </si>
  <si>
    <t>Intangible Assets</t>
  </si>
  <si>
    <t>Beginning Intangibles</t>
  </si>
  <si>
    <t>Ending Intangibles</t>
  </si>
  <si>
    <t>Amortization % of beginning Intangible Assets</t>
  </si>
  <si>
    <t>Cash</t>
  </si>
  <si>
    <t>Name:</t>
  </si>
  <si>
    <t>Last Actual Year End:</t>
  </si>
  <si>
    <t>BoP Cash</t>
  </si>
  <si>
    <t>EoP Cash</t>
  </si>
  <si>
    <t>Net Cash Flow</t>
  </si>
  <si>
    <t>Net Intangibles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</si>
</sst>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5" formatCode="&quot;$&quot;#,##0_);\(&quot;$&quot;#,##0\)"/>
    <numFmt numFmtId="7" formatCode="&quot;$&quot;#,##0.00_);\(&quot;$&quot;#,##0.00\)"/>
    <numFmt numFmtId="164" formatCode="\(#,##0.0_);\(#,##0.0\)"/>
    <numFmt numFmtId="165" formatCode="0.0%_);\(0.0%\)"/>
    <numFmt numFmtId="166" formatCode="#,##0.0_);\(#,##0.0\)"/>
    <numFmt numFmtId="167" formatCode="#,##0.0_);\(#,##0.0\);0.0_);@_)"/>
    <numFmt numFmtId="168" formatCode="#,##0.0\ \x_);\(#,##0.0\ \x\);0.0\ \x_);@\ \x_)"/>
    <numFmt numFmtId="169" formatCode="#,##0.00_);\(#,##0.00\);0.00_);@_)"/>
    <numFmt numFmtId="171" formatCode="0.00%;\(0.00%\)"/>
    <numFmt numFmtId="172" formatCode="#,##0.0&quot; x&quot;_);\(#,##0.0\)&quot; x&quot;"/>
    <numFmt numFmtId="173" formatCode="#,##0.00_)\ \x;\(#,##0.00\)\ \x"/>
    <numFmt numFmtId="174" formatCode="0.0%"/>
    <numFmt numFmtId="175" formatCode="[$-409]d\-mmm\-yy;@"/>
    <numFmt numFmtId="176" formatCode="#,##0.0000_);\(#,##0.0000\);0.0000_);@_)"/>
    <numFmt numFmtId="177" formatCode="#,##0_);\(#,##0\);0_);@_)"/>
    <numFmt numFmtId="178" formatCode="0%_);\(0%\)"/>
  </numFmts>
  <fonts count="27" x14ac:knownFonts="1">
    <font>
      <sz val="10"/>
      <name val="Arial"/>
    </font>
    <font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2"/>
      <color indexed="17"/>
      <name val="Wingdings"/>
      <charset val="2"/>
    </font>
    <font>
      <sz val="10"/>
      <color indexed="12"/>
      <name val="Arial"/>
      <family val="2"/>
    </font>
    <font>
      <sz val="28"/>
      <name val="Arial"/>
      <family val="2"/>
    </font>
    <font>
      <sz val="28"/>
      <color indexed="12"/>
      <name val="Arial"/>
      <family val="2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5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B05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i/>
      <sz val="10"/>
      <color indexed="12"/>
      <name val="Calibri"/>
      <family val="2"/>
      <scheme val="minor"/>
    </font>
    <font>
      <sz val="10"/>
      <color indexed="9"/>
      <name val="Calibri"/>
      <family val="2"/>
      <scheme val="minor"/>
    </font>
    <font>
      <sz val="10"/>
      <color indexed="5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rgb="FF000000"/>
      </top>
      <bottom style="hair">
        <color theme="0" tint="-0.499984740745262"/>
      </bottom>
      <diagonal/>
    </border>
  </borders>
  <cellStyleXfs count="31">
    <xf numFmtId="167" fontId="0" fillId="0" borderId="0"/>
    <xf numFmtId="166" fontId="8" fillId="0" borderId="0"/>
    <xf numFmtId="166" fontId="2" fillId="0" borderId="0" applyNumberFormat="0" applyFill="0" applyBorder="0" applyAlignment="0" applyProtection="0"/>
    <xf numFmtId="166" fontId="9" fillId="0" borderId="0" applyNumberFormat="0" applyFill="0" applyBorder="0" applyAlignment="0" applyProtection="0"/>
    <xf numFmtId="166" fontId="7" fillId="0" borderId="0" applyNumberFormat="0" applyFill="0" applyBorder="0" applyAlignment="0" applyProtection="0"/>
    <xf numFmtId="166" fontId="1" fillId="0" borderId="0" applyNumberFormat="0" applyFont="0" applyAlignment="0" applyProtection="0"/>
    <xf numFmtId="167" fontId="2" fillId="0" borderId="0" applyNumberFormat="0" applyFill="0" applyBorder="0" applyAlignment="0" applyProtection="0"/>
    <xf numFmtId="166" fontId="10" fillId="0" borderId="0"/>
    <xf numFmtId="15" fontId="1" fillId="0" borderId="0" applyFont="0" applyFill="0" applyBorder="0" applyAlignment="0" applyProtection="0"/>
    <xf numFmtId="15" fontId="1" fillId="0" borderId="0" applyFont="0" applyFill="0" applyBorder="0" applyAlignment="0" applyProtection="0">
      <protection locked="0"/>
    </xf>
    <xf numFmtId="166" fontId="4" fillId="0" borderId="0" applyNumberFormat="0" applyFont="0" applyFill="0" applyBorder="0" applyAlignment="0">
      <protection hidden="1"/>
    </xf>
    <xf numFmtId="174" fontId="8" fillId="2" borderId="1"/>
    <xf numFmtId="171" fontId="5" fillId="3" borderId="1" applyNumberFormat="0" applyFont="0" applyAlignment="0"/>
    <xf numFmtId="166" fontId="8" fillId="2" borderId="1" applyNumberFormat="0" applyFont="0" applyAlignment="0" applyProtection="0"/>
    <xf numFmtId="164" fontId="2" fillId="0" borderId="0" applyNumberFormat="0" applyFill="0" applyBorder="0" applyAlignment="0" applyProtection="0"/>
    <xf numFmtId="167" fontId="2" fillId="3" borderId="1" applyNumberFormat="0" applyAlignment="0" applyProtection="0"/>
    <xf numFmtId="166" fontId="6" fillId="0" borderId="0" applyNumberFormat="0" applyFont="0" applyFill="0" applyBorder="0" applyAlignment="0">
      <protection hidden="1"/>
    </xf>
    <xf numFmtId="172" fontId="1" fillId="0" borderId="0" applyFont="0" applyFill="0" applyBorder="0" applyAlignment="0" applyProtection="0"/>
    <xf numFmtId="168" fontId="1" fillId="0" borderId="0"/>
    <xf numFmtId="166" fontId="1" fillId="0" borderId="0" applyFont="0" applyFill="0" applyBorder="0" applyAlignment="0" applyProtection="0"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8" fillId="0" borderId="0"/>
    <xf numFmtId="10" fontId="8" fillId="0" borderId="0"/>
    <xf numFmtId="173" fontId="1" fillId="0" borderId="0"/>
    <xf numFmtId="166" fontId="4" fillId="0" borderId="2" applyNumberFormat="0" applyFont="0" applyFill="0" applyAlignment="0"/>
    <xf numFmtId="166" fontId="4" fillId="0" borderId="0" applyNumberFormat="0" applyFont="0" applyFill="0" applyBorder="0" applyAlignment="0">
      <protection locked="0"/>
    </xf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</cellStyleXfs>
  <cellXfs count="85">
    <xf numFmtId="167" fontId="0" fillId="0" borderId="0" xfId="0"/>
    <xf numFmtId="167" fontId="14" fillId="0" borderId="0" xfId="0" applyNumberFormat="1" applyFont="1" applyFill="1" applyBorder="1"/>
    <xf numFmtId="167" fontId="15" fillId="0" borderId="0" xfId="0" applyNumberFormat="1" applyFont="1" applyFill="1" applyBorder="1"/>
    <xf numFmtId="167" fontId="16" fillId="0" borderId="0" xfId="0" applyNumberFormat="1" applyFont="1" applyFill="1" applyBorder="1" applyAlignment="1">
      <alignment horizontal="center"/>
    </xf>
    <xf numFmtId="167" fontId="17" fillId="0" borderId="0" xfId="0" applyFont="1" applyFill="1"/>
    <xf numFmtId="167" fontId="18" fillId="0" borderId="0" xfId="0" applyNumberFormat="1" applyFont="1" applyFill="1" applyBorder="1"/>
    <xf numFmtId="175" fontId="17" fillId="0" borderId="0" xfId="0" applyNumberFormat="1" applyFont="1" applyFill="1" applyAlignment="1">
      <alignment horizontal="center" vertical="center"/>
    </xf>
    <xf numFmtId="167" fontId="17" fillId="0" borderId="0" xfId="0" applyFont="1"/>
    <xf numFmtId="167" fontId="15" fillId="0" borderId="0" xfId="0" applyFont="1"/>
    <xf numFmtId="167" fontId="15" fillId="0" borderId="0" xfId="0" applyFont="1" applyFill="1"/>
    <xf numFmtId="167" fontId="19" fillId="0" borderId="0" xfId="0" applyFont="1" applyFill="1"/>
    <xf numFmtId="167" fontId="15" fillId="0" borderId="0" xfId="0" applyFont="1" applyBorder="1"/>
    <xf numFmtId="167" fontId="15" fillId="0" borderId="0" xfId="0" applyFont="1" applyFill="1" applyBorder="1"/>
    <xf numFmtId="167" fontId="17" fillId="0" borderId="6" xfId="0" applyFont="1" applyFill="1" applyBorder="1"/>
    <xf numFmtId="177" fontId="15" fillId="0" borderId="0" xfId="0" applyNumberFormat="1" applyFont="1"/>
    <xf numFmtId="165" fontId="15" fillId="0" borderId="0" xfId="21" applyFont="1"/>
    <xf numFmtId="167" fontId="15" fillId="0" borderId="0" xfId="0" applyFont="1" applyAlignment="1">
      <alignment horizontal="left" indent="1"/>
    </xf>
    <xf numFmtId="167" fontId="17" fillId="0" borderId="0" xfId="0" applyFont="1" applyBorder="1"/>
    <xf numFmtId="167" fontId="15" fillId="0" borderId="0" xfId="0" applyFont="1" applyBorder="1" applyAlignment="1">
      <alignment horizontal="left" indent="1"/>
    </xf>
    <xf numFmtId="167" fontId="17" fillId="0" borderId="0" xfId="0" applyNumberFormat="1" applyFont="1" applyFill="1" applyBorder="1"/>
    <xf numFmtId="15" fontId="17" fillId="0" borderId="0" xfId="0" applyNumberFormat="1" applyFont="1" applyFill="1" applyBorder="1"/>
    <xf numFmtId="165" fontId="15" fillId="0" borderId="0" xfId="21" applyFont="1" applyFill="1"/>
    <xf numFmtId="167" fontId="20" fillId="0" borderId="0" xfId="14" applyNumberFormat="1" applyFont="1" applyFill="1"/>
    <xf numFmtId="167" fontId="16" fillId="0" borderId="0" xfId="0" applyFont="1"/>
    <xf numFmtId="167" fontId="22" fillId="0" borderId="0" xfId="0" applyFont="1"/>
    <xf numFmtId="165" fontId="20" fillId="0" borderId="0" xfId="21" applyFont="1" applyFill="1" applyBorder="1"/>
    <xf numFmtId="167" fontId="16" fillId="0" borderId="0" xfId="0" applyFont="1" applyFill="1"/>
    <xf numFmtId="167" fontId="20" fillId="0" borderId="0" xfId="6" applyFont="1" applyFill="1"/>
    <xf numFmtId="167" fontId="17" fillId="0" borderId="0" xfId="0" applyFont="1" applyFill="1" applyAlignment="1">
      <alignment horizontal="right"/>
    </xf>
    <xf numFmtId="176" fontId="15" fillId="0" borderId="0" xfId="0" applyNumberFormat="1" applyFont="1"/>
    <xf numFmtId="9" fontId="15" fillId="0" borderId="0" xfId="0" applyNumberFormat="1" applyFont="1"/>
    <xf numFmtId="165" fontId="15" fillId="0" borderId="0" xfId="21" applyNumberFormat="1" applyFont="1"/>
    <xf numFmtId="166" fontId="15" fillId="0" borderId="0" xfId="19" applyFont="1">
      <protection locked="0"/>
    </xf>
    <xf numFmtId="165" fontId="15" fillId="0" borderId="0" xfId="21" applyFont="1" applyFill="1" applyBorder="1"/>
    <xf numFmtId="165" fontId="15" fillId="0" borderId="0" xfId="6" applyNumberFormat="1" applyFont="1" applyFill="1"/>
    <xf numFmtId="167" fontId="22" fillId="0" borderId="0" xfId="0" applyFont="1" applyFill="1"/>
    <xf numFmtId="167" fontId="20" fillId="0" borderId="0" xfId="6" applyFont="1" applyFill="1" applyBorder="1"/>
    <xf numFmtId="167" fontId="17" fillId="0" borderId="6" xfId="6" applyFont="1" applyFill="1" applyBorder="1"/>
    <xf numFmtId="167" fontId="23" fillId="0" borderId="0" xfId="6" applyFont="1" applyFill="1"/>
    <xf numFmtId="167" fontId="22" fillId="0" borderId="0" xfId="0" applyFont="1" applyFill="1" applyBorder="1"/>
    <xf numFmtId="167" fontId="24" fillId="0" borderId="0" xfId="6" applyFont="1" applyFill="1"/>
    <xf numFmtId="167" fontId="14" fillId="0" borderId="7" xfId="0" applyFont="1" applyFill="1" applyBorder="1"/>
    <xf numFmtId="167" fontId="25" fillId="0" borderId="7" xfId="0" applyFont="1" applyFill="1" applyBorder="1"/>
    <xf numFmtId="167" fontId="25" fillId="0" borderId="0" xfId="0" applyFont="1" applyFill="1"/>
    <xf numFmtId="167" fontId="26" fillId="0" borderId="0" xfId="0" applyFont="1" applyFill="1"/>
    <xf numFmtId="169" fontId="20" fillId="3" borderId="8" xfId="15" applyNumberFormat="1" applyFont="1" applyFill="1" applyBorder="1"/>
    <xf numFmtId="165" fontId="20" fillId="3" borderId="8" xfId="21" applyFont="1" applyFill="1" applyBorder="1"/>
    <xf numFmtId="167" fontId="17" fillId="0" borderId="10" xfId="0" applyFont="1" applyFill="1" applyBorder="1"/>
    <xf numFmtId="167" fontId="15" fillId="0" borderId="0" xfId="0" applyFont="1" applyFill="1" applyAlignment="1">
      <alignment horizontal="left" indent="1"/>
    </xf>
    <xf numFmtId="167" fontId="15" fillId="0" borderId="0" xfId="0" applyFont="1" applyFill="1" applyBorder="1" applyAlignment="1">
      <alignment horizontal="left" indent="1"/>
    </xf>
    <xf numFmtId="37" fontId="15" fillId="0" borderId="0" xfId="21" applyNumberFormat="1" applyFont="1"/>
    <xf numFmtId="37" fontId="20" fillId="3" borderId="8" xfId="21" applyNumberFormat="1" applyFont="1" applyFill="1" applyBorder="1"/>
    <xf numFmtId="177" fontId="17" fillId="0" borderId="6" xfId="6" applyNumberFormat="1" applyFont="1" applyFill="1" applyBorder="1"/>
    <xf numFmtId="178" fontId="22" fillId="0" borderId="0" xfId="21" applyNumberFormat="1" applyFont="1" applyFill="1"/>
    <xf numFmtId="177" fontId="20" fillId="3" borderId="8" xfId="15" applyNumberFormat="1" applyFont="1" applyFill="1" applyBorder="1"/>
    <xf numFmtId="175" fontId="20" fillId="3" borderId="8" xfId="15" applyNumberFormat="1" applyFont="1" applyFill="1" applyBorder="1" applyAlignment="1">
      <alignment horizontal="left"/>
    </xf>
    <xf numFmtId="169" fontId="20" fillId="3" borderId="8" xfId="15" applyNumberFormat="1" applyFont="1" applyFill="1" applyBorder="1" applyAlignment="1">
      <alignment horizontal="left"/>
    </xf>
    <xf numFmtId="7" fontId="20" fillId="3" borderId="8" xfId="15" applyNumberFormat="1" applyFont="1" applyFill="1" applyBorder="1"/>
    <xf numFmtId="5" fontId="20" fillId="3" borderId="8" xfId="15" applyNumberFormat="1" applyFont="1" applyFill="1" applyBorder="1"/>
    <xf numFmtId="5" fontId="15" fillId="0" borderId="0" xfId="0" applyNumberFormat="1" applyFont="1"/>
    <xf numFmtId="5" fontId="17" fillId="0" borderId="0" xfId="0" applyNumberFormat="1" applyFont="1"/>
    <xf numFmtId="5" fontId="17" fillId="0" borderId="0" xfId="21" applyNumberFormat="1" applyFont="1"/>
    <xf numFmtId="5" fontId="15" fillId="0" borderId="0" xfId="0" applyNumberFormat="1" applyFont="1" applyFill="1"/>
    <xf numFmtId="5" fontId="20" fillId="3" borderId="9" xfId="15" applyNumberFormat="1" applyFont="1" applyFill="1" applyBorder="1"/>
    <xf numFmtId="5" fontId="15" fillId="0" borderId="0" xfId="0" applyNumberFormat="1" applyFont="1" applyBorder="1"/>
    <xf numFmtId="5" fontId="17" fillId="0" borderId="6" xfId="0" applyNumberFormat="1" applyFont="1" applyFill="1" applyBorder="1"/>
    <xf numFmtId="5" fontId="15" fillId="0" borderId="0" xfId="0" applyNumberFormat="1" applyFont="1" applyFill="1" applyBorder="1"/>
    <xf numFmtId="167" fontId="17" fillId="0" borderId="0" xfId="0" applyFont="1" applyFill="1" applyBorder="1"/>
    <xf numFmtId="5" fontId="15" fillId="0" borderId="0" xfId="14" applyNumberFormat="1" applyFont="1" applyBorder="1"/>
    <xf numFmtId="5" fontId="17" fillId="0" borderId="10" xfId="0" applyNumberFormat="1" applyFont="1" applyFill="1" applyBorder="1"/>
    <xf numFmtId="167" fontId="17" fillId="0" borderId="11" xfId="0" applyFont="1" applyFill="1" applyBorder="1"/>
    <xf numFmtId="5" fontId="17" fillId="0" borderId="11" xfId="0" applyNumberFormat="1" applyFont="1" applyFill="1" applyBorder="1"/>
    <xf numFmtId="5" fontId="17" fillId="0" borderId="0" xfId="14" applyNumberFormat="1" applyFont="1" applyFill="1" applyBorder="1"/>
    <xf numFmtId="5" fontId="17" fillId="0" borderId="10" xfId="14" applyNumberFormat="1" applyFont="1" applyFill="1" applyBorder="1"/>
    <xf numFmtId="5" fontId="20" fillId="3" borderId="8" xfId="21" applyNumberFormat="1" applyFont="1" applyFill="1" applyBorder="1"/>
    <xf numFmtId="5" fontId="20" fillId="0" borderId="0" xfId="14" applyNumberFormat="1" applyFont="1" applyFill="1"/>
    <xf numFmtId="5" fontId="20" fillId="3" borderId="9" xfId="21" applyNumberFormat="1" applyFont="1" applyFill="1" applyBorder="1"/>
    <xf numFmtId="5" fontId="20" fillId="0" borderId="0" xfId="14" applyNumberFormat="1" applyFont="1" applyFill="1" applyBorder="1"/>
    <xf numFmtId="5" fontId="15" fillId="0" borderId="6" xfId="0" applyNumberFormat="1" applyFont="1" applyFill="1" applyBorder="1"/>
    <xf numFmtId="5" fontId="15" fillId="0" borderId="10" xfId="0" applyNumberFormat="1" applyFont="1" applyFill="1" applyBorder="1"/>
    <xf numFmtId="7" fontId="15" fillId="0" borderId="0" xfId="0" applyNumberFormat="1" applyFont="1" applyFill="1"/>
    <xf numFmtId="5" fontId="21" fillId="0" borderId="0" xfId="0" applyNumberFormat="1" applyFont="1"/>
    <xf numFmtId="7" fontId="20" fillId="3" borderId="8" xfId="21" applyNumberFormat="1" applyFont="1" applyFill="1" applyBorder="1"/>
    <xf numFmtId="5" fontId="20" fillId="3" borderId="12" xfId="15" applyNumberFormat="1" applyFont="1" applyFill="1" applyBorder="1"/>
    <xf numFmtId="167" fontId="15" fillId="0" borderId="0" xfId="0" applyFont="1" applyAlignment="1">
      <alignment horizontal="left"/>
    </xf>
  </cellXfs>
  <cellStyles count="31">
    <cellStyle name="1 decimal pt" xfId="1"/>
    <cellStyle name="b" xfId="2"/>
    <cellStyle name="b_IncStat" xfId="3"/>
    <cellStyle name="b_Nike 2009 answer (INTERNS) DCF" xfId="4"/>
    <cellStyle name="blank" xfId="5"/>
    <cellStyle name="Blue" xfId="6"/>
    <cellStyle name="Comma, 1 dec" xfId="7"/>
    <cellStyle name="d" xfId="8"/>
    <cellStyle name="date" xfId="9"/>
    <cellStyle name="eval" xfId="10"/>
    <cellStyle name="hard no %" xfId="11"/>
    <cellStyle name="hard no." xfId="12"/>
    <cellStyle name="hard number" xfId="13"/>
    <cellStyle name="Heading 1" xfId="27" builtinId="16" hidden="1"/>
    <cellStyle name="Heading 2" xfId="28" builtinId="17" hidden="1"/>
    <cellStyle name="Heading 3" xfId="29" builtinId="18" hidden="1"/>
    <cellStyle name="Heading 4" xfId="30" builtinId="19" hidden="1"/>
    <cellStyle name="Historical" xfId="14"/>
    <cellStyle name="Input" xfId="15" builtinId="20" customBuiltin="1"/>
    <cellStyle name="Locked" xfId="16"/>
    <cellStyle name="m" xfId="17"/>
    <cellStyle name="Multiple" xfId="18"/>
    <cellStyle name="Normal" xfId="0" builtinId="0"/>
    <cellStyle name="Normal_IncStat" xfId="19"/>
    <cellStyle name="p" xfId="20"/>
    <cellStyle name="Percent" xfId="21" builtinId="5"/>
    <cellStyle name="Percent 1 decimal" xfId="22"/>
    <cellStyle name="Percent 2 decimals" xfId="23"/>
    <cellStyle name="times" xfId="24"/>
    <cellStyle name="Topline" xfId="25"/>
    <cellStyle name="unlocked" xfId="2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tabSelected="1" workbookViewId="0">
      <selection activeCell="C8" sqref="C8"/>
    </sheetView>
  </sheetViews>
  <sheetFormatPr defaultRowHeight="12.75" x14ac:dyDescent="0.2"/>
  <cols>
    <col min="1" max="1" width="1.7109375" style="8" customWidth="1"/>
    <col min="2" max="2" width="23.5703125" style="8" customWidth="1"/>
    <col min="3" max="3" width="21.7109375" style="8" customWidth="1"/>
    <col min="4" max="4" width="1.7109375" style="8" customWidth="1"/>
    <col min="5" max="16384" width="9.140625" style="8"/>
  </cols>
  <sheetData>
    <row r="1" spans="1:4" s="44" customFormat="1" ht="23.25" x14ac:dyDescent="0.35">
      <c r="A1" s="41" t="str">
        <f>Cover!C3</f>
        <v>TechCo</v>
      </c>
      <c r="B1" s="42"/>
      <c r="C1" s="42"/>
      <c r="D1" s="43"/>
    </row>
    <row r="2" spans="1:4" x14ac:dyDescent="0.2">
      <c r="A2" s="11"/>
      <c r="B2" s="11"/>
      <c r="C2" s="11"/>
    </row>
    <row r="3" spans="1:4" ht="12.2" customHeight="1" x14ac:dyDescent="0.2">
      <c r="A3" s="11"/>
      <c r="B3" s="12" t="s">
        <v>1</v>
      </c>
      <c r="C3" s="45" t="s">
        <v>59</v>
      </c>
      <c r="D3" s="11"/>
    </row>
    <row r="4" spans="1:4" ht="12.2" customHeight="1" x14ac:dyDescent="0.2">
      <c r="A4" s="11"/>
      <c r="B4" s="12" t="s">
        <v>88</v>
      </c>
      <c r="C4" s="55">
        <v>42735</v>
      </c>
      <c r="D4" s="11"/>
    </row>
    <row r="5" spans="1:4" ht="12.2" customHeight="1" x14ac:dyDescent="0.2">
      <c r="A5" s="11"/>
      <c r="B5" s="12" t="s">
        <v>87</v>
      </c>
      <c r="C5" s="56" t="s">
        <v>5</v>
      </c>
      <c r="D5" s="11"/>
    </row>
    <row r="6" spans="1:4" x14ac:dyDescent="0.2">
      <c r="A6" s="11"/>
      <c r="B6" s="12"/>
      <c r="C6" s="12"/>
      <c r="D6" s="11"/>
    </row>
    <row r="7" spans="1:4" x14ac:dyDescent="0.2">
      <c r="B7" s="11"/>
      <c r="C7" s="11"/>
    </row>
  </sheetData>
  <phoneticPr fontId="3" type="noConversion"/>
  <pageMargins left="0.75" right="0.75" top="1" bottom="1" header="0.5" footer="0.5"/>
  <pageSetup paperSize="9" orientation="landscape" r:id="rId1"/>
  <headerFooter alignWithMargins="0">
    <oddHeader>&amp;L&amp;8&amp;F &amp;A</oddHeader>
    <oddFooter>&amp;L&amp;8© Adkins Matchett &amp; Toy 2009&amp;R&amp;8&amp;P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showGridLines="0" workbookViewId="0">
      <pane ySplit="2" topLeftCell="A3" activePane="bottomLeft" state="frozen"/>
      <selection activeCell="E7" sqref="E7"/>
      <selection pane="bottomLeft" activeCell="E7" sqref="E7"/>
    </sheetView>
  </sheetViews>
  <sheetFormatPr defaultRowHeight="12.75" x14ac:dyDescent="0.2"/>
  <cols>
    <col min="1" max="1" width="1.7109375" style="8" customWidth="1"/>
    <col min="2" max="2" width="40.7109375" style="8" customWidth="1"/>
    <col min="3" max="4" width="10.7109375" style="8" customWidth="1"/>
    <col min="5" max="16384" width="9.140625" style="8"/>
  </cols>
  <sheetData>
    <row r="1" spans="1:4" s="4" customFormat="1" ht="23.25" x14ac:dyDescent="0.35">
      <c r="A1" s="1" t="str">
        <f>Cover!C3</f>
        <v>TechCo</v>
      </c>
      <c r="B1" s="2"/>
      <c r="C1" s="3" t="s">
        <v>0</v>
      </c>
      <c r="D1" s="3" t="s">
        <v>0</v>
      </c>
    </row>
    <row r="2" spans="1:4" s="4" customFormat="1" ht="19.5" x14ac:dyDescent="0.3">
      <c r="A2" s="5"/>
      <c r="B2" s="2"/>
      <c r="C2" s="6">
        <f>DATE(YEAR($D$2)-1,MONTH($D$2),DAY($D$2))</f>
        <v>42369</v>
      </c>
      <c r="D2" s="6">
        <f>Cover!C4</f>
        <v>42735</v>
      </c>
    </row>
    <row r="3" spans="1:4" x14ac:dyDescent="0.2">
      <c r="A3" s="23" t="s">
        <v>2</v>
      </c>
      <c r="C3" s="15"/>
      <c r="D3" s="15"/>
    </row>
    <row r="4" spans="1:4" x14ac:dyDescent="0.2">
      <c r="A4" s="23"/>
      <c r="D4" s="30"/>
    </row>
    <row r="5" spans="1:4" x14ac:dyDescent="0.2">
      <c r="A5" s="23"/>
      <c r="B5" s="8" t="s">
        <v>67</v>
      </c>
      <c r="C5" s="15"/>
      <c r="D5" s="15">
        <f>+D25/C25-1</f>
        <v>0.10000000000000009</v>
      </c>
    </row>
    <row r="6" spans="1:4" x14ac:dyDescent="0.2">
      <c r="A6" s="23"/>
      <c r="B6" s="8" t="s">
        <v>68</v>
      </c>
      <c r="C6" s="15">
        <f>+C26/C25</f>
        <v>0.06</v>
      </c>
      <c r="D6" s="15">
        <f>+D26/D25</f>
        <v>0.1</v>
      </c>
    </row>
    <row r="7" spans="1:4" x14ac:dyDescent="0.2">
      <c r="A7" s="23"/>
      <c r="B7" s="8" t="s">
        <v>61</v>
      </c>
      <c r="C7" s="15"/>
      <c r="D7" s="15"/>
    </row>
    <row r="8" spans="1:4" x14ac:dyDescent="0.2">
      <c r="A8" s="23"/>
      <c r="C8" s="15"/>
      <c r="D8" s="15"/>
    </row>
    <row r="9" spans="1:4" x14ac:dyDescent="0.2">
      <c r="A9" s="23"/>
      <c r="B9" s="8" t="s">
        <v>69</v>
      </c>
      <c r="C9" s="15"/>
      <c r="D9" s="15"/>
    </row>
    <row r="10" spans="1:4" x14ac:dyDescent="0.2">
      <c r="A10" s="23"/>
      <c r="B10" s="8" t="s">
        <v>65</v>
      </c>
      <c r="C10" s="15"/>
      <c r="D10" s="15"/>
    </row>
    <row r="11" spans="1:4" x14ac:dyDescent="0.2">
      <c r="A11" s="23"/>
      <c r="B11" s="8" t="s">
        <v>79</v>
      </c>
      <c r="C11" s="15"/>
      <c r="D11" s="15"/>
    </row>
    <row r="12" spans="1:4" x14ac:dyDescent="0.2">
      <c r="A12" s="23"/>
      <c r="B12" s="8" t="s">
        <v>81</v>
      </c>
      <c r="C12" s="15"/>
      <c r="D12" s="15"/>
    </row>
    <row r="13" spans="1:4" x14ac:dyDescent="0.2">
      <c r="A13" s="23"/>
      <c r="C13" s="15"/>
      <c r="D13" s="15"/>
    </row>
    <row r="14" spans="1:4" x14ac:dyDescent="0.2">
      <c r="B14" s="8" t="s">
        <v>26</v>
      </c>
      <c r="C14" s="15">
        <f>C43/C41*(-1)</f>
        <v>0.33333333333333331</v>
      </c>
      <c r="D14" s="31">
        <f>D43/D41*(-1)</f>
        <v>0.20779220779220781</v>
      </c>
    </row>
    <row r="15" spans="1:4" x14ac:dyDescent="0.2">
      <c r="B15" s="8" t="s">
        <v>71</v>
      </c>
      <c r="C15" s="15"/>
      <c r="D15" s="31">
        <f>+D45/C45-1</f>
        <v>0.10000000000000009</v>
      </c>
    </row>
    <row r="16" spans="1:4" x14ac:dyDescent="0.2">
      <c r="C16" s="15"/>
      <c r="D16" s="15"/>
    </row>
    <row r="17" spans="1:4" x14ac:dyDescent="0.2">
      <c r="B17" s="32" t="s">
        <v>38</v>
      </c>
      <c r="C17" s="9">
        <f>IS!C49</f>
        <v>-50</v>
      </c>
      <c r="D17" s="9">
        <f>IS!D49</f>
        <v>-50</v>
      </c>
    </row>
    <row r="18" spans="1:4" x14ac:dyDescent="0.2">
      <c r="B18" s="8" t="s">
        <v>49</v>
      </c>
      <c r="C18" s="33">
        <f>-C55/C53</f>
        <v>0</v>
      </c>
      <c r="D18" s="33">
        <f>-D55/D53</f>
        <v>0.3</v>
      </c>
    </row>
    <row r="19" spans="1:4" x14ac:dyDescent="0.2">
      <c r="B19" s="8" t="s">
        <v>39</v>
      </c>
      <c r="C19" s="34">
        <f>C58/C56*(-1)</f>
        <v>0</v>
      </c>
      <c r="D19" s="34">
        <f>D58/D56*(-1)</f>
        <v>0</v>
      </c>
    </row>
    <row r="20" spans="1:4" s="12" customFormat="1" x14ac:dyDescent="0.2">
      <c r="C20" s="8"/>
    </row>
    <row r="21" spans="1:4" s="9" customFormat="1" x14ac:dyDescent="0.2">
      <c r="A21" s="26" t="s">
        <v>3</v>
      </c>
      <c r="C21" s="8"/>
      <c r="D21" s="22"/>
    </row>
    <row r="22" spans="1:4" s="9" customFormat="1" x14ac:dyDescent="0.2">
      <c r="A22" s="26"/>
      <c r="C22" s="27"/>
      <c r="D22" s="27"/>
    </row>
    <row r="23" spans="1:4" s="9" customFormat="1" x14ac:dyDescent="0.2">
      <c r="A23" s="26"/>
      <c r="B23" s="35" t="s">
        <v>64</v>
      </c>
      <c r="C23" s="27"/>
      <c r="D23" s="27"/>
    </row>
    <row r="24" spans="1:4" s="9" customFormat="1" x14ac:dyDescent="0.2">
      <c r="A24" s="26"/>
      <c r="C24" s="27"/>
      <c r="D24" s="27"/>
    </row>
    <row r="25" spans="1:4" s="9" customFormat="1" x14ac:dyDescent="0.2">
      <c r="A25" s="26"/>
      <c r="B25" s="9" t="s">
        <v>77</v>
      </c>
      <c r="C25" s="54">
        <v>5000</v>
      </c>
      <c r="D25" s="54">
        <v>5500</v>
      </c>
    </row>
    <row r="26" spans="1:4" s="9" customFormat="1" x14ac:dyDescent="0.2">
      <c r="A26" s="26"/>
      <c r="B26" s="9" t="s">
        <v>80</v>
      </c>
      <c r="C26" s="54">
        <v>300</v>
      </c>
      <c r="D26" s="54">
        <v>550</v>
      </c>
    </row>
    <row r="27" spans="1:4" s="9" customFormat="1" x14ac:dyDescent="0.2">
      <c r="A27" s="26"/>
      <c r="B27" s="12" t="s">
        <v>78</v>
      </c>
      <c r="C27" s="57">
        <v>1</v>
      </c>
      <c r="D27" s="57">
        <v>1.05</v>
      </c>
    </row>
    <row r="28" spans="1:4" s="9" customFormat="1" x14ac:dyDescent="0.2">
      <c r="A28" s="26"/>
      <c r="B28" s="13" t="s">
        <v>62</v>
      </c>
      <c r="C28" s="52">
        <f>+C26*C27</f>
        <v>300</v>
      </c>
      <c r="D28" s="52">
        <f t="shared" ref="D28" si="0">+D26*D27</f>
        <v>577.5</v>
      </c>
    </row>
    <row r="29" spans="1:4" s="9" customFormat="1" x14ac:dyDescent="0.2">
      <c r="A29" s="26"/>
      <c r="C29" s="27"/>
      <c r="D29" s="27"/>
    </row>
    <row r="30" spans="1:4" s="9" customFormat="1" x14ac:dyDescent="0.2">
      <c r="A30" s="26"/>
      <c r="B30" s="35" t="s">
        <v>63</v>
      </c>
      <c r="C30" s="27"/>
      <c r="D30" s="27"/>
    </row>
    <row r="31" spans="1:4" s="9" customFormat="1" x14ac:dyDescent="0.2">
      <c r="A31" s="26"/>
      <c r="C31" s="27"/>
      <c r="D31" s="27"/>
    </row>
    <row r="32" spans="1:4" s="9" customFormat="1" x14ac:dyDescent="0.2">
      <c r="A32" s="26"/>
      <c r="C32" s="27"/>
      <c r="D32" s="27"/>
    </row>
    <row r="33" spans="1:4" s="9" customFormat="1" x14ac:dyDescent="0.2">
      <c r="A33" s="26"/>
      <c r="C33" s="27"/>
      <c r="D33" s="27"/>
    </row>
    <row r="34" spans="1:4" s="9" customFormat="1" x14ac:dyDescent="0.2">
      <c r="A34" s="26"/>
      <c r="C34" s="27"/>
      <c r="D34" s="27"/>
    </row>
    <row r="35" spans="1:4" s="4" customFormat="1" x14ac:dyDescent="0.2">
      <c r="A35" s="26"/>
      <c r="B35" s="4" t="s">
        <v>66</v>
      </c>
      <c r="C35" s="38"/>
      <c r="D35" s="54">
        <v>0</v>
      </c>
    </row>
    <row r="36" spans="1:4" s="9" customFormat="1" x14ac:dyDescent="0.2">
      <c r="A36" s="26"/>
      <c r="C36" s="27"/>
      <c r="D36" s="36"/>
    </row>
    <row r="37" spans="1:4" s="9" customFormat="1" x14ac:dyDescent="0.2">
      <c r="A37" s="26"/>
      <c r="B37" s="13" t="s">
        <v>70</v>
      </c>
      <c r="C37" s="37"/>
      <c r="D37" s="83">
        <v>0</v>
      </c>
    </row>
    <row r="38" spans="1:4" s="35" customFormat="1" x14ac:dyDescent="0.2">
      <c r="A38" s="26"/>
      <c r="B38" s="39" t="s">
        <v>76</v>
      </c>
      <c r="C38" s="40"/>
      <c r="D38" s="53">
        <f>+D35/SUM($C26:D26)</f>
        <v>0</v>
      </c>
    </row>
    <row r="39" spans="1:4" s="9" customFormat="1" x14ac:dyDescent="0.2">
      <c r="A39" s="26"/>
      <c r="C39" s="27"/>
      <c r="D39" s="27"/>
    </row>
    <row r="40" spans="1:4" s="9" customFormat="1" x14ac:dyDescent="0.2">
      <c r="A40" s="26"/>
      <c r="B40" s="12"/>
      <c r="C40" s="25"/>
      <c r="D40" s="25"/>
    </row>
    <row r="41" spans="1:4" s="7" customFormat="1" x14ac:dyDescent="0.2">
      <c r="B41" s="47" t="s">
        <v>32</v>
      </c>
      <c r="C41" s="73">
        <f>+C28+C37</f>
        <v>300</v>
      </c>
      <c r="D41" s="73">
        <f>+D28+D37</f>
        <v>577.5</v>
      </c>
    </row>
    <row r="42" spans="1:4" s="7" customFormat="1" x14ac:dyDescent="0.2">
      <c r="B42" s="67"/>
      <c r="C42" s="72"/>
      <c r="D42" s="72"/>
    </row>
    <row r="43" spans="1:4" x14ac:dyDescent="0.2">
      <c r="B43" s="11" t="s">
        <v>7</v>
      </c>
      <c r="C43" s="58">
        <v>-100</v>
      </c>
      <c r="D43" s="58">
        <v>-120</v>
      </c>
    </row>
    <row r="44" spans="1:4" x14ac:dyDescent="0.2">
      <c r="B44" s="8" t="s">
        <v>75</v>
      </c>
      <c r="C44" s="58">
        <v>0</v>
      </c>
      <c r="D44" s="58">
        <v>0</v>
      </c>
    </row>
    <row r="45" spans="1:4" x14ac:dyDescent="0.2">
      <c r="B45" s="11" t="s">
        <v>37</v>
      </c>
      <c r="C45" s="63">
        <v>-100</v>
      </c>
      <c r="D45" s="63">
        <v>-110</v>
      </c>
    </row>
    <row r="46" spans="1:4" s="7" customFormat="1" x14ac:dyDescent="0.2">
      <c r="B46" s="13" t="s">
        <v>33</v>
      </c>
      <c r="C46" s="65">
        <f t="shared" ref="C46:D46" si="1">SUM(C41:C45)</f>
        <v>100</v>
      </c>
      <c r="D46" s="65">
        <f t="shared" si="1"/>
        <v>347.5</v>
      </c>
    </row>
    <row r="47" spans="1:4" s="7" customFormat="1" x14ac:dyDescent="0.2">
      <c r="C47" s="61"/>
      <c r="D47" s="61"/>
    </row>
    <row r="48" spans="1:4" s="7" customFormat="1" x14ac:dyDescent="0.2">
      <c r="B48" s="8" t="s">
        <v>9</v>
      </c>
      <c r="C48" s="58">
        <v>-25</v>
      </c>
      <c r="D48" s="58">
        <v>-25</v>
      </c>
    </row>
    <row r="49" spans="2:4" s="7" customFormat="1" x14ac:dyDescent="0.2">
      <c r="B49" s="11" t="s">
        <v>8</v>
      </c>
      <c r="C49" s="63">
        <v>-50</v>
      </c>
      <c r="D49" s="63">
        <v>-50</v>
      </c>
    </row>
    <row r="50" spans="2:4" s="7" customFormat="1" x14ac:dyDescent="0.2">
      <c r="B50" s="13" t="s">
        <v>34</v>
      </c>
      <c r="C50" s="65">
        <f t="shared" ref="C50:D50" si="2">SUM(C46, C48:C49)</f>
        <v>25</v>
      </c>
      <c r="D50" s="65">
        <f t="shared" si="2"/>
        <v>272.5</v>
      </c>
    </row>
    <row r="51" spans="2:4" s="7" customFormat="1" x14ac:dyDescent="0.2">
      <c r="C51" s="60"/>
      <c r="D51" s="59"/>
    </row>
    <row r="52" spans="2:4" x14ac:dyDescent="0.2">
      <c r="B52" s="11" t="s">
        <v>6</v>
      </c>
      <c r="C52" s="63">
        <v>-56.25</v>
      </c>
      <c r="D52" s="63">
        <v>-56.25</v>
      </c>
    </row>
    <row r="53" spans="2:4" x14ac:dyDescent="0.2">
      <c r="B53" s="13" t="s">
        <v>35</v>
      </c>
      <c r="C53" s="65">
        <f>SUM(C50, C52:C52)</f>
        <v>-31.25</v>
      </c>
      <c r="D53" s="65">
        <f>SUM(D50, D52:D52)</f>
        <v>216.25</v>
      </c>
    </row>
    <row r="54" spans="2:4" x14ac:dyDescent="0.2">
      <c r="C54" s="59"/>
      <c r="D54" s="59"/>
    </row>
    <row r="55" spans="2:4" x14ac:dyDescent="0.2">
      <c r="B55" s="11" t="s">
        <v>36</v>
      </c>
      <c r="C55" s="68">
        <f>MIN(0,-C53*0.3)</f>
        <v>0</v>
      </c>
      <c r="D55" s="68">
        <f>MIN(0,-D53*0.3)</f>
        <v>-64.875</v>
      </c>
    </row>
    <row r="56" spans="2:4" ht="13.5" thickBot="1" x14ac:dyDescent="0.25">
      <c r="B56" s="70" t="s">
        <v>11</v>
      </c>
      <c r="C56" s="71">
        <f t="shared" ref="C56:D56" si="3">C53+C55</f>
        <v>-31.25</v>
      </c>
      <c r="D56" s="71">
        <f t="shared" si="3"/>
        <v>151.375</v>
      </c>
    </row>
    <row r="57" spans="2:4" x14ac:dyDescent="0.2">
      <c r="B57" s="17"/>
      <c r="C57" s="64"/>
      <c r="D57" s="64"/>
    </row>
    <row r="58" spans="2:4" x14ac:dyDescent="0.2">
      <c r="B58" s="8" t="s">
        <v>12</v>
      </c>
      <c r="C58" s="58">
        <v>0</v>
      </c>
      <c r="D58" s="58">
        <v>0</v>
      </c>
    </row>
    <row r="59" spans="2:4" x14ac:dyDescent="0.2">
      <c r="B59" s="8" t="s">
        <v>10</v>
      </c>
    </row>
  </sheetData>
  <phoneticPr fontId="3" type="noConversion"/>
  <pageMargins left="0.75" right="0.75" top="1" bottom="1" header="0.5" footer="0.5"/>
  <pageSetup paperSize="9" orientation="landscape" r:id="rId1"/>
  <headerFooter alignWithMargins="0">
    <oddHeader>&amp;L&amp;8&amp;F &amp;A</oddHeader>
    <oddFooter>&amp;L&amp;8© Adkins Matchett &amp; Toy 2009&amp;R&amp;8&amp;P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showGridLines="0" workbookViewId="0">
      <pane ySplit="2" topLeftCell="A3" activePane="bottomLeft" state="frozen"/>
      <selection activeCell="E7" sqref="E7"/>
      <selection pane="bottomLeft" activeCell="J8" sqref="J8"/>
    </sheetView>
  </sheetViews>
  <sheetFormatPr defaultRowHeight="12.75" x14ac:dyDescent="0.2"/>
  <cols>
    <col min="1" max="1" width="1.7109375" style="8" customWidth="1"/>
    <col min="2" max="2" width="42.85546875" style="8" customWidth="1"/>
    <col min="3" max="4" width="10.7109375" style="9" customWidth="1"/>
    <col min="5" max="5" width="9.140625" style="9"/>
    <col min="6" max="16384" width="9.140625" style="8"/>
  </cols>
  <sheetData>
    <row r="1" spans="1:5" s="4" customFormat="1" ht="23.25" x14ac:dyDescent="0.35">
      <c r="A1" s="1" t="str">
        <f>Cover!C3</f>
        <v>TechCo</v>
      </c>
      <c r="B1" s="2"/>
      <c r="C1" s="3" t="s">
        <v>0</v>
      </c>
      <c r="D1" s="3" t="s">
        <v>0</v>
      </c>
      <c r="E1" s="2"/>
    </row>
    <row r="2" spans="1:5" s="4" customFormat="1" ht="19.5" x14ac:dyDescent="0.3">
      <c r="A2" s="5"/>
      <c r="B2" s="2"/>
      <c r="C2" s="6">
        <f>DATE(YEAR($D$2)-1,MONTH($D$2),DAY($D$2))</f>
        <v>42369</v>
      </c>
      <c r="D2" s="6">
        <f>Cover!C4</f>
        <v>42735</v>
      </c>
      <c r="E2" s="2"/>
    </row>
    <row r="3" spans="1:5" x14ac:dyDescent="0.2">
      <c r="A3" s="23" t="s">
        <v>2</v>
      </c>
    </row>
    <row r="4" spans="1:5" x14ac:dyDescent="0.2">
      <c r="B4" s="8" t="s">
        <v>73</v>
      </c>
      <c r="C4" s="50">
        <f>+C12/IS!C41*365</f>
        <v>60.833333333333329</v>
      </c>
      <c r="D4" s="50">
        <f>+D12/IS!D41*365</f>
        <v>63.203463203463201</v>
      </c>
    </row>
    <row r="5" spans="1:5" x14ac:dyDescent="0.2">
      <c r="B5" s="8" t="s">
        <v>72</v>
      </c>
      <c r="C5" s="50">
        <f>-C13/IS!C43*365</f>
        <v>36.5</v>
      </c>
      <c r="D5" s="50">
        <f>-D13/IS!D43*365</f>
        <v>36.5</v>
      </c>
    </row>
    <row r="6" spans="1:5" x14ac:dyDescent="0.2">
      <c r="B6" s="8" t="s">
        <v>27</v>
      </c>
      <c r="C6" s="15">
        <f>C14/IS!C41</f>
        <v>0.16666666666666666</v>
      </c>
      <c r="D6" s="15">
        <f>D14/IS!D41</f>
        <v>0.17316017316017315</v>
      </c>
    </row>
    <row r="7" spans="1:5" x14ac:dyDescent="0.2">
      <c r="B7" s="8" t="s">
        <v>74</v>
      </c>
      <c r="C7" s="50">
        <f>-C26/IS!C43*365</f>
        <v>36.5</v>
      </c>
      <c r="D7" s="50">
        <f>-D26/IS!D43*365</f>
        <v>36.5</v>
      </c>
    </row>
    <row r="8" spans="1:5" x14ac:dyDescent="0.2">
      <c r="B8" s="8" t="s">
        <v>41</v>
      </c>
      <c r="C8" s="15">
        <f>C27/IS!C41</f>
        <v>0.16666666666666666</v>
      </c>
      <c r="D8" s="15">
        <f>D27/IS!D41</f>
        <v>0.17316017316017315</v>
      </c>
    </row>
    <row r="9" spans="1:5" s="9" customFormat="1" x14ac:dyDescent="0.2">
      <c r="C9" s="21"/>
      <c r="D9" s="21"/>
    </row>
    <row r="10" spans="1:5" s="9" customFormat="1" x14ac:dyDescent="0.2">
      <c r="A10" s="26" t="s">
        <v>4</v>
      </c>
      <c r="C10" s="22"/>
      <c r="D10" s="22"/>
    </row>
    <row r="11" spans="1:5" x14ac:dyDescent="0.2">
      <c r="A11" s="4"/>
      <c r="B11" s="9" t="s">
        <v>86</v>
      </c>
      <c r="C11" s="74">
        <v>600</v>
      </c>
      <c r="D11" s="74">
        <v>541.375</v>
      </c>
    </row>
    <row r="12" spans="1:5" x14ac:dyDescent="0.2">
      <c r="A12" s="9"/>
      <c r="B12" s="9" t="s">
        <v>22</v>
      </c>
      <c r="C12" s="74">
        <v>50</v>
      </c>
      <c r="D12" s="74">
        <v>100</v>
      </c>
    </row>
    <row r="13" spans="1:5" x14ac:dyDescent="0.2">
      <c r="A13" s="9"/>
      <c r="B13" s="9" t="s">
        <v>13</v>
      </c>
      <c r="C13" s="74">
        <v>10</v>
      </c>
      <c r="D13" s="74">
        <v>12</v>
      </c>
    </row>
    <row r="14" spans="1:5" x14ac:dyDescent="0.2">
      <c r="A14" s="9"/>
      <c r="B14" s="12" t="s">
        <v>14</v>
      </c>
      <c r="C14" s="76">
        <v>50</v>
      </c>
      <c r="D14" s="76">
        <v>100</v>
      </c>
    </row>
    <row r="15" spans="1:5" s="4" customFormat="1" x14ac:dyDescent="0.2">
      <c r="B15" s="13" t="s">
        <v>18</v>
      </c>
      <c r="C15" s="65">
        <f t="shared" ref="C15:D15" si="0">SUM(C11:C14)</f>
        <v>710</v>
      </c>
      <c r="D15" s="65">
        <f t="shared" si="0"/>
        <v>753.375</v>
      </c>
    </row>
    <row r="16" spans="1:5" x14ac:dyDescent="0.2">
      <c r="A16" s="26"/>
      <c r="B16" s="9"/>
      <c r="C16" s="62"/>
      <c r="D16" s="62"/>
    </row>
    <row r="17" spans="1:4" x14ac:dyDescent="0.2">
      <c r="A17" s="9"/>
      <c r="B17" s="9" t="s">
        <v>82</v>
      </c>
      <c r="C17" s="74">
        <v>100</v>
      </c>
      <c r="D17" s="74">
        <v>120</v>
      </c>
    </row>
    <row r="18" spans="1:4" x14ac:dyDescent="0.2">
      <c r="A18" s="9"/>
      <c r="B18" s="9" t="s">
        <v>31</v>
      </c>
      <c r="C18" s="74">
        <v>250</v>
      </c>
      <c r="D18" s="74">
        <v>350</v>
      </c>
    </row>
    <row r="19" spans="1:4" x14ac:dyDescent="0.2">
      <c r="A19" s="9"/>
      <c r="B19" s="9" t="s">
        <v>15</v>
      </c>
      <c r="C19" s="74">
        <v>25</v>
      </c>
      <c r="D19" s="74">
        <v>80</v>
      </c>
    </row>
    <row r="20" spans="1:4" x14ac:dyDescent="0.2">
      <c r="A20" s="9"/>
      <c r="B20" s="9" t="s">
        <v>57</v>
      </c>
      <c r="C20" s="75"/>
      <c r="D20" s="75"/>
    </row>
    <row r="21" spans="1:4" x14ac:dyDescent="0.2">
      <c r="A21" s="9"/>
      <c r="B21" s="12" t="s">
        <v>58</v>
      </c>
      <c r="C21" s="77"/>
      <c r="D21" s="77"/>
    </row>
    <row r="22" spans="1:4" s="4" customFormat="1" x14ac:dyDescent="0.2">
      <c r="B22" s="13" t="s">
        <v>19</v>
      </c>
      <c r="C22" s="65">
        <f t="shared" ref="C22:D22" si="1">SUM(C17:C21)</f>
        <v>375</v>
      </c>
      <c r="D22" s="65">
        <f t="shared" si="1"/>
        <v>550</v>
      </c>
    </row>
    <row r="23" spans="1:4" x14ac:dyDescent="0.2">
      <c r="A23" s="9"/>
      <c r="B23" s="12"/>
      <c r="C23" s="66"/>
      <c r="D23" s="66"/>
    </row>
    <row r="24" spans="1:4" s="4" customFormat="1" x14ac:dyDescent="0.2">
      <c r="B24" s="47" t="s">
        <v>20</v>
      </c>
      <c r="C24" s="69">
        <f t="shared" ref="C24:D24" si="2">+C22+C15</f>
        <v>1085</v>
      </c>
      <c r="D24" s="69">
        <f t="shared" si="2"/>
        <v>1303.375</v>
      </c>
    </row>
    <row r="25" spans="1:4" x14ac:dyDescent="0.2">
      <c r="A25" s="4"/>
      <c r="B25" s="12"/>
      <c r="C25" s="66"/>
      <c r="D25" s="66"/>
    </row>
    <row r="26" spans="1:4" x14ac:dyDescent="0.2">
      <c r="A26" s="9"/>
      <c r="B26" s="9" t="s">
        <v>16</v>
      </c>
      <c r="C26" s="74">
        <v>10</v>
      </c>
      <c r="D26" s="74">
        <v>12</v>
      </c>
    </row>
    <row r="27" spans="1:4" x14ac:dyDescent="0.2">
      <c r="A27" s="9"/>
      <c r="B27" s="12" t="s">
        <v>17</v>
      </c>
      <c r="C27" s="76">
        <v>50</v>
      </c>
      <c r="D27" s="76">
        <v>100</v>
      </c>
    </row>
    <row r="28" spans="1:4" s="4" customFormat="1" x14ac:dyDescent="0.2">
      <c r="B28" s="13" t="s">
        <v>23</v>
      </c>
      <c r="C28" s="65">
        <f t="shared" ref="C28:D28" si="3">SUM(C26:C27)</f>
        <v>60</v>
      </c>
      <c r="D28" s="65">
        <f t="shared" si="3"/>
        <v>112</v>
      </c>
    </row>
    <row r="29" spans="1:4" x14ac:dyDescent="0.2">
      <c r="A29" s="9"/>
      <c r="B29" s="4"/>
      <c r="C29" s="62"/>
      <c r="D29" s="62"/>
    </row>
    <row r="30" spans="1:4" x14ac:dyDescent="0.2">
      <c r="A30" s="9"/>
      <c r="B30" s="9" t="s">
        <v>48</v>
      </c>
      <c r="C30" s="74">
        <v>750</v>
      </c>
      <c r="D30" s="74">
        <v>750</v>
      </c>
    </row>
    <row r="31" spans="1:4" x14ac:dyDescent="0.2">
      <c r="A31" s="9"/>
      <c r="B31" s="12" t="s">
        <v>42</v>
      </c>
      <c r="C31" s="76">
        <v>30</v>
      </c>
      <c r="D31" s="76">
        <v>45</v>
      </c>
    </row>
    <row r="32" spans="1:4" x14ac:dyDescent="0.2">
      <c r="A32" s="9"/>
      <c r="B32" s="13" t="s">
        <v>24</v>
      </c>
      <c r="C32" s="65">
        <f t="shared" ref="C32:D32" si="4">SUM(C30:C31)</f>
        <v>780</v>
      </c>
      <c r="D32" s="65">
        <f t="shared" si="4"/>
        <v>795</v>
      </c>
    </row>
    <row r="33" spans="1:4" x14ac:dyDescent="0.2">
      <c r="A33" s="9"/>
      <c r="B33" s="9"/>
      <c r="C33" s="62"/>
      <c r="D33" s="62"/>
    </row>
    <row r="34" spans="1:4" x14ac:dyDescent="0.2">
      <c r="A34" s="9"/>
      <c r="B34" s="12" t="s">
        <v>30</v>
      </c>
      <c r="C34" s="76">
        <v>245</v>
      </c>
      <c r="D34" s="76">
        <v>396.375</v>
      </c>
    </row>
    <row r="35" spans="1:4" s="4" customFormat="1" x14ac:dyDescent="0.2">
      <c r="B35" s="47" t="s">
        <v>21</v>
      </c>
      <c r="C35" s="69">
        <f t="shared" ref="C35:D35" si="5">+C32+C34+C28</f>
        <v>1085</v>
      </c>
      <c r="D35" s="69">
        <f t="shared" si="5"/>
        <v>1303.375</v>
      </c>
    </row>
    <row r="36" spans="1:4" x14ac:dyDescent="0.2">
      <c r="A36" s="9"/>
      <c r="B36" s="12"/>
      <c r="C36" s="12"/>
      <c r="D36" s="12"/>
    </row>
    <row r="37" spans="1:4" x14ac:dyDescent="0.2">
      <c r="A37" s="9"/>
      <c r="B37" s="4" t="s">
        <v>25</v>
      </c>
      <c r="C37" s="28" t="b">
        <f>+C35=C24</f>
        <v>1</v>
      </c>
      <c r="D37" s="28" t="b">
        <f>+D35=D24</f>
        <v>1</v>
      </c>
    </row>
    <row r="38" spans="1:4" x14ac:dyDescent="0.2">
      <c r="C38" s="29">
        <f>C35-C24</f>
        <v>0</v>
      </c>
      <c r="D38" s="29">
        <f>D35-D24</f>
        <v>0</v>
      </c>
    </row>
  </sheetData>
  <phoneticPr fontId="3" type="noConversion"/>
  <pageMargins left="0.75" right="0.75" top="1" bottom="1" header="0.5" footer="0.5"/>
  <pageSetup paperSize="9" orientation="landscape" r:id="rId1"/>
  <headerFooter alignWithMargins="0">
    <oddHeader>&amp;L&amp;8&amp;F &amp;A</oddHeader>
    <oddFooter>&amp;L&amp;8© Adkins Matchett &amp; Toy 2009&amp;R&amp;8&amp;P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workbookViewId="0">
      <pane ySplit="2" topLeftCell="A3" activePane="bottomLeft" state="frozen"/>
      <selection activeCell="E7" sqref="E7"/>
      <selection pane="bottomLeft" activeCell="E5" sqref="E5"/>
    </sheetView>
  </sheetViews>
  <sheetFormatPr defaultRowHeight="12.75" x14ac:dyDescent="0.2"/>
  <cols>
    <col min="1" max="1" width="1.7109375" style="8" customWidth="1"/>
    <col min="2" max="2" width="40.7109375" style="8" customWidth="1"/>
    <col min="3" max="4" width="10.7109375" style="8" customWidth="1"/>
    <col min="5" max="5" width="9.140625" style="9"/>
    <col min="6" max="16384" width="9.140625" style="8"/>
  </cols>
  <sheetData>
    <row r="1" spans="1:5" s="4" customFormat="1" ht="23.25" x14ac:dyDescent="0.35">
      <c r="A1" s="1" t="str">
        <f>Cover!C3</f>
        <v>TechCo</v>
      </c>
      <c r="B1" s="2"/>
      <c r="C1" s="3" t="s">
        <v>0</v>
      </c>
      <c r="D1" s="3" t="s">
        <v>0</v>
      </c>
      <c r="E1" s="2"/>
    </row>
    <row r="2" spans="1:5" s="4" customFormat="1" ht="19.5" x14ac:dyDescent="0.3">
      <c r="A2" s="5"/>
      <c r="B2" s="2"/>
      <c r="C2" s="6">
        <f>DATE(YEAR($D$2)-1,MONTH($D$2),DAY($D$2))</f>
        <v>42369</v>
      </c>
      <c r="D2" s="6">
        <f>Cover!C4</f>
        <v>42735</v>
      </c>
      <c r="E2" s="2"/>
    </row>
    <row r="4" spans="1:5" x14ac:dyDescent="0.2">
      <c r="B4" s="16"/>
      <c r="C4" s="59"/>
      <c r="D4" s="59"/>
    </row>
    <row r="5" spans="1:5" x14ac:dyDescent="0.2">
      <c r="B5" s="16"/>
      <c r="C5" s="59"/>
      <c r="D5" s="59"/>
    </row>
    <row r="6" spans="1:5" x14ac:dyDescent="0.2">
      <c r="B6" s="16"/>
      <c r="C6" s="59"/>
      <c r="D6" s="59"/>
    </row>
    <row r="7" spans="1:5" x14ac:dyDescent="0.2">
      <c r="B7" s="48"/>
      <c r="C7" s="59"/>
      <c r="D7" s="59"/>
    </row>
    <row r="8" spans="1:5" x14ac:dyDescent="0.2">
      <c r="B8" s="48"/>
      <c r="C8" s="59"/>
      <c r="D8" s="59"/>
    </row>
    <row r="9" spans="1:5" x14ac:dyDescent="0.2">
      <c r="B9" s="49"/>
      <c r="C9" s="64"/>
      <c r="D9" s="64"/>
    </row>
    <row r="10" spans="1:5" x14ac:dyDescent="0.2">
      <c r="B10" s="13" t="s">
        <v>43</v>
      </c>
      <c r="C10" s="78"/>
      <c r="D10" s="65"/>
    </row>
    <row r="11" spans="1:5" x14ac:dyDescent="0.2">
      <c r="B11" s="7"/>
      <c r="C11" s="59"/>
      <c r="D11" s="59"/>
    </row>
    <row r="12" spans="1:5" x14ac:dyDescent="0.2">
      <c r="B12" s="18"/>
      <c r="C12" s="64"/>
      <c r="D12" s="64"/>
    </row>
    <row r="13" spans="1:5" x14ac:dyDescent="0.2">
      <c r="B13" s="13" t="s">
        <v>44</v>
      </c>
      <c r="C13" s="78"/>
      <c r="D13" s="65"/>
    </row>
    <row r="14" spans="1:5" x14ac:dyDescent="0.2">
      <c r="B14" s="7"/>
      <c r="C14" s="59"/>
      <c r="D14" s="59"/>
    </row>
    <row r="15" spans="1:5" x14ac:dyDescent="0.2">
      <c r="B15" s="48"/>
      <c r="C15" s="59"/>
      <c r="D15" s="59"/>
    </row>
    <row r="16" spans="1:5" x14ac:dyDescent="0.2">
      <c r="B16" s="48"/>
      <c r="C16" s="59"/>
      <c r="D16" s="59"/>
    </row>
    <row r="17" spans="1:5" x14ac:dyDescent="0.2">
      <c r="B17" s="16"/>
      <c r="C17" s="59"/>
      <c r="D17" s="59"/>
    </row>
    <row r="18" spans="1:5" x14ac:dyDescent="0.2">
      <c r="B18" s="18"/>
      <c r="C18" s="64"/>
      <c r="D18" s="64"/>
    </row>
    <row r="19" spans="1:5" x14ac:dyDescent="0.2">
      <c r="B19" s="13" t="s">
        <v>45</v>
      </c>
      <c r="C19" s="78"/>
      <c r="D19" s="65"/>
    </row>
    <row r="20" spans="1:5" x14ac:dyDescent="0.2">
      <c r="B20" s="11"/>
      <c r="C20" s="64"/>
      <c r="D20" s="64"/>
    </row>
    <row r="21" spans="1:5" x14ac:dyDescent="0.2">
      <c r="B21" s="47" t="s">
        <v>29</v>
      </c>
      <c r="C21" s="79"/>
      <c r="D21" s="69"/>
    </row>
    <row r="22" spans="1:5" x14ac:dyDescent="0.2">
      <c r="B22" s="11"/>
      <c r="C22" s="64"/>
      <c r="D22" s="64"/>
    </row>
    <row r="23" spans="1:5" x14ac:dyDescent="0.2">
      <c r="A23" s="23" t="s">
        <v>46</v>
      </c>
      <c r="C23" s="59"/>
      <c r="D23" s="59"/>
    </row>
    <row r="24" spans="1:5" x14ac:dyDescent="0.2">
      <c r="A24" s="23"/>
      <c r="C24" s="59"/>
      <c r="D24" s="59"/>
    </row>
    <row r="25" spans="1:5" x14ac:dyDescent="0.2">
      <c r="B25" s="84" t="s">
        <v>89</v>
      </c>
      <c r="C25" s="59"/>
      <c r="D25" s="59"/>
    </row>
    <row r="26" spans="1:5" x14ac:dyDescent="0.2">
      <c r="B26" s="84" t="s">
        <v>91</v>
      </c>
      <c r="C26" s="59"/>
      <c r="D26" s="59"/>
    </row>
    <row r="27" spans="1:5" s="7" customFormat="1" x14ac:dyDescent="0.2">
      <c r="B27" s="7" t="s">
        <v>90</v>
      </c>
      <c r="C27" s="60"/>
      <c r="D27" s="59"/>
      <c r="E27" s="4"/>
    </row>
  </sheetData>
  <phoneticPr fontId="3" type="noConversion"/>
  <pageMargins left="0.75" right="0.75" top="1" bottom="1" header="0.5" footer="0.5"/>
  <pageSetup paperSize="9" orientation="landscape" r:id="rId1"/>
  <headerFooter alignWithMargins="0">
    <oddHeader>&amp;L&amp;8&amp;F &amp;A</oddHeader>
    <oddFooter>&amp;L&amp;8© Adkins Matchett &amp; Toy 2009&amp;R&amp;8&amp;P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"/>
  <sheetViews>
    <sheetView showGridLines="0" workbookViewId="0">
      <pane ySplit="2" topLeftCell="A3" activePane="bottomLeft" state="frozen"/>
      <selection activeCell="E7" sqref="E7"/>
      <selection pane="bottomLeft" activeCell="A12" sqref="A12"/>
    </sheetView>
  </sheetViews>
  <sheetFormatPr defaultRowHeight="12.75" x14ac:dyDescent="0.2"/>
  <cols>
    <col min="1" max="1" width="1.7109375" style="8" customWidth="1"/>
    <col min="2" max="2" width="40.7109375" style="8" customWidth="1"/>
    <col min="3" max="4" width="10.7109375" style="8" customWidth="1"/>
    <col min="5" max="5" width="10.7109375" style="9" customWidth="1"/>
    <col min="6" max="16384" width="9.140625" style="8"/>
  </cols>
  <sheetData>
    <row r="1" spans="1:5" s="4" customFormat="1" ht="23.25" x14ac:dyDescent="0.35">
      <c r="A1" s="1" t="str">
        <f>Cover!C3</f>
        <v>TechCo</v>
      </c>
      <c r="B1" s="2"/>
      <c r="C1" s="3" t="s">
        <v>0</v>
      </c>
      <c r="D1" s="3" t="s">
        <v>0</v>
      </c>
      <c r="E1" s="19"/>
    </row>
    <row r="2" spans="1:5" s="4" customFormat="1" ht="19.5" x14ac:dyDescent="0.3">
      <c r="A2" s="5"/>
      <c r="B2" s="2"/>
      <c r="C2" s="6">
        <f>DATE(YEAR($D$2)-1,MONTH($D$2),DAY($D$2))</f>
        <v>42369</v>
      </c>
      <c r="D2" s="6">
        <f>Cover!C4</f>
        <v>42735</v>
      </c>
      <c r="E2" s="20"/>
    </row>
    <row r="3" spans="1:5" x14ac:dyDescent="0.2">
      <c r="A3" s="7" t="s">
        <v>92</v>
      </c>
      <c r="C3" s="9"/>
      <c r="D3" s="9"/>
    </row>
    <row r="4" spans="1:5" x14ac:dyDescent="0.2">
      <c r="A4" s="7"/>
      <c r="C4" s="9"/>
      <c r="D4" s="9"/>
    </row>
    <row r="5" spans="1:5" x14ac:dyDescent="0.2">
      <c r="A5" s="7"/>
      <c r="B5" s="8" t="s">
        <v>40</v>
      </c>
      <c r="C5" s="21">
        <f>C9/IS!C41</f>
        <v>0.16666666666666666</v>
      </c>
      <c r="D5" s="21">
        <f>D9/IS!D41</f>
        <v>0.20779220779220781</v>
      </c>
    </row>
    <row r="6" spans="1:5" x14ac:dyDescent="0.2">
      <c r="A6" s="7"/>
      <c r="B6" s="8" t="s">
        <v>85</v>
      </c>
      <c r="C6" s="9"/>
      <c r="D6" s="21">
        <f>IS!D48/BS!C17*(-1)</f>
        <v>0.25</v>
      </c>
    </row>
    <row r="7" spans="1:5" x14ac:dyDescent="0.2">
      <c r="A7" s="7"/>
      <c r="C7" s="9"/>
      <c r="D7" s="9"/>
    </row>
    <row r="8" spans="1:5" x14ac:dyDescent="0.2">
      <c r="B8" s="8" t="s">
        <v>83</v>
      </c>
      <c r="C8" s="62"/>
      <c r="D8" s="62"/>
    </row>
    <row r="9" spans="1:5" x14ac:dyDescent="0.2">
      <c r="B9" s="8" t="s">
        <v>28</v>
      </c>
      <c r="C9" s="74">
        <v>50</v>
      </c>
      <c r="D9" s="74">
        <v>120</v>
      </c>
    </row>
    <row r="10" spans="1:5" x14ac:dyDescent="0.2">
      <c r="B10" s="8" t="s">
        <v>8</v>
      </c>
      <c r="C10" s="62"/>
      <c r="D10" s="62"/>
    </row>
    <row r="11" spans="1:5" x14ac:dyDescent="0.2">
      <c r="B11" s="8" t="s">
        <v>84</v>
      </c>
      <c r="C11" s="62"/>
      <c r="D11" s="59">
        <f>BS!D17</f>
        <v>120</v>
      </c>
    </row>
    <row r="12" spans="1:5" x14ac:dyDescent="0.2">
      <c r="C12" s="62"/>
      <c r="D12" s="62"/>
    </row>
    <row r="13" spans="1:5" x14ac:dyDescent="0.2">
      <c r="A13" s="7" t="s">
        <v>30</v>
      </c>
      <c r="C13" s="62"/>
      <c r="D13" s="62"/>
    </row>
    <row r="14" spans="1:5" x14ac:dyDescent="0.2">
      <c r="A14" s="7"/>
      <c r="C14" s="62"/>
      <c r="D14" s="62"/>
    </row>
    <row r="15" spans="1:5" x14ac:dyDescent="0.2">
      <c r="A15" s="7" t="s">
        <v>60</v>
      </c>
      <c r="C15" s="62"/>
      <c r="D15" s="62"/>
    </row>
    <row r="16" spans="1:5" x14ac:dyDescent="0.2">
      <c r="C16" s="62"/>
      <c r="D16" s="62"/>
    </row>
    <row r="17" spans="1:4" x14ac:dyDescent="0.2">
      <c r="A17" s="23" t="s">
        <v>47</v>
      </c>
      <c r="C17" s="9"/>
      <c r="D17" s="9"/>
    </row>
    <row r="18" spans="1:4" x14ac:dyDescent="0.2">
      <c r="B18" s="24"/>
    </row>
    <row r="19" spans="1:4" x14ac:dyDescent="0.2">
      <c r="C19" s="59"/>
      <c r="D19" s="59"/>
    </row>
    <row r="48" spans="3:4" x14ac:dyDescent="0.2">
      <c r="C48" s="9"/>
      <c r="D48" s="9"/>
    </row>
    <row r="49" spans="3:4" x14ac:dyDescent="0.2">
      <c r="C49" s="9"/>
      <c r="D49" s="9"/>
    </row>
    <row r="50" spans="3:4" x14ac:dyDescent="0.2">
      <c r="C50" s="9"/>
      <c r="D50" s="9"/>
    </row>
    <row r="51" spans="3:4" x14ac:dyDescent="0.2">
      <c r="C51" s="9"/>
      <c r="D51" s="9"/>
    </row>
    <row r="52" spans="3:4" x14ac:dyDescent="0.2">
      <c r="C52" s="9"/>
      <c r="D52" s="9"/>
    </row>
    <row r="53" spans="3:4" x14ac:dyDescent="0.2">
      <c r="C53" s="9"/>
      <c r="D53" s="9"/>
    </row>
    <row r="54" spans="3:4" x14ac:dyDescent="0.2">
      <c r="C54" s="9"/>
      <c r="D54" s="9"/>
    </row>
    <row r="55" spans="3:4" x14ac:dyDescent="0.2">
      <c r="C55" s="9"/>
      <c r="D55" s="9"/>
    </row>
    <row r="56" spans="3:4" x14ac:dyDescent="0.2">
      <c r="C56" s="9"/>
      <c r="D56" s="9"/>
    </row>
    <row r="57" spans="3:4" x14ac:dyDescent="0.2">
      <c r="C57" s="9"/>
      <c r="D57" s="9"/>
    </row>
    <row r="58" spans="3:4" x14ac:dyDescent="0.2">
      <c r="C58" s="9"/>
      <c r="D58" s="9"/>
    </row>
    <row r="59" spans="3:4" x14ac:dyDescent="0.2">
      <c r="C59" s="9"/>
      <c r="D59" s="9"/>
    </row>
    <row r="60" spans="3:4" x14ac:dyDescent="0.2">
      <c r="C60" s="9"/>
      <c r="D60" s="9"/>
    </row>
    <row r="61" spans="3:4" x14ac:dyDescent="0.2">
      <c r="C61" s="9"/>
      <c r="D61" s="9"/>
    </row>
    <row r="62" spans="3:4" x14ac:dyDescent="0.2">
      <c r="C62" s="9"/>
      <c r="D62" s="9"/>
    </row>
    <row r="63" spans="3:4" x14ac:dyDescent="0.2">
      <c r="C63" s="9"/>
      <c r="D63" s="9"/>
    </row>
    <row r="64" spans="3:4" x14ac:dyDescent="0.2">
      <c r="C64" s="9"/>
      <c r="D64" s="9"/>
    </row>
    <row r="65" spans="3:4" x14ac:dyDescent="0.2">
      <c r="C65" s="9"/>
      <c r="D65" s="9"/>
    </row>
    <row r="66" spans="3:4" x14ac:dyDescent="0.2">
      <c r="C66" s="9"/>
      <c r="D66" s="9"/>
    </row>
    <row r="67" spans="3:4" x14ac:dyDescent="0.2">
      <c r="C67" s="9"/>
      <c r="D67" s="9"/>
    </row>
    <row r="68" spans="3:4" x14ac:dyDescent="0.2">
      <c r="C68" s="9"/>
      <c r="D68" s="9"/>
    </row>
    <row r="69" spans="3:4" x14ac:dyDescent="0.2">
      <c r="C69" s="9"/>
      <c r="D69" s="9"/>
    </row>
    <row r="70" spans="3:4" x14ac:dyDescent="0.2">
      <c r="C70" s="9"/>
      <c r="D70" s="9"/>
    </row>
    <row r="71" spans="3:4" x14ac:dyDescent="0.2">
      <c r="C71" s="9"/>
      <c r="D71" s="9"/>
    </row>
    <row r="72" spans="3:4" x14ac:dyDescent="0.2">
      <c r="C72" s="9"/>
      <c r="D72" s="9"/>
    </row>
    <row r="73" spans="3:4" x14ac:dyDescent="0.2">
      <c r="C73" s="9"/>
      <c r="D73" s="9"/>
    </row>
    <row r="74" spans="3:4" x14ac:dyDescent="0.2">
      <c r="C74" s="9"/>
      <c r="D74" s="9"/>
    </row>
    <row r="75" spans="3:4" x14ac:dyDescent="0.2">
      <c r="C75" s="9"/>
      <c r="D75" s="9"/>
    </row>
    <row r="76" spans="3:4" x14ac:dyDescent="0.2">
      <c r="C76" s="9"/>
      <c r="D76" s="9"/>
    </row>
    <row r="77" spans="3:4" x14ac:dyDescent="0.2">
      <c r="C77" s="9"/>
      <c r="D77" s="9"/>
    </row>
    <row r="78" spans="3:4" x14ac:dyDescent="0.2">
      <c r="C78" s="9"/>
      <c r="D78" s="9"/>
    </row>
    <row r="79" spans="3:4" x14ac:dyDescent="0.2">
      <c r="C79" s="9"/>
      <c r="D79" s="9"/>
    </row>
    <row r="80" spans="3:4" x14ac:dyDescent="0.2">
      <c r="C80" s="9"/>
      <c r="D80" s="9"/>
    </row>
    <row r="81" spans="3:4" x14ac:dyDescent="0.2">
      <c r="C81" s="9"/>
      <c r="D81" s="9"/>
    </row>
    <row r="82" spans="3:4" x14ac:dyDescent="0.2">
      <c r="C82" s="9"/>
      <c r="D82" s="9"/>
    </row>
    <row r="83" spans="3:4" x14ac:dyDescent="0.2">
      <c r="C83" s="9"/>
      <c r="D83" s="9"/>
    </row>
    <row r="84" spans="3:4" x14ac:dyDescent="0.2">
      <c r="C84" s="9"/>
      <c r="D84" s="9"/>
    </row>
    <row r="85" spans="3:4" x14ac:dyDescent="0.2">
      <c r="C85" s="9"/>
      <c r="D85" s="9"/>
    </row>
    <row r="86" spans="3:4" x14ac:dyDescent="0.2">
      <c r="C86" s="9"/>
      <c r="D86" s="9"/>
    </row>
    <row r="87" spans="3:4" x14ac:dyDescent="0.2">
      <c r="C87" s="9"/>
      <c r="D87" s="9"/>
    </row>
    <row r="88" spans="3:4" x14ac:dyDescent="0.2">
      <c r="C88" s="9"/>
      <c r="D88" s="9"/>
    </row>
    <row r="89" spans="3:4" x14ac:dyDescent="0.2">
      <c r="C89" s="9"/>
      <c r="D89" s="9"/>
    </row>
    <row r="90" spans="3:4" x14ac:dyDescent="0.2">
      <c r="C90" s="9"/>
      <c r="D90" s="9"/>
    </row>
    <row r="91" spans="3:4" x14ac:dyDescent="0.2">
      <c r="C91" s="9"/>
      <c r="D91" s="9"/>
    </row>
    <row r="92" spans="3:4" x14ac:dyDescent="0.2">
      <c r="C92" s="9"/>
      <c r="D92" s="9"/>
    </row>
    <row r="93" spans="3:4" x14ac:dyDescent="0.2">
      <c r="C93" s="9"/>
      <c r="D93" s="9"/>
    </row>
    <row r="94" spans="3:4" x14ac:dyDescent="0.2">
      <c r="C94" s="9"/>
      <c r="D94" s="9"/>
    </row>
    <row r="95" spans="3:4" x14ac:dyDescent="0.2">
      <c r="C95" s="9"/>
      <c r="D95" s="9"/>
    </row>
    <row r="96" spans="3:4" x14ac:dyDescent="0.2">
      <c r="C96" s="9"/>
      <c r="D96" s="9"/>
    </row>
    <row r="97" spans="3:4" x14ac:dyDescent="0.2">
      <c r="C97" s="9"/>
      <c r="D97" s="9"/>
    </row>
    <row r="98" spans="3:4" x14ac:dyDescent="0.2">
      <c r="C98" s="9"/>
      <c r="D98" s="9"/>
    </row>
    <row r="99" spans="3:4" x14ac:dyDescent="0.2">
      <c r="C99" s="9"/>
      <c r="D99" s="9"/>
    </row>
    <row r="100" spans="3:4" x14ac:dyDescent="0.2">
      <c r="C100" s="9"/>
      <c r="D100" s="9"/>
    </row>
    <row r="101" spans="3:4" x14ac:dyDescent="0.2">
      <c r="C101" s="9"/>
      <c r="D101" s="9"/>
    </row>
    <row r="102" spans="3:4" x14ac:dyDescent="0.2">
      <c r="C102" s="9"/>
      <c r="D102" s="9"/>
    </row>
    <row r="103" spans="3:4" x14ac:dyDescent="0.2">
      <c r="C103" s="9"/>
      <c r="D103" s="9"/>
    </row>
    <row r="104" spans="3:4" x14ac:dyDescent="0.2">
      <c r="C104" s="9"/>
      <c r="D104" s="9"/>
    </row>
    <row r="105" spans="3:4" x14ac:dyDescent="0.2">
      <c r="C105" s="9"/>
      <c r="D105" s="9"/>
    </row>
    <row r="106" spans="3:4" x14ac:dyDescent="0.2">
      <c r="C106" s="9"/>
      <c r="D106" s="9"/>
    </row>
    <row r="107" spans="3:4" x14ac:dyDescent="0.2">
      <c r="C107" s="9"/>
      <c r="D107" s="9"/>
    </row>
    <row r="108" spans="3:4" x14ac:dyDescent="0.2">
      <c r="C108" s="9"/>
      <c r="D108" s="9"/>
    </row>
    <row r="109" spans="3:4" x14ac:dyDescent="0.2">
      <c r="C109" s="9"/>
      <c r="D109" s="9"/>
    </row>
    <row r="110" spans="3:4" x14ac:dyDescent="0.2">
      <c r="C110" s="9"/>
      <c r="D110" s="9"/>
    </row>
    <row r="111" spans="3:4" x14ac:dyDescent="0.2">
      <c r="C111" s="9"/>
      <c r="D111" s="9"/>
    </row>
    <row r="112" spans="3:4" x14ac:dyDescent="0.2">
      <c r="C112" s="9"/>
      <c r="D112" s="9"/>
    </row>
    <row r="113" spans="3:4" x14ac:dyDescent="0.2">
      <c r="C113" s="9"/>
      <c r="D113" s="9"/>
    </row>
    <row r="114" spans="3:4" x14ac:dyDescent="0.2">
      <c r="C114" s="9"/>
      <c r="D114" s="9"/>
    </row>
    <row r="115" spans="3:4" x14ac:dyDescent="0.2">
      <c r="C115" s="9"/>
      <c r="D115" s="9"/>
    </row>
    <row r="116" spans="3:4" x14ac:dyDescent="0.2">
      <c r="C116" s="9"/>
      <c r="D116" s="9"/>
    </row>
    <row r="117" spans="3:4" x14ac:dyDescent="0.2">
      <c r="C117" s="9"/>
      <c r="D117" s="9"/>
    </row>
    <row r="118" spans="3:4" x14ac:dyDescent="0.2">
      <c r="C118" s="9"/>
      <c r="D118" s="9"/>
    </row>
    <row r="119" spans="3:4" x14ac:dyDescent="0.2">
      <c r="C119" s="9"/>
      <c r="D119" s="9"/>
    </row>
    <row r="120" spans="3:4" x14ac:dyDescent="0.2">
      <c r="C120" s="9"/>
      <c r="D120" s="9"/>
    </row>
    <row r="121" spans="3:4" x14ac:dyDescent="0.2">
      <c r="C121" s="9"/>
      <c r="D121" s="9"/>
    </row>
    <row r="122" spans="3:4" x14ac:dyDescent="0.2">
      <c r="C122" s="9"/>
      <c r="D122" s="9"/>
    </row>
    <row r="123" spans="3:4" x14ac:dyDescent="0.2">
      <c r="C123" s="9"/>
      <c r="D123" s="9"/>
    </row>
    <row r="124" spans="3:4" x14ac:dyDescent="0.2">
      <c r="C124" s="9"/>
      <c r="D124" s="9"/>
    </row>
    <row r="125" spans="3:4" x14ac:dyDescent="0.2">
      <c r="C125" s="9"/>
      <c r="D125" s="9"/>
    </row>
    <row r="126" spans="3:4" x14ac:dyDescent="0.2">
      <c r="C126" s="9"/>
      <c r="D126" s="9"/>
    </row>
    <row r="127" spans="3:4" x14ac:dyDescent="0.2">
      <c r="C127" s="9"/>
      <c r="D127" s="9"/>
    </row>
    <row r="128" spans="3:4" x14ac:dyDescent="0.2">
      <c r="C128" s="9"/>
      <c r="D128" s="9"/>
    </row>
    <row r="129" spans="3:4" x14ac:dyDescent="0.2">
      <c r="C129" s="9"/>
      <c r="D129" s="9"/>
    </row>
    <row r="130" spans="3:4" x14ac:dyDescent="0.2">
      <c r="C130" s="9"/>
      <c r="D130" s="9"/>
    </row>
    <row r="131" spans="3:4" x14ac:dyDescent="0.2">
      <c r="C131" s="9"/>
      <c r="D131" s="9"/>
    </row>
    <row r="132" spans="3:4" x14ac:dyDescent="0.2">
      <c r="C132" s="9"/>
      <c r="D132" s="9"/>
    </row>
    <row r="133" spans="3:4" x14ac:dyDescent="0.2">
      <c r="C133" s="9"/>
      <c r="D133" s="9"/>
    </row>
    <row r="134" spans="3:4" x14ac:dyDescent="0.2">
      <c r="C134" s="9"/>
      <c r="D134" s="9"/>
    </row>
    <row r="135" spans="3:4" x14ac:dyDescent="0.2">
      <c r="C135" s="9"/>
      <c r="D135" s="9"/>
    </row>
    <row r="136" spans="3:4" x14ac:dyDescent="0.2">
      <c r="C136" s="9"/>
      <c r="D136" s="9"/>
    </row>
    <row r="137" spans="3:4" x14ac:dyDescent="0.2">
      <c r="C137" s="9"/>
      <c r="D137" s="9"/>
    </row>
    <row r="138" spans="3:4" x14ac:dyDescent="0.2">
      <c r="C138" s="9"/>
      <c r="D138" s="9"/>
    </row>
    <row r="139" spans="3:4" x14ac:dyDescent="0.2">
      <c r="C139" s="9"/>
      <c r="D139" s="9"/>
    </row>
    <row r="140" spans="3:4" x14ac:dyDescent="0.2">
      <c r="C140" s="9"/>
      <c r="D140" s="9"/>
    </row>
    <row r="141" spans="3:4" x14ac:dyDescent="0.2">
      <c r="C141" s="9"/>
      <c r="D141" s="9"/>
    </row>
    <row r="142" spans="3:4" x14ac:dyDescent="0.2">
      <c r="C142" s="9"/>
      <c r="D142" s="9"/>
    </row>
    <row r="143" spans="3:4" x14ac:dyDescent="0.2">
      <c r="C143" s="9"/>
      <c r="D143" s="9"/>
    </row>
    <row r="144" spans="3:4" x14ac:dyDescent="0.2">
      <c r="C144" s="9"/>
      <c r="D144" s="9"/>
    </row>
    <row r="145" spans="3:4" x14ac:dyDescent="0.2">
      <c r="C145" s="9"/>
      <c r="D145" s="9"/>
    </row>
    <row r="146" spans="3:4" x14ac:dyDescent="0.2">
      <c r="C146" s="9"/>
      <c r="D146" s="9"/>
    </row>
    <row r="147" spans="3:4" x14ac:dyDescent="0.2">
      <c r="C147" s="9"/>
      <c r="D147" s="9"/>
    </row>
    <row r="148" spans="3:4" x14ac:dyDescent="0.2">
      <c r="C148" s="9"/>
      <c r="D148" s="9"/>
    </row>
    <row r="149" spans="3:4" x14ac:dyDescent="0.2">
      <c r="C149" s="9"/>
      <c r="D149" s="9"/>
    </row>
    <row r="150" spans="3:4" x14ac:dyDescent="0.2">
      <c r="C150" s="9"/>
      <c r="D150" s="9"/>
    </row>
    <row r="151" spans="3:4" x14ac:dyDescent="0.2">
      <c r="C151" s="9"/>
      <c r="D151" s="9"/>
    </row>
    <row r="152" spans="3:4" x14ac:dyDescent="0.2">
      <c r="C152" s="9"/>
      <c r="D152" s="9"/>
    </row>
    <row r="153" spans="3:4" x14ac:dyDescent="0.2">
      <c r="C153" s="9"/>
      <c r="D153" s="9"/>
    </row>
    <row r="154" spans="3:4" x14ac:dyDescent="0.2">
      <c r="C154" s="9"/>
      <c r="D154" s="9"/>
    </row>
    <row r="155" spans="3:4" x14ac:dyDescent="0.2">
      <c r="C155" s="9"/>
      <c r="D155" s="9"/>
    </row>
    <row r="156" spans="3:4" x14ac:dyDescent="0.2">
      <c r="C156" s="9"/>
      <c r="D156" s="9"/>
    </row>
    <row r="157" spans="3:4" x14ac:dyDescent="0.2">
      <c r="C157" s="9"/>
      <c r="D157" s="9"/>
    </row>
    <row r="158" spans="3:4" x14ac:dyDescent="0.2">
      <c r="C158" s="9"/>
      <c r="D158" s="9"/>
    </row>
    <row r="159" spans="3:4" x14ac:dyDescent="0.2">
      <c r="C159" s="9"/>
      <c r="D159" s="9"/>
    </row>
    <row r="160" spans="3:4" x14ac:dyDescent="0.2">
      <c r="C160" s="9"/>
      <c r="D160" s="9"/>
    </row>
    <row r="161" spans="3:4" x14ac:dyDescent="0.2">
      <c r="C161" s="9"/>
      <c r="D161" s="9"/>
    </row>
    <row r="162" spans="3:4" x14ac:dyDescent="0.2">
      <c r="C162" s="9"/>
      <c r="D162" s="9"/>
    </row>
    <row r="163" spans="3:4" x14ac:dyDescent="0.2">
      <c r="C163" s="9"/>
      <c r="D163" s="9"/>
    </row>
    <row r="164" spans="3:4" x14ac:dyDescent="0.2">
      <c r="C164" s="9"/>
      <c r="D164" s="9"/>
    </row>
    <row r="165" spans="3:4" x14ac:dyDescent="0.2">
      <c r="C165" s="9"/>
      <c r="D165" s="9"/>
    </row>
    <row r="166" spans="3:4" x14ac:dyDescent="0.2">
      <c r="C166" s="9"/>
      <c r="D166" s="9"/>
    </row>
    <row r="167" spans="3:4" x14ac:dyDescent="0.2">
      <c r="C167" s="9"/>
      <c r="D167" s="9"/>
    </row>
    <row r="168" spans="3:4" x14ac:dyDescent="0.2">
      <c r="C168" s="9"/>
      <c r="D168" s="9"/>
    </row>
    <row r="169" spans="3:4" x14ac:dyDescent="0.2">
      <c r="C169" s="9"/>
      <c r="D169" s="9"/>
    </row>
    <row r="170" spans="3:4" x14ac:dyDescent="0.2">
      <c r="C170" s="9"/>
      <c r="D170" s="9"/>
    </row>
    <row r="171" spans="3:4" x14ac:dyDescent="0.2">
      <c r="C171" s="9"/>
      <c r="D171" s="9"/>
    </row>
    <row r="172" spans="3:4" x14ac:dyDescent="0.2">
      <c r="C172" s="9"/>
      <c r="D172" s="9"/>
    </row>
    <row r="173" spans="3:4" x14ac:dyDescent="0.2">
      <c r="C173" s="9"/>
      <c r="D173" s="9"/>
    </row>
    <row r="174" spans="3:4" x14ac:dyDescent="0.2">
      <c r="C174" s="9"/>
      <c r="D174" s="9"/>
    </row>
    <row r="175" spans="3:4" x14ac:dyDescent="0.2">
      <c r="C175" s="9"/>
      <c r="D175" s="9"/>
    </row>
    <row r="176" spans="3:4" x14ac:dyDescent="0.2">
      <c r="C176" s="9"/>
      <c r="D176" s="9"/>
    </row>
    <row r="177" spans="3:4" x14ac:dyDescent="0.2">
      <c r="C177" s="9"/>
      <c r="D177" s="9"/>
    </row>
    <row r="178" spans="3:4" x14ac:dyDescent="0.2">
      <c r="C178" s="9"/>
      <c r="D178" s="9"/>
    </row>
    <row r="179" spans="3:4" x14ac:dyDescent="0.2">
      <c r="C179" s="9"/>
      <c r="D179" s="9"/>
    </row>
    <row r="180" spans="3:4" x14ac:dyDescent="0.2">
      <c r="C180" s="9"/>
      <c r="D180" s="9"/>
    </row>
    <row r="181" spans="3:4" x14ac:dyDescent="0.2">
      <c r="C181" s="9"/>
      <c r="D181" s="9"/>
    </row>
    <row r="182" spans="3:4" x14ac:dyDescent="0.2">
      <c r="C182" s="9"/>
      <c r="D182" s="9"/>
    </row>
    <row r="183" spans="3:4" x14ac:dyDescent="0.2">
      <c r="C183" s="9"/>
      <c r="D183" s="9"/>
    </row>
    <row r="184" spans="3:4" x14ac:dyDescent="0.2">
      <c r="C184" s="9"/>
      <c r="D184" s="9"/>
    </row>
    <row r="185" spans="3:4" x14ac:dyDescent="0.2">
      <c r="C185" s="9"/>
      <c r="D185" s="9"/>
    </row>
    <row r="186" spans="3:4" x14ac:dyDescent="0.2">
      <c r="C186" s="9"/>
      <c r="D186" s="9"/>
    </row>
    <row r="187" spans="3:4" x14ac:dyDescent="0.2">
      <c r="C187" s="9"/>
      <c r="D187" s="9"/>
    </row>
    <row r="188" spans="3:4" x14ac:dyDescent="0.2">
      <c r="C188" s="9"/>
      <c r="D188" s="9"/>
    </row>
    <row r="189" spans="3:4" x14ac:dyDescent="0.2">
      <c r="C189" s="9"/>
      <c r="D189" s="9"/>
    </row>
    <row r="190" spans="3:4" x14ac:dyDescent="0.2">
      <c r="C190" s="9"/>
      <c r="D190" s="9"/>
    </row>
    <row r="191" spans="3:4" x14ac:dyDescent="0.2">
      <c r="C191" s="9"/>
      <c r="D191" s="9"/>
    </row>
    <row r="192" spans="3:4" x14ac:dyDescent="0.2">
      <c r="C192" s="9"/>
      <c r="D192" s="9"/>
    </row>
    <row r="193" spans="3:4" x14ac:dyDescent="0.2">
      <c r="C193" s="9"/>
      <c r="D193" s="9"/>
    </row>
    <row r="194" spans="3:4" x14ac:dyDescent="0.2">
      <c r="C194" s="9"/>
      <c r="D194" s="9"/>
    </row>
    <row r="195" spans="3:4" x14ac:dyDescent="0.2">
      <c r="C195" s="9"/>
      <c r="D195" s="9"/>
    </row>
    <row r="196" spans="3:4" x14ac:dyDescent="0.2">
      <c r="C196" s="9"/>
      <c r="D196" s="9"/>
    </row>
    <row r="197" spans="3:4" x14ac:dyDescent="0.2">
      <c r="C197" s="9"/>
      <c r="D197" s="9"/>
    </row>
    <row r="198" spans="3:4" x14ac:dyDescent="0.2">
      <c r="C198" s="9"/>
      <c r="D198" s="9"/>
    </row>
    <row r="199" spans="3:4" x14ac:dyDescent="0.2">
      <c r="C199" s="9"/>
      <c r="D199" s="9"/>
    </row>
    <row r="200" spans="3:4" x14ac:dyDescent="0.2">
      <c r="C200" s="9"/>
      <c r="D200" s="9"/>
    </row>
    <row r="201" spans="3:4" x14ac:dyDescent="0.2">
      <c r="C201" s="9"/>
      <c r="D201" s="9"/>
    </row>
    <row r="202" spans="3:4" x14ac:dyDescent="0.2">
      <c r="C202" s="9"/>
      <c r="D202" s="9"/>
    </row>
    <row r="203" spans="3:4" x14ac:dyDescent="0.2">
      <c r="C203" s="9"/>
      <c r="D203" s="9"/>
    </row>
    <row r="204" spans="3:4" x14ac:dyDescent="0.2">
      <c r="C204" s="9"/>
      <c r="D204" s="9"/>
    </row>
  </sheetData>
  <phoneticPr fontId="3" type="noConversion"/>
  <pageMargins left="0.75" right="0.75" top="1" bottom="1" header="0.5" footer="0.5"/>
  <pageSetup paperSize="9" orientation="landscape" r:id="rId1"/>
  <headerFooter alignWithMargins="0">
    <oddHeader>&amp;L&amp;8&amp;F &amp;A</oddHeader>
    <oddFooter>&amp;L&amp;8© Adkins Matchett &amp; Toy 2009&amp;R&amp;8&amp;P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showGridLines="0" workbookViewId="0">
      <pane ySplit="2" topLeftCell="A3" activePane="bottomLeft" state="frozen"/>
      <selection activeCell="R20" sqref="R20"/>
      <selection pane="bottomLeft" activeCell="E6" sqref="E6"/>
    </sheetView>
  </sheetViews>
  <sheetFormatPr defaultRowHeight="12.75" x14ac:dyDescent="0.2"/>
  <cols>
    <col min="1" max="1" width="1.7109375" style="8" customWidth="1"/>
    <col min="2" max="2" width="40.7109375" style="8" customWidth="1"/>
    <col min="3" max="6" width="10.7109375" style="8" customWidth="1"/>
    <col min="7" max="16384" width="9.140625" style="8"/>
  </cols>
  <sheetData>
    <row r="1" spans="1:6" s="4" customFormat="1" ht="23.25" x14ac:dyDescent="0.35">
      <c r="A1" s="1" t="str">
        <f>Cover!C3</f>
        <v>TechCo</v>
      </c>
      <c r="B1" s="2"/>
      <c r="C1" s="3"/>
      <c r="D1" s="3"/>
      <c r="E1" s="3"/>
      <c r="F1" s="3"/>
    </row>
    <row r="2" spans="1:6" s="4" customFormat="1" ht="19.5" x14ac:dyDescent="0.3">
      <c r="A2" s="5"/>
      <c r="B2" s="2"/>
      <c r="C2" s="6"/>
      <c r="D2" s="6"/>
      <c r="E2" s="6"/>
      <c r="F2" s="6"/>
    </row>
    <row r="3" spans="1:6" x14ac:dyDescent="0.2">
      <c r="A3" s="7"/>
    </row>
    <row r="4" spans="1:6" x14ac:dyDescent="0.2">
      <c r="B4" s="8" t="s">
        <v>50</v>
      </c>
      <c r="C4" s="82"/>
      <c r="D4" s="10"/>
      <c r="E4" s="10"/>
      <c r="F4" s="10"/>
    </row>
    <row r="5" spans="1:6" x14ac:dyDescent="0.2">
      <c r="B5" s="8" t="s">
        <v>51</v>
      </c>
      <c r="C5" s="46"/>
      <c r="D5" s="10"/>
      <c r="E5" s="10"/>
      <c r="F5" s="10"/>
    </row>
    <row r="6" spans="1:6" x14ac:dyDescent="0.2">
      <c r="B6" s="8" t="s">
        <v>52</v>
      </c>
      <c r="C6" s="80">
        <f>+C4*(1+C5)</f>
        <v>0</v>
      </c>
      <c r="D6" s="9"/>
      <c r="E6" s="9"/>
      <c r="F6" s="9"/>
    </row>
    <row r="7" spans="1:6" x14ac:dyDescent="0.2">
      <c r="A7" s="7"/>
      <c r="B7" s="11" t="s">
        <v>53</v>
      </c>
      <c r="C7" s="51"/>
      <c r="D7" s="9"/>
      <c r="E7" s="9"/>
      <c r="F7" s="9"/>
    </row>
    <row r="8" spans="1:6" x14ac:dyDescent="0.2">
      <c r="B8" s="13" t="s">
        <v>56</v>
      </c>
      <c r="C8" s="65">
        <f>+C6*C7</f>
        <v>0</v>
      </c>
      <c r="D8" s="9"/>
      <c r="E8" s="9"/>
      <c r="F8" s="9"/>
    </row>
    <row r="9" spans="1:6" x14ac:dyDescent="0.2">
      <c r="B9" s="8" t="s">
        <v>54</v>
      </c>
      <c r="C9" s="81"/>
    </row>
    <row r="10" spans="1:6" x14ac:dyDescent="0.2">
      <c r="B10" s="8" t="s">
        <v>55</v>
      </c>
      <c r="C10" s="62"/>
      <c r="E10" s="9"/>
      <c r="F10" s="9"/>
    </row>
    <row r="11" spans="1:6" x14ac:dyDescent="0.2">
      <c r="C11" s="14"/>
      <c r="F11" s="7"/>
    </row>
    <row r="12" spans="1:6" x14ac:dyDescent="0.2">
      <c r="F12" s="7"/>
    </row>
    <row r="13" spans="1:6" x14ac:dyDescent="0.2">
      <c r="F13" s="7"/>
    </row>
    <row r="14" spans="1:6" x14ac:dyDescent="0.2">
      <c r="F14" s="7"/>
    </row>
    <row r="15" spans="1:6" x14ac:dyDescent="0.2">
      <c r="F15" s="7"/>
    </row>
    <row r="16" spans="1:6" x14ac:dyDescent="0.2">
      <c r="F16" s="7"/>
    </row>
    <row r="23" spans="4:6" x14ac:dyDescent="0.2">
      <c r="D23" s="9"/>
      <c r="E23" s="9"/>
      <c r="F23" s="9"/>
    </row>
    <row r="24" spans="4:6" x14ac:dyDescent="0.2">
      <c r="E24" s="9"/>
      <c r="F24" s="9"/>
    </row>
    <row r="25" spans="4:6" x14ac:dyDescent="0.2">
      <c r="E25" s="9"/>
      <c r="F25" s="9"/>
    </row>
    <row r="26" spans="4:6" x14ac:dyDescent="0.2">
      <c r="E26" s="9"/>
      <c r="F26" s="9"/>
    </row>
    <row r="27" spans="4:6" x14ac:dyDescent="0.2">
      <c r="E27" s="9"/>
      <c r="F27" s="9"/>
    </row>
    <row r="28" spans="4:6" x14ac:dyDescent="0.2">
      <c r="E28" s="9"/>
      <c r="F28" s="9"/>
    </row>
  </sheetData>
  <phoneticPr fontId="3" type="noConversion"/>
  <pageMargins left="0.75" right="0.75" top="1" bottom="1" header="0.5" footer="0.5"/>
  <pageSetup paperSize="9" orientation="landscape" r:id="rId1"/>
  <headerFooter alignWithMargins="0">
    <oddHeader>&amp;L&amp;8&amp;F &amp;A</oddHeader>
    <oddFooter>&amp;L&amp;8© Adkins Matchett &amp; Toy 2009&amp;R&amp;8&amp;P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ducts xmlns="71E17E6A-887F-418D-AADF-E802F732986D" xsi:nil="true"/>
    <ProjectName xmlns="71E17E6A-887F-418D-AADF-E802F732986D" xsi:nil="true"/>
    <CompanyId xmlns="71E17E6A-887F-418D-AADF-E802F732986D" xsi:nil="true"/>
    <PresentationIDs xmlns="71E17E6A-887F-418D-AADF-E802F732986D" xsi:nil="true"/>
    <CompanyName xmlns="71E17E6A-887F-418D-AADF-E802F732986D" xsi:nil="true"/>
    <ProjectOpportunityId xmlns="71E17E6A-887F-418D-AADF-E802F732986D" xsi:nil="true"/>
    <Country xmlns="71E17E6A-887F-418D-AADF-E802F732986D" xsi:nil="true"/>
    <Sectors xmlns="71E17E6A-887F-418D-AADF-E802F732986D" xsi:nil="true"/>
    <Abbreviation xmlns="71E17E6A-887F-418D-AADF-E802F732986D" xsi:nil="true"/>
    <Region xmlns="71E17E6A-887F-418D-AADF-E802F732986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D90557FF080F4CB4B7E7ECF37C5C35050090A5E48ECABABB4D8FC51815BB0C8E5D" ma:contentTypeVersion="2" ma:contentTypeDescription="Word-based template used to create documents outside of the UBS style" ma:contentTypeScope="" ma:versionID="416aed109c3b25c31d3f020c29d43fdf">
  <xsd:schema xmlns:xsd="http://www.w3.org/2001/XMLSchema" xmlns:p="http://schemas.microsoft.com/office/2006/metadata/properties" xmlns:ns3="71E17E6A-887F-418D-AADF-E802F732986D" targetNamespace="http://schemas.microsoft.com/office/2006/metadata/properties" ma:root="true" ma:fieldsID="66ec06a93db8fd38c244ecea557fc801" ns3:_="">
    <xsd:import namespace="71E17E6A-887F-418D-AADF-E802F732986D"/>
    <xsd:element name="properties">
      <xsd:complexType>
        <xsd:sequence>
          <xsd:element name="documentManagement">
            <xsd:complexType>
              <xsd:all>
                <xsd:element ref="ns3:PresentationIDs" minOccurs="0"/>
                <xsd:element ref="ns3:Products" minOccurs="0"/>
                <xsd:element ref="ns3:Sectors" minOccurs="0"/>
                <xsd:element ref="ns3:Region" minOccurs="0"/>
                <xsd:element ref="ns3:Country" minOccurs="0"/>
                <xsd:element ref="ns3:CompanyName" minOccurs="0"/>
                <xsd:element ref="ns3:ProjectName" minOccurs="0"/>
                <xsd:element ref="ns3:Abbreviation" minOccurs="0"/>
                <xsd:element ref="ns3:ProjectOpportunityId" minOccurs="0"/>
                <xsd:element ref="ns3:CompanyId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71E17E6A-887F-418D-AADF-E802F732986D" elementFormDefault="qualified">
    <xsd:import namespace="http://schemas.microsoft.com/office/2006/documentManagement/types"/>
    <xsd:element name="PresentationIDs" ma:index="9" nillable="true" ma:displayName="Presentation IDs" ma:description="List of Presentation IDs, seperated by a ;" ma:internalName="PresentationIDs">
      <xsd:simpleType>
        <xsd:restriction base="dms:Text">
          <xsd:maxLength value="255"/>
        </xsd:restriction>
      </xsd:simpleType>
    </xsd:element>
    <xsd:element name="Products" ma:index="10" nillable="true" ma:displayName="Products" ma:description="Opp Products, seperated by a ;" ma:internalName="Products">
      <xsd:simpleType>
        <xsd:restriction base="dms:Text">
          <xsd:maxLength value="255"/>
        </xsd:restriction>
      </xsd:simpleType>
    </xsd:element>
    <xsd:element name="Sectors" ma:index="11" nillable="true" ma:displayName="Sectors" ma:description="Opp Sectors, seperated by a ;" ma:internalName="Sectors">
      <xsd:simpleType>
        <xsd:restriction base="dms:Text">
          <xsd:maxLength value="255"/>
        </xsd:restriction>
      </xsd:simpleType>
    </xsd:element>
    <xsd:element name="Region" ma:index="12" nillable="true" ma:displayName="Region" ma:description="List of Regions, seperated by a ;" ma:internalName="Region">
      <xsd:simpleType>
        <xsd:restriction base="dms:Text">
          <xsd:maxLength value="255"/>
        </xsd:restriction>
      </xsd:simpleType>
    </xsd:element>
    <xsd:element name="Country" ma:index="13" nillable="true" ma:displayName="Country" ma:description="List of Countries, seperated by a ;" ma:internalName="Country">
      <xsd:simpleType>
        <xsd:restriction base="dms:Text">
          <xsd:maxLength value="255"/>
        </xsd:restriction>
      </xsd:simpleType>
    </xsd:element>
    <xsd:element name="CompanyName" ma:index="14" nillable="true" ma:displayName="Company Name" ma:description="Opp Company Name" ma:internalName="CompanyName">
      <xsd:simpleType>
        <xsd:restriction base="dms:Text">
          <xsd:maxLength value="255"/>
        </xsd:restriction>
      </xsd:simpleType>
    </xsd:element>
    <xsd:element name="ProjectName" ma:index="15" nillable="true" ma:displayName="Project Name" ma:description="Opp Project Name" ma:internalName="ProjectName">
      <xsd:simpleType>
        <xsd:restriction base="dms:Text">
          <xsd:maxLength value="255"/>
        </xsd:restriction>
      </xsd:simpleType>
    </xsd:element>
    <xsd:element name="Abbreviation" ma:index="16" nillable="true" ma:displayName="Abbreviation" ma:description="Opp Abbreviation" ma:internalName="Abbreviation">
      <xsd:simpleType>
        <xsd:restriction base="dms:Text">
          <xsd:maxLength value="255"/>
        </xsd:restriction>
      </xsd:simpleType>
    </xsd:element>
    <xsd:element name="ProjectOpportunityId" ma:index="17" nillable="true" ma:displayName="Project Opportunity Id" ma:description="Opp Project Id" ma:internalName="ProjectOpportunityId">
      <xsd:simpleType>
        <xsd:restriction base="dms:Text">
          <xsd:maxLength value="255"/>
        </xsd:restriction>
      </xsd:simpleType>
    </xsd:element>
    <xsd:element name="CompanyId" ma:index="18" nillable="true" ma:displayName="Company Id" ma:description="Opp Company Id" ma:internalName="Company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8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CDE83FD-8A2D-4BC4-86E5-F0411FCE23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A2C6EB-FCA6-45BD-9A1D-A02F2E8ED5B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71E17E6A-887F-418D-AADF-E802F732986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331E0E0-A827-48E0-AB04-371DE377E7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7E6A-887F-418D-AADF-E802F732986D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IS</vt:lpstr>
      <vt:lpstr>BS</vt:lpstr>
      <vt:lpstr>CF</vt:lpstr>
      <vt:lpstr>Calcs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dc:description>AMTX-V1/1855</dc:description>
  <cp:lastModifiedBy>Edward Shrager</cp:lastModifiedBy>
  <cp:lastPrinted>2011-04-07T13:09:27Z</cp:lastPrinted>
  <dcterms:created xsi:type="dcterms:W3CDTF">2008-03-18T13:45:06Z</dcterms:created>
  <dcterms:modified xsi:type="dcterms:W3CDTF">2017-08-07T17:05:45Z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1033</vt:lpwstr>
  </property>
  <property fmtid="{D5CDD505-2E9C-101B-9397-08002B2CF9AE}" pid="3" name="Create_Backup">
    <vt:lpwstr>3</vt:lpwstr>
  </property>
  <property fmtid="{D5CDD505-2E9C-101B-9397-08002B2CF9AE}" pid="4" name="Workbook_Font">
    <vt:lpwstr>Frutiger 45 Light</vt:lpwstr>
  </property>
  <property fmtid="{D5CDD505-2E9C-101B-9397-08002B2CF9AE}" pid="5" name="Workbook_FontSize">
    <vt:lpwstr>10</vt:lpwstr>
  </property>
  <property fmtid="{D5CDD505-2E9C-101B-9397-08002B2CF9AE}" pid="6" name="Average_Translated">
    <vt:lpwstr>Average</vt:lpwstr>
  </property>
  <property fmtid="{D5CDD505-2E9C-101B-9397-08002B2CF9AE}" pid="7" name="Thick_Lines">
    <vt:lpwstr>0</vt:lpwstr>
  </property>
  <property fmtid="{D5CDD505-2E9C-101B-9397-08002B2CF9AE}" pid="8" name="Num_Categories_On_XAxis">
    <vt:lpwstr>6</vt:lpwstr>
  </property>
  <property fmtid="{D5CDD505-2E9C-101B-9397-08002B2CF9AE}" pid="9" name="Share_PX_Label">
    <vt:lpwstr>Stock Price</vt:lpwstr>
  </property>
  <property fmtid="{D5CDD505-2E9C-101B-9397-08002B2CF9AE}" pid="10" name="Volume_Label">
    <vt:lpwstr>Volume (000s)</vt:lpwstr>
  </property>
  <property fmtid="{D5CDD505-2E9C-101B-9397-08002B2CF9AE}" pid="11" name="Stock_Volume_XAxis_Label">
    <vt:lpwstr>Closing Date</vt:lpwstr>
  </property>
  <property fmtid="{D5CDD505-2E9C-101B-9397-08002B2CF9AE}" pid="12" name="Pie_Chart_Labels">
    <vt:lpwstr>-1</vt:lpwstr>
  </property>
  <property fmtid="{D5CDD505-2E9C-101B-9397-08002B2CF9AE}" pid="13" name="Pie_Chart_Legend">
    <vt:lpwstr>0</vt:lpwstr>
  </property>
  <property fmtid="{D5CDD505-2E9C-101B-9397-08002B2CF9AE}" pid="14" name="Annotation_Add_Date">
    <vt:lpwstr>-1</vt:lpwstr>
  </property>
  <property fmtid="{D5CDD505-2E9C-101B-9397-08002B2CF9AE}" pid="15" name="Annotation_Date_Bold">
    <vt:lpwstr>-1</vt:lpwstr>
  </property>
  <property fmtid="{D5CDD505-2E9C-101B-9397-08002B2CF9AE}" pid="16" name="Annotation_Date_Format">
    <vt:lpwstr>F1</vt:lpwstr>
  </property>
  <property fmtid="{D5CDD505-2E9C-101B-9397-08002B2CF9AE}" pid="17" name="Chart_Format">
    <vt:lpwstr>1</vt:lpwstr>
  </property>
  <property fmtid="{D5CDD505-2E9C-101B-9397-08002B2CF9AE}" pid="18" name="UpgradeColorScheme">
    <vt:lpwstr>No</vt:lpwstr>
  </property>
</Properties>
</file>