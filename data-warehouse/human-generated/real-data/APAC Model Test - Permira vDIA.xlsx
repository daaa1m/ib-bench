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anialazmi\Desktop\"/>
    </mc:Choice>
  </mc:AlternateContent>
  <xr:revisionPtr revIDLastSave="0" documentId="13_ncr:1_{5D00BA66-6780-4F16-B952-C4ADB5E4CD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1" r:id="rId1"/>
    <sheet name="Input" sheetId="2" r:id="rId2"/>
  </sheets>
  <definedNames>
    <definedName name="circ">Input!$E$16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8" i="2" l="1"/>
  <c r="O9" i="2"/>
  <c r="P9" i="2" s="1"/>
  <c r="Q9" i="2" s="1"/>
  <c r="R9" i="2" s="1"/>
  <c r="S9" i="2" s="1"/>
  <c r="T9" i="2" s="1"/>
  <c r="I169" i="2"/>
  <c r="I134" i="2"/>
  <c r="I118" i="2"/>
  <c r="I92" i="2"/>
  <c r="I58" i="2"/>
  <c r="K52" i="2"/>
  <c r="L52" i="2"/>
  <c r="M52" i="2"/>
  <c r="N52" i="2"/>
  <c r="O52" i="2"/>
  <c r="J52" i="2"/>
  <c r="H103" i="2"/>
  <c r="I69" i="2"/>
  <c r="I146" i="2" s="1"/>
  <c r="J144" i="2" s="1"/>
  <c r="F71" i="2"/>
  <c r="F70" i="2"/>
  <c r="I70" i="2" s="1"/>
  <c r="F64" i="2"/>
  <c r="I64" i="2" s="1"/>
  <c r="I105" i="2" s="1"/>
  <c r="J102" i="2" s="1"/>
  <c r="F61" i="2"/>
  <c r="I61" i="2" s="1"/>
  <c r="F60" i="2"/>
  <c r="I60" i="2" s="1"/>
  <c r="K17" i="2"/>
  <c r="H157" i="2" s="1"/>
  <c r="K16" i="2"/>
  <c r="H159" i="2" s="1"/>
  <c r="K11" i="2"/>
  <c r="H151" i="2" s="1"/>
  <c r="K12" i="2"/>
  <c r="H152" i="2" s="1"/>
  <c r="K10" i="2"/>
  <c r="H147" i="2" s="1"/>
  <c r="O6" i="2"/>
  <c r="G59" i="2" s="1"/>
  <c r="I59" i="2" s="1"/>
  <c r="J162" i="2" s="1"/>
  <c r="E14" i="2"/>
  <c r="H178" i="2" s="1"/>
  <c r="E7" i="2"/>
  <c r="E8" i="2" s="1"/>
  <c r="E13" i="2"/>
  <c r="L171" i="2" s="1"/>
  <c r="L190" i="2" s="1"/>
  <c r="E3" i="2"/>
  <c r="M211" i="2" s="1"/>
  <c r="L38" i="2"/>
  <c r="M38" i="2"/>
  <c r="N38" i="2"/>
  <c r="O38" i="2"/>
  <c r="K38" i="2"/>
  <c r="L34" i="2"/>
  <c r="M34" i="2"/>
  <c r="N34" i="2"/>
  <c r="O34" i="2"/>
  <c r="K34" i="2"/>
  <c r="L30" i="2"/>
  <c r="M30" i="2"/>
  <c r="N30" i="2"/>
  <c r="O30" i="2"/>
  <c r="K30" i="2"/>
  <c r="J37" i="2"/>
  <c r="N246" i="2" s="1"/>
  <c r="J33" i="2"/>
  <c r="N241" i="2" s="1"/>
  <c r="J29" i="2"/>
  <c r="L236" i="2" s="1"/>
  <c r="J26" i="2"/>
  <c r="K26" i="2" s="1"/>
  <c r="K23" i="2"/>
  <c r="J23" i="2" s="1"/>
  <c r="J22" i="2"/>
  <c r="N226" i="2" s="1"/>
  <c r="J20" i="2"/>
  <c r="K20" i="2" s="1"/>
  <c r="L20" i="2" s="1"/>
  <c r="M20" i="2" s="1"/>
  <c r="N20" i="2" s="1"/>
  <c r="O20" i="2" s="1"/>
  <c r="O58" i="2" s="1"/>
  <c r="D48" i="1"/>
  <c r="L226" i="2" l="1"/>
  <c r="M226" i="2"/>
  <c r="L241" i="2"/>
  <c r="M241" i="2"/>
  <c r="M246" i="2"/>
  <c r="N236" i="2"/>
  <c r="M236" i="2"/>
  <c r="L246" i="2"/>
  <c r="J188" i="2"/>
  <c r="K188" i="2"/>
  <c r="L188" i="2"/>
  <c r="M188" i="2"/>
  <c r="N188" i="2"/>
  <c r="I164" i="2"/>
  <c r="L189" i="2"/>
  <c r="N189" i="2"/>
  <c r="N231" i="2" s="1"/>
  <c r="M189" i="2"/>
  <c r="M231" i="2" s="1"/>
  <c r="L211" i="2"/>
  <c r="N211" i="2"/>
  <c r="N58" i="2"/>
  <c r="L92" i="2"/>
  <c r="N171" i="2"/>
  <c r="N190" i="2" s="1"/>
  <c r="L169" i="2"/>
  <c r="M171" i="2"/>
  <c r="M190" i="2" s="1"/>
  <c r="M192" i="2" s="1"/>
  <c r="J169" i="2"/>
  <c r="M118" i="2"/>
  <c r="M169" i="2"/>
  <c r="N169" i="2"/>
  <c r="K169" i="2"/>
  <c r="O169" i="2"/>
  <c r="H154" i="2"/>
  <c r="M58" i="2"/>
  <c r="M92" i="2"/>
  <c r="N118" i="2"/>
  <c r="J136" i="2"/>
  <c r="L58" i="2"/>
  <c r="N92" i="2"/>
  <c r="O118" i="2"/>
  <c r="J137" i="2"/>
  <c r="O134" i="2"/>
  <c r="K58" i="2"/>
  <c r="O92" i="2"/>
  <c r="J134" i="2"/>
  <c r="O137" i="2"/>
  <c r="J58" i="2"/>
  <c r="K134" i="2"/>
  <c r="N137" i="2"/>
  <c r="J118" i="2"/>
  <c r="L134" i="2"/>
  <c r="M137" i="2"/>
  <c r="J92" i="2"/>
  <c r="K118" i="2"/>
  <c r="M134" i="2"/>
  <c r="L137" i="2"/>
  <c r="K92" i="2"/>
  <c r="L118" i="2"/>
  <c r="N134" i="2"/>
  <c r="K137" i="2"/>
  <c r="I22" i="2"/>
  <c r="I93" i="2" s="1"/>
  <c r="J93" i="2" s="1"/>
  <c r="I26" i="2"/>
  <c r="J103" i="2"/>
  <c r="J126" i="2" s="1"/>
  <c r="J127" i="2" s="1"/>
  <c r="F72" i="2"/>
  <c r="F77" i="2" s="1"/>
  <c r="E9" i="2"/>
  <c r="I71" i="2"/>
  <c r="F62" i="2"/>
  <c r="F67" i="2" s="1"/>
  <c r="I62" i="2"/>
  <c r="J32" i="2"/>
  <c r="K32" i="2" s="1"/>
  <c r="L32" i="2" s="1"/>
  <c r="M32" i="2" s="1"/>
  <c r="N32" i="2" s="1"/>
  <c r="O32" i="2" s="1"/>
  <c r="K22" i="2"/>
  <c r="K103" i="2" s="1"/>
  <c r="K126" i="2" s="1"/>
  <c r="K127" i="2" s="1"/>
  <c r="J36" i="2"/>
  <c r="K36" i="2" s="1"/>
  <c r="L23" i="2"/>
  <c r="J25" i="2"/>
  <c r="J28" i="2"/>
  <c r="K28" i="2" s="1"/>
  <c r="L28" i="2" s="1"/>
  <c r="L26" i="2"/>
  <c r="D27" i="1"/>
  <c r="L192" i="2" l="1"/>
  <c r="L231" i="2"/>
  <c r="M250" i="2"/>
  <c r="N250" i="2"/>
  <c r="N192" i="2"/>
  <c r="M200" i="2"/>
  <c r="N200" i="2"/>
  <c r="L200" i="2"/>
  <c r="I25" i="2"/>
  <c r="I95" i="2" s="1"/>
  <c r="J95" i="2" s="1"/>
  <c r="K95" i="2" s="1"/>
  <c r="I94" i="2"/>
  <c r="J94" i="2" s="1"/>
  <c r="J61" i="2" s="1"/>
  <c r="K93" i="2"/>
  <c r="L93" i="2" s="1"/>
  <c r="J60" i="2"/>
  <c r="C110" i="2" a="1"/>
  <c r="C110" i="2" s="1"/>
  <c r="I72" i="2"/>
  <c r="I90" i="2" s="1"/>
  <c r="I96" i="2"/>
  <c r="J96" i="2" s="1"/>
  <c r="F79" i="2"/>
  <c r="F81" i="2" s="1"/>
  <c r="F83" i="2" s="1"/>
  <c r="L22" i="2"/>
  <c r="L103" i="2" s="1"/>
  <c r="L126" i="2" s="1"/>
  <c r="L127" i="2" s="1"/>
  <c r="L36" i="2"/>
  <c r="K37" i="2"/>
  <c r="J40" i="2"/>
  <c r="K25" i="2"/>
  <c r="K40" i="2" s="1"/>
  <c r="K41" i="2" s="1"/>
  <c r="K33" i="2"/>
  <c r="M28" i="2"/>
  <c r="K29" i="2"/>
  <c r="M26" i="2"/>
  <c r="M23" i="2"/>
  <c r="L250" i="2" l="1"/>
  <c r="M207" i="2"/>
  <c r="N207" i="2"/>
  <c r="L207" i="2"/>
  <c r="K60" i="2"/>
  <c r="J70" i="2"/>
  <c r="K94" i="2"/>
  <c r="K96" i="2"/>
  <c r="J71" i="2"/>
  <c r="M93" i="2"/>
  <c r="L60" i="2"/>
  <c r="E87" i="2"/>
  <c r="L95" i="2"/>
  <c r="K70" i="2"/>
  <c r="M22" i="2"/>
  <c r="L251" i="2" s="1"/>
  <c r="J41" i="2"/>
  <c r="I41" i="2" s="1"/>
  <c r="E4" i="2"/>
  <c r="E5" i="2" s="1"/>
  <c r="O3" i="2" s="1"/>
  <c r="M36" i="2"/>
  <c r="L37" i="2"/>
  <c r="L25" i="2"/>
  <c r="L40" i="2" s="1"/>
  <c r="L41" i="2" s="1"/>
  <c r="L33" i="2"/>
  <c r="L29" i="2"/>
  <c r="N28" i="2"/>
  <c r="N23" i="2"/>
  <c r="O23" i="2" s="1"/>
  <c r="N26" i="2"/>
  <c r="I40" i="2" l="1"/>
  <c r="M230" i="2"/>
  <c r="N230" i="2"/>
  <c r="L230" i="2"/>
  <c r="M103" i="2"/>
  <c r="M126" i="2" s="1"/>
  <c r="M127" i="2" s="1"/>
  <c r="L227" i="2"/>
  <c r="L229" i="2" s="1"/>
  <c r="T4" i="2"/>
  <c r="T3" i="2"/>
  <c r="K61" i="2"/>
  <c r="L94" i="2"/>
  <c r="N93" i="2"/>
  <c r="M60" i="2"/>
  <c r="K71" i="2"/>
  <c r="L96" i="2"/>
  <c r="M95" i="2"/>
  <c r="L70" i="2"/>
  <c r="E86" i="2"/>
  <c r="E88" i="2" s="1"/>
  <c r="G65" i="2" s="1"/>
  <c r="I65" i="2" s="1"/>
  <c r="J65" i="2" s="1"/>
  <c r="K65" i="2" s="1"/>
  <c r="L65" i="2" s="1"/>
  <c r="M65" i="2" s="1"/>
  <c r="N65" i="2" s="1"/>
  <c r="O65" i="2" s="1"/>
  <c r="O4" i="2"/>
  <c r="G79" i="2" s="1"/>
  <c r="O5" i="2"/>
  <c r="K4" i="2"/>
  <c r="H76" i="2" s="1"/>
  <c r="I76" i="2" s="1"/>
  <c r="I158" i="2" s="1"/>
  <c r="K3" i="2"/>
  <c r="H75" i="2" s="1"/>
  <c r="I75" i="2" s="1"/>
  <c r="N36" i="2"/>
  <c r="M37" i="2"/>
  <c r="L247" i="2" s="1"/>
  <c r="L248" i="2" s="1"/>
  <c r="L256" i="2" s="1"/>
  <c r="N22" i="2"/>
  <c r="M29" i="2"/>
  <c r="L237" i="2" s="1"/>
  <c r="L238" i="2" s="1"/>
  <c r="L254" i="2" s="1"/>
  <c r="M33" i="2"/>
  <c r="L242" i="2" s="1"/>
  <c r="L243" i="2" s="1"/>
  <c r="L255" i="2" s="1"/>
  <c r="O28" i="2"/>
  <c r="O26" i="2"/>
  <c r="M25" i="2"/>
  <c r="M40" i="2" s="1"/>
  <c r="L233" i="2" l="1"/>
  <c r="L261" i="2" s="1"/>
  <c r="L253" i="2"/>
  <c r="L262" i="2" s="1"/>
  <c r="M227" i="2"/>
  <c r="M229" i="2" s="1"/>
  <c r="M251" i="2"/>
  <c r="M233" i="2"/>
  <c r="M261" i="2" s="1"/>
  <c r="I153" i="2"/>
  <c r="I166" i="2" s="1"/>
  <c r="O10" i="2" s="1"/>
  <c r="O14" i="2" s="1"/>
  <c r="O12" i="2"/>
  <c r="J156" i="2"/>
  <c r="J157" i="2" s="1"/>
  <c r="J158" i="2" s="1"/>
  <c r="K156" i="2" s="1"/>
  <c r="K157" i="2" s="1"/>
  <c r="M202" i="2"/>
  <c r="N202" i="2"/>
  <c r="L202" i="2"/>
  <c r="M41" i="2"/>
  <c r="L170" i="2"/>
  <c r="L193" i="2" s="1"/>
  <c r="L195" i="2" s="1"/>
  <c r="L260" i="2" s="1"/>
  <c r="L61" i="2"/>
  <c r="M94" i="2"/>
  <c r="I77" i="2"/>
  <c r="O93" i="2"/>
  <c r="N60" i="2"/>
  <c r="O22" i="2"/>
  <c r="N251" i="2" s="1"/>
  <c r="N103" i="2"/>
  <c r="N126" i="2" s="1"/>
  <c r="N127" i="2" s="1"/>
  <c r="N95" i="2"/>
  <c r="M70" i="2"/>
  <c r="M96" i="2"/>
  <c r="L71" i="2"/>
  <c r="O7" i="2"/>
  <c r="K7" i="2" s="1"/>
  <c r="K5" i="2" s="1"/>
  <c r="G66" i="2"/>
  <c r="I66" i="2" s="1"/>
  <c r="O36" i="2"/>
  <c r="N37" i="2"/>
  <c r="M247" i="2" s="1"/>
  <c r="M248" i="2" s="1"/>
  <c r="N33" i="2"/>
  <c r="M242" i="2" s="1"/>
  <c r="M243" i="2" s="1"/>
  <c r="M255" i="2" s="1"/>
  <c r="N29" i="2"/>
  <c r="M237" i="2" s="1"/>
  <c r="M238" i="2" s="1"/>
  <c r="M254" i="2" s="1"/>
  <c r="N25" i="2"/>
  <c r="N40" i="2" s="1"/>
  <c r="M256" i="2" l="1"/>
  <c r="M253" i="2" s="1"/>
  <c r="M262" i="2" s="1"/>
  <c r="O103" i="2"/>
  <c r="O126" i="2" s="1"/>
  <c r="O127" i="2" s="1"/>
  <c r="N227" i="2"/>
  <c r="N229" i="2" s="1"/>
  <c r="N233" i="2" s="1"/>
  <c r="N261" i="2" s="1"/>
  <c r="J150" i="2"/>
  <c r="J151" i="2" s="1"/>
  <c r="J140" i="2" s="1"/>
  <c r="J160" i="2"/>
  <c r="J122" i="2" s="1"/>
  <c r="L198" i="2"/>
  <c r="I167" i="2"/>
  <c r="O11" i="2" s="1"/>
  <c r="O15" i="2" s="1"/>
  <c r="M198" i="2"/>
  <c r="N198" i="2"/>
  <c r="L172" i="2"/>
  <c r="L208" i="2"/>
  <c r="L210" i="2" s="1"/>
  <c r="L213" i="2" s="1"/>
  <c r="H79" i="2"/>
  <c r="I79" i="2" s="1"/>
  <c r="I81" i="2" s="1"/>
  <c r="M182" i="2"/>
  <c r="N182" i="2"/>
  <c r="L182" i="2"/>
  <c r="J76" i="2"/>
  <c r="J159" i="2"/>
  <c r="K158" i="2"/>
  <c r="L156" i="2" s="1"/>
  <c r="L157" i="2" s="1"/>
  <c r="K160" i="2"/>
  <c r="K122" i="2" s="1"/>
  <c r="N41" i="2"/>
  <c r="M170" i="2"/>
  <c r="M193" i="2" s="1"/>
  <c r="M195" i="2" s="1"/>
  <c r="M260" i="2" s="1"/>
  <c r="N94" i="2"/>
  <c r="M61" i="2"/>
  <c r="N96" i="2"/>
  <c r="M71" i="2"/>
  <c r="O60" i="2"/>
  <c r="O33" i="2"/>
  <c r="N242" i="2" s="1"/>
  <c r="N243" i="2" s="1"/>
  <c r="N255" i="2" s="1"/>
  <c r="I67" i="2"/>
  <c r="I100" i="2"/>
  <c r="J98" i="2" s="1"/>
  <c r="O95" i="2"/>
  <c r="N70" i="2"/>
  <c r="D110" i="2" a="1"/>
  <c r="O37" i="2"/>
  <c r="N247" i="2" s="1"/>
  <c r="N248" i="2" s="1"/>
  <c r="N256" i="2" s="1"/>
  <c r="O25" i="2"/>
  <c r="O40" i="2" s="1"/>
  <c r="O29" i="2"/>
  <c r="N237" i="2" s="1"/>
  <c r="N238" i="2" s="1"/>
  <c r="N254" i="2" s="1"/>
  <c r="N253" i="2" l="1"/>
  <c r="N262" i="2" s="1"/>
  <c r="I83" i="2"/>
  <c r="M172" i="2"/>
  <c r="M208" i="2"/>
  <c r="M210" i="2" s="1"/>
  <c r="M213" i="2" s="1"/>
  <c r="O41" i="2"/>
  <c r="N170" i="2"/>
  <c r="N193" i="2" s="1"/>
  <c r="N195" i="2" s="1"/>
  <c r="N260" i="2" s="1"/>
  <c r="L158" i="2"/>
  <c r="M156" i="2" s="1"/>
  <c r="M157" i="2" s="1"/>
  <c r="L160" i="2"/>
  <c r="L122" i="2" s="1"/>
  <c r="K76" i="2"/>
  <c r="K159" i="2"/>
  <c r="O94" i="2"/>
  <c r="O61" i="2" s="1"/>
  <c r="N61" i="2"/>
  <c r="D110" i="2"/>
  <c r="N114" i="2"/>
  <c r="O114" i="2" s="1"/>
  <c r="O115" i="2"/>
  <c r="M113" i="2"/>
  <c r="N113" i="2" s="1"/>
  <c r="O113" i="2" s="1"/>
  <c r="K111" i="2"/>
  <c r="L111" i="2" s="1"/>
  <c r="L112" i="2"/>
  <c r="M112" i="2" s="1"/>
  <c r="N112" i="2" s="1"/>
  <c r="O112" i="2" s="1"/>
  <c r="O70" i="2"/>
  <c r="J99" i="2"/>
  <c r="J121" i="2" s="1"/>
  <c r="O96" i="2"/>
  <c r="O71" i="2" s="1"/>
  <c r="N71" i="2"/>
  <c r="N172" i="2" l="1"/>
  <c r="N208" i="2"/>
  <c r="N210" i="2" s="1"/>
  <c r="N213" i="2" s="1"/>
  <c r="M158" i="2"/>
  <c r="N156" i="2" s="1"/>
  <c r="N157" i="2" s="1"/>
  <c r="M160" i="2"/>
  <c r="M122" i="2" s="1"/>
  <c r="L76" i="2"/>
  <c r="L159" i="2"/>
  <c r="J100" i="2"/>
  <c r="J66" i="2" s="1"/>
  <c r="J48" i="2"/>
  <c r="M111" i="2"/>
  <c r="N111" i="2" s="1"/>
  <c r="J110" i="2"/>
  <c r="J116" i="2" s="1"/>
  <c r="K98" i="2" l="1"/>
  <c r="K99" i="2" s="1"/>
  <c r="K121" i="2" s="1"/>
  <c r="N158" i="2"/>
  <c r="O156" i="2" s="1"/>
  <c r="O157" i="2" s="1"/>
  <c r="N160" i="2"/>
  <c r="N122" i="2" s="1"/>
  <c r="M76" i="2"/>
  <c r="M159" i="2"/>
  <c r="K110" i="2"/>
  <c r="K116" i="2" s="1"/>
  <c r="O111" i="2"/>
  <c r="O158" i="2" l="1"/>
  <c r="O160" i="2"/>
  <c r="O122" i="2" s="1"/>
  <c r="N76" i="2"/>
  <c r="N159" i="2"/>
  <c r="K100" i="2"/>
  <c r="L98" i="2" s="1"/>
  <c r="K48" i="2"/>
  <c r="L110" i="2"/>
  <c r="L116" i="2" s="1"/>
  <c r="O159" i="2" l="1"/>
  <c r="O76" i="2"/>
  <c r="M110" i="2"/>
  <c r="M116" i="2" s="1"/>
  <c r="K66" i="2"/>
  <c r="L99" i="2"/>
  <c r="L121" i="2" s="1"/>
  <c r="N110" i="2" l="1"/>
  <c r="N116" i="2" s="1"/>
  <c r="L100" i="2"/>
  <c r="M98" i="2" s="1"/>
  <c r="M99" i="2" s="1"/>
  <c r="M121" i="2" s="1"/>
  <c r="L48" i="2"/>
  <c r="O110" i="2" l="1"/>
  <c r="O116" i="2" s="1"/>
  <c r="L66" i="2"/>
  <c r="M100" i="2"/>
  <c r="N98" i="2" s="1"/>
  <c r="N99" i="2" s="1"/>
  <c r="N121" i="2" s="1"/>
  <c r="M48" i="2"/>
  <c r="M66" i="2" l="1"/>
  <c r="N100" i="2"/>
  <c r="N66" i="2" s="1"/>
  <c r="N48" i="2"/>
  <c r="O98" i="2" l="1"/>
  <c r="O99" i="2" s="1"/>
  <c r="O121" i="2" s="1"/>
  <c r="O48" i="2" l="1"/>
  <c r="O100" i="2"/>
  <c r="O66" i="2" s="1"/>
  <c r="T5" i="2" l="1"/>
  <c r="T7" i="2"/>
  <c r="P10" i="2"/>
  <c r="Q10" i="2"/>
  <c r="R10" i="2"/>
  <c r="S10" i="2"/>
  <c r="T10" i="2"/>
  <c r="P11" i="2"/>
  <c r="Q11" i="2"/>
  <c r="R11" i="2"/>
  <c r="S11" i="2"/>
  <c r="T11" i="2"/>
  <c r="P12" i="2"/>
  <c r="Q12" i="2"/>
  <c r="R12" i="2"/>
  <c r="S12" i="2"/>
  <c r="T12" i="2"/>
  <c r="P14" i="2"/>
  <c r="Q14" i="2"/>
  <c r="R14" i="2"/>
  <c r="S14" i="2"/>
  <c r="T14" i="2"/>
  <c r="P15" i="2"/>
  <c r="Q15" i="2"/>
  <c r="R15" i="2"/>
  <c r="S15" i="2"/>
  <c r="T15" i="2"/>
  <c r="P17" i="2"/>
  <c r="Q17" i="2"/>
  <c r="R17" i="2"/>
  <c r="S17" i="2"/>
  <c r="T17" i="2"/>
  <c r="P18" i="2"/>
  <c r="Q18" i="2"/>
  <c r="R18" i="2"/>
  <c r="S18" i="2"/>
  <c r="T18" i="2"/>
  <c r="J43" i="2"/>
  <c r="K43" i="2"/>
  <c r="L43" i="2"/>
  <c r="M43" i="2"/>
  <c r="N43" i="2"/>
  <c r="O43" i="2"/>
  <c r="J45" i="2"/>
  <c r="K45" i="2"/>
  <c r="L45" i="2"/>
  <c r="M45" i="2"/>
  <c r="N45" i="2"/>
  <c r="O45" i="2"/>
  <c r="J47" i="2"/>
  <c r="K47" i="2"/>
  <c r="L47" i="2"/>
  <c r="M47" i="2"/>
  <c r="N47" i="2"/>
  <c r="O47" i="2"/>
  <c r="J50" i="2"/>
  <c r="K50" i="2"/>
  <c r="L50" i="2"/>
  <c r="M50" i="2"/>
  <c r="N50" i="2"/>
  <c r="O50" i="2"/>
  <c r="J54" i="2"/>
  <c r="K54" i="2"/>
  <c r="L54" i="2"/>
  <c r="M54" i="2"/>
  <c r="N54" i="2"/>
  <c r="O54" i="2"/>
  <c r="J56" i="2"/>
  <c r="K56" i="2"/>
  <c r="L56" i="2"/>
  <c r="M56" i="2"/>
  <c r="N56" i="2"/>
  <c r="O56" i="2"/>
  <c r="J59" i="2"/>
  <c r="K59" i="2"/>
  <c r="L59" i="2"/>
  <c r="M59" i="2"/>
  <c r="N59" i="2"/>
  <c r="O59" i="2"/>
  <c r="J62" i="2"/>
  <c r="K62" i="2"/>
  <c r="L62" i="2"/>
  <c r="M62" i="2"/>
  <c r="N62" i="2"/>
  <c r="O62" i="2"/>
  <c r="J64" i="2"/>
  <c r="K64" i="2"/>
  <c r="L64" i="2"/>
  <c r="M64" i="2"/>
  <c r="N64" i="2"/>
  <c r="O64" i="2"/>
  <c r="J67" i="2"/>
  <c r="K67" i="2"/>
  <c r="L67" i="2"/>
  <c r="M67" i="2"/>
  <c r="N67" i="2"/>
  <c r="O67" i="2"/>
  <c r="J69" i="2"/>
  <c r="K69" i="2"/>
  <c r="L69" i="2"/>
  <c r="M69" i="2"/>
  <c r="N69" i="2"/>
  <c r="O69" i="2"/>
  <c r="J72" i="2"/>
  <c r="K72" i="2"/>
  <c r="L72" i="2"/>
  <c r="M72" i="2"/>
  <c r="N72" i="2"/>
  <c r="O72" i="2"/>
  <c r="J75" i="2"/>
  <c r="K75" i="2"/>
  <c r="L75" i="2"/>
  <c r="M75" i="2"/>
  <c r="N75" i="2"/>
  <c r="O75" i="2"/>
  <c r="J77" i="2"/>
  <c r="K77" i="2"/>
  <c r="L77" i="2"/>
  <c r="M77" i="2"/>
  <c r="N77" i="2"/>
  <c r="O77" i="2"/>
  <c r="J79" i="2"/>
  <c r="K79" i="2"/>
  <c r="L79" i="2"/>
  <c r="M79" i="2"/>
  <c r="N79" i="2"/>
  <c r="O79" i="2"/>
  <c r="J81" i="2"/>
  <c r="K81" i="2"/>
  <c r="L81" i="2"/>
  <c r="M81" i="2"/>
  <c r="N81" i="2"/>
  <c r="O81" i="2"/>
  <c r="J83" i="2"/>
  <c r="K83" i="2"/>
  <c r="L83" i="2"/>
  <c r="M83" i="2"/>
  <c r="N83" i="2"/>
  <c r="O83" i="2"/>
  <c r="J90" i="2"/>
  <c r="K90" i="2"/>
  <c r="L90" i="2"/>
  <c r="M90" i="2"/>
  <c r="N90" i="2"/>
  <c r="O90" i="2"/>
  <c r="K102" i="2"/>
  <c r="L102" i="2"/>
  <c r="M102" i="2"/>
  <c r="N102" i="2"/>
  <c r="O102" i="2"/>
  <c r="J104" i="2"/>
  <c r="K104" i="2"/>
  <c r="L104" i="2"/>
  <c r="M104" i="2"/>
  <c r="N104" i="2"/>
  <c r="O104" i="2"/>
  <c r="J105" i="2"/>
  <c r="K105" i="2"/>
  <c r="L105" i="2"/>
  <c r="M105" i="2"/>
  <c r="N105" i="2"/>
  <c r="O105" i="2"/>
  <c r="J107" i="2"/>
  <c r="K107" i="2"/>
  <c r="L107" i="2"/>
  <c r="M107" i="2"/>
  <c r="N107" i="2"/>
  <c r="O107" i="2"/>
  <c r="J119" i="2"/>
  <c r="K119" i="2"/>
  <c r="L119" i="2"/>
  <c r="M119" i="2"/>
  <c r="N119" i="2"/>
  <c r="O119" i="2"/>
  <c r="J120" i="2"/>
  <c r="K120" i="2"/>
  <c r="L120" i="2"/>
  <c r="M120" i="2"/>
  <c r="N120" i="2"/>
  <c r="O120" i="2"/>
  <c r="J123" i="2"/>
  <c r="K123" i="2"/>
  <c r="L123" i="2"/>
  <c r="M123" i="2"/>
  <c r="N123" i="2"/>
  <c r="O123" i="2"/>
  <c r="J124" i="2"/>
  <c r="K124" i="2"/>
  <c r="L124" i="2"/>
  <c r="M124" i="2"/>
  <c r="N124" i="2"/>
  <c r="O124" i="2"/>
  <c r="J129" i="2"/>
  <c r="K129" i="2"/>
  <c r="L129" i="2"/>
  <c r="M129" i="2"/>
  <c r="N129" i="2"/>
  <c r="O129" i="2"/>
  <c r="J130" i="2"/>
  <c r="K130" i="2"/>
  <c r="L130" i="2"/>
  <c r="M130" i="2"/>
  <c r="N130" i="2"/>
  <c r="O130" i="2"/>
  <c r="J132" i="2"/>
  <c r="K132" i="2"/>
  <c r="L132" i="2"/>
  <c r="M132" i="2"/>
  <c r="N132" i="2"/>
  <c r="O132" i="2"/>
  <c r="J135" i="2"/>
  <c r="K135" i="2"/>
  <c r="L135" i="2"/>
  <c r="M135" i="2"/>
  <c r="N135" i="2"/>
  <c r="O135" i="2"/>
  <c r="K136" i="2"/>
  <c r="L136" i="2"/>
  <c r="M136" i="2"/>
  <c r="N136" i="2"/>
  <c r="O136" i="2"/>
  <c r="J138" i="2"/>
  <c r="K138" i="2"/>
  <c r="L138" i="2"/>
  <c r="M138" i="2"/>
  <c r="N138" i="2"/>
  <c r="O138" i="2"/>
  <c r="K140" i="2"/>
  <c r="L140" i="2"/>
  <c r="M140" i="2"/>
  <c r="N140" i="2"/>
  <c r="O140" i="2"/>
  <c r="J142" i="2"/>
  <c r="K142" i="2"/>
  <c r="L142" i="2"/>
  <c r="M142" i="2"/>
  <c r="N142" i="2"/>
  <c r="O142" i="2"/>
  <c r="K144" i="2"/>
  <c r="L144" i="2"/>
  <c r="M144" i="2"/>
  <c r="N144" i="2"/>
  <c r="O144" i="2"/>
  <c r="J145" i="2"/>
  <c r="K145" i="2"/>
  <c r="L145" i="2"/>
  <c r="M145" i="2"/>
  <c r="N145" i="2"/>
  <c r="O145" i="2"/>
  <c r="J146" i="2"/>
  <c r="K146" i="2"/>
  <c r="L146" i="2"/>
  <c r="M146" i="2"/>
  <c r="N146" i="2"/>
  <c r="O146" i="2"/>
  <c r="J147" i="2"/>
  <c r="K147" i="2"/>
  <c r="L147" i="2"/>
  <c r="M147" i="2"/>
  <c r="N147" i="2"/>
  <c r="O147" i="2"/>
  <c r="K150" i="2"/>
  <c r="L150" i="2"/>
  <c r="M150" i="2"/>
  <c r="N150" i="2"/>
  <c r="O150" i="2"/>
  <c r="K151" i="2"/>
  <c r="L151" i="2"/>
  <c r="M151" i="2"/>
  <c r="N151" i="2"/>
  <c r="O151" i="2"/>
  <c r="J152" i="2"/>
  <c r="K152" i="2"/>
  <c r="L152" i="2"/>
  <c r="M152" i="2"/>
  <c r="N152" i="2"/>
  <c r="O152" i="2"/>
  <c r="J153" i="2"/>
  <c r="K153" i="2"/>
  <c r="L153" i="2"/>
  <c r="M153" i="2"/>
  <c r="N153" i="2"/>
  <c r="O153" i="2"/>
  <c r="J154" i="2"/>
  <c r="K154" i="2"/>
  <c r="L154" i="2"/>
  <c r="M154" i="2"/>
  <c r="N154" i="2"/>
  <c r="O154" i="2"/>
  <c r="K162" i="2"/>
  <c r="L162" i="2"/>
  <c r="M162" i="2"/>
  <c r="N162" i="2"/>
  <c r="O162" i="2"/>
  <c r="J163" i="2"/>
  <c r="K163" i="2"/>
  <c r="L163" i="2"/>
  <c r="M163" i="2"/>
  <c r="N163" i="2"/>
  <c r="O163" i="2"/>
  <c r="J164" i="2"/>
  <c r="K164" i="2"/>
  <c r="L164" i="2"/>
  <c r="M164" i="2"/>
  <c r="N164" i="2"/>
  <c r="O164" i="2"/>
  <c r="J166" i="2"/>
  <c r="K166" i="2"/>
  <c r="L166" i="2"/>
  <c r="M166" i="2"/>
  <c r="N166" i="2"/>
  <c r="O166" i="2"/>
  <c r="J167" i="2"/>
  <c r="K167" i="2"/>
  <c r="L167" i="2"/>
  <c r="M167" i="2"/>
  <c r="N167" i="2"/>
  <c r="O167" i="2"/>
  <c r="L174" i="2"/>
  <c r="M174" i="2"/>
  <c r="N174" i="2"/>
  <c r="L175" i="2"/>
  <c r="M175" i="2"/>
  <c r="N175" i="2"/>
  <c r="L176" i="2"/>
  <c r="M176" i="2"/>
  <c r="N176" i="2"/>
  <c r="L178" i="2"/>
  <c r="M178" i="2"/>
  <c r="N178" i="2"/>
  <c r="L181" i="2"/>
  <c r="M181" i="2"/>
  <c r="N181" i="2"/>
  <c r="L184" i="2"/>
  <c r="M184" i="2"/>
  <c r="N184" i="2"/>
  <c r="L185" i="2"/>
  <c r="M185" i="2"/>
  <c r="N185" i="2"/>
  <c r="L186" i="2"/>
  <c r="M186" i="2"/>
  <c r="N186" i="2"/>
  <c r="L196" i="2"/>
  <c r="M196" i="2"/>
  <c r="N196" i="2"/>
  <c r="L199" i="2"/>
  <c r="M199" i="2"/>
  <c r="N199" i="2"/>
  <c r="L201" i="2"/>
  <c r="M201" i="2"/>
  <c r="N201" i="2"/>
  <c r="L204" i="2"/>
  <c r="M204" i="2"/>
  <c r="N204" i="2"/>
  <c r="L205" i="2"/>
  <c r="M205" i="2"/>
  <c r="N205" i="2"/>
  <c r="L214" i="2"/>
  <c r="M214" i="2"/>
  <c r="N214" i="2"/>
  <c r="L216" i="2"/>
  <c r="M216" i="2"/>
  <c r="N216" i="2"/>
  <c r="L218" i="2"/>
  <c r="M218" i="2"/>
  <c r="N218" i="2"/>
  <c r="L220" i="2"/>
  <c r="M220" i="2"/>
  <c r="N220" i="2"/>
  <c r="L222" i="2"/>
  <c r="M222" i="2"/>
  <c r="N222" i="2"/>
  <c r="L259" i="2"/>
  <c r="M259" i="2"/>
  <c r="N259" i="2"/>
  <c r="L263" i="2"/>
  <c r="M263" i="2"/>
  <c r="N263" i="2"/>
  <c r="L264" i="2"/>
  <c r="M264" i="2"/>
  <c r="N264" i="2"/>
  <c r="L266" i="2"/>
  <c r="M266" i="2"/>
  <c r="N26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9" authorId="0" shapeId="0" xr:uid="{CA65C3F3-1ACB-4F38-BC26-F22B754D3E3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Candidates own assumption
</t>
        </r>
      </text>
    </comment>
    <comment ref="H107" authorId="0" shapeId="0" xr:uid="{A7FD5155-5EB1-4F92-999F-7733FF10F91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Candidate's own assumption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<sst xmlns="http://schemas.openxmlformats.org/spreadsheetml/2006/main" count="334" uniqueCount="232">
  <si>
    <t>5-yr Growth</t>
  </si>
  <si>
    <t>Gross Margin</t>
  </si>
  <si>
    <t>Year 1 Assumptions</t>
  </si>
  <si>
    <t>Revenue</t>
  </si>
  <si>
    <t>EBITDA Margin</t>
  </si>
  <si>
    <t>Opex - S&amp;M</t>
  </si>
  <si>
    <t>Opex - R&amp;D</t>
  </si>
  <si>
    <t>Opex - G&amp;A</t>
  </si>
  <si>
    <t>of sales</t>
  </si>
  <si>
    <t>CAGR</t>
  </si>
  <si>
    <t>Capex</t>
  </si>
  <si>
    <t>Instructions</t>
  </si>
  <si>
    <t>P&amp;L</t>
  </si>
  <si>
    <t>Balance Sheet</t>
  </si>
  <si>
    <t>Accounts Receivables</t>
  </si>
  <si>
    <t>Other Current Assets</t>
  </si>
  <si>
    <t>PP&amp;E</t>
  </si>
  <si>
    <t>Accounts Payables</t>
  </si>
  <si>
    <t>Deferred Revenue</t>
  </si>
  <si>
    <t>Tax Rate</t>
  </si>
  <si>
    <t>of PBT</t>
  </si>
  <si>
    <t>Leverage Assumptions</t>
  </si>
  <si>
    <t>Cash Interest</t>
  </si>
  <si>
    <t>Mandatory Amortization</t>
  </si>
  <si>
    <t>Target private equity like returns of 20-25% IRR</t>
  </si>
  <si>
    <t>Free Cash Flow Sweep</t>
  </si>
  <si>
    <t>of cash flow after mandatory amortization</t>
  </si>
  <si>
    <t>Supply relevant credit metrics (gross leverage, net leverage, interest coverage, cash flow coverage, etc.)</t>
  </si>
  <si>
    <t>Deal</t>
  </si>
  <si>
    <t>NTM basis</t>
  </si>
  <si>
    <t>Build a 5 year full three-statement annual LBO model (on the 'Input' tab)</t>
  </si>
  <si>
    <t>Fees</t>
  </si>
  <si>
    <t>of TEV</t>
  </si>
  <si>
    <t>Management Equity Plan Dilution</t>
  </si>
  <si>
    <t>of common equity</t>
  </si>
  <si>
    <t>Show IRR% and Multiple-of-Money for a 3, 4, and 5 year exit</t>
  </si>
  <si>
    <t>Entry</t>
  </si>
  <si>
    <t>Exit Multiple</t>
  </si>
  <si>
    <t>Assume stable gross margins</t>
  </si>
  <si>
    <t>Use the opex growth rates suggested</t>
  </si>
  <si>
    <t>Time limit: 3 hours</t>
  </si>
  <si>
    <t>Please break out the components of value creation between multiples expansion, revenue growth, margin expansion, and deleveraging (i.e. what % of equity value created came from each effect?)</t>
  </si>
  <si>
    <t>Min Cash / Opening Cash</t>
  </si>
  <si>
    <t>Supply entry valuation metrics (EBITDA, EBITDA - Capex, EBIT, Unlevered FCF)</t>
  </si>
  <si>
    <t>Senior debt assumptions</t>
  </si>
  <si>
    <t>Mezz debt assumptions</t>
  </si>
  <si>
    <t>PIK Interest</t>
  </si>
  <si>
    <t>Determine an appropriate level of debt, based on the assumptions provided (including cash sweep). Please include 1.0x EBITDA of mezzanine financing (the rest can be senior debt - up to the level you deem appropriate)</t>
  </si>
  <si>
    <t>Total Mezz Interest</t>
  </si>
  <si>
    <t>5-year growth CAGR</t>
  </si>
  <si>
    <t>Income statement</t>
  </si>
  <si>
    <t>x</t>
  </si>
  <si>
    <t>Balance sheet</t>
  </si>
  <si>
    <t>Cash</t>
  </si>
  <si>
    <t>Year</t>
  </si>
  <si>
    <t>% YoY</t>
  </si>
  <si>
    <t>Gross profit</t>
  </si>
  <si>
    <t>% margin</t>
  </si>
  <si>
    <t>% of sales</t>
  </si>
  <si>
    <t>EBITDA</t>
  </si>
  <si>
    <t>Entry multiple</t>
  </si>
  <si>
    <t>NTM EBITDA</t>
  </si>
  <si>
    <t>Entry EV</t>
  </si>
  <si>
    <t>Assume cash free, debt free basis</t>
  </si>
  <si>
    <t>Deal parameters</t>
  </si>
  <si>
    <t>Exit multiple</t>
  </si>
  <si>
    <t>Exit multiple, NTM</t>
  </si>
  <si>
    <t>Deal fees</t>
  </si>
  <si>
    <t>o/w M&amp;A</t>
  </si>
  <si>
    <t>o/w financing</t>
  </si>
  <si>
    <t>&lt;&lt; own assumptions</t>
  </si>
  <si>
    <t xml:space="preserve">MIP </t>
  </si>
  <si>
    <t>Sources</t>
  </si>
  <si>
    <t>Uses</t>
  </si>
  <si>
    <t>Purchase EV</t>
  </si>
  <si>
    <t>M&amp;A fees</t>
  </si>
  <si>
    <t>Financing fees</t>
  </si>
  <si>
    <t>Min cash</t>
  </si>
  <si>
    <t>Senior debt</t>
  </si>
  <si>
    <t>Mezz debt</t>
  </si>
  <si>
    <t>Sponsor equity</t>
  </si>
  <si>
    <t>Total</t>
  </si>
  <si>
    <t>Cash interest</t>
  </si>
  <si>
    <t>Mandatory amort'</t>
  </si>
  <si>
    <t>Sweep</t>
  </si>
  <si>
    <t>PIK</t>
  </si>
  <si>
    <t>Quantum, LTM EBITDA</t>
  </si>
  <si>
    <t>AR</t>
  </si>
  <si>
    <t>Other current assets</t>
  </si>
  <si>
    <t>Total CA</t>
  </si>
  <si>
    <t>Debit</t>
  </si>
  <si>
    <t>Credit</t>
  </si>
  <si>
    <t>PPE</t>
  </si>
  <si>
    <t>Goodwill</t>
  </si>
  <si>
    <t>Deferred fin' fees</t>
  </si>
  <si>
    <t>Total assets</t>
  </si>
  <si>
    <t>AP</t>
  </si>
  <si>
    <t>Deferred revenue</t>
  </si>
  <si>
    <t>Total CL</t>
  </si>
  <si>
    <t>Existing debt</t>
  </si>
  <si>
    <t>Mezz</t>
  </si>
  <si>
    <t>Total liabilities</t>
  </si>
  <si>
    <t>Common equity</t>
  </si>
  <si>
    <t>L + E</t>
  </si>
  <si>
    <t>Goowill calcs</t>
  </si>
  <si>
    <t>Puchase price</t>
  </si>
  <si>
    <t>Net identifieable asset</t>
  </si>
  <si>
    <t>Excess purchase price</t>
  </si>
  <si>
    <t>NWC</t>
  </si>
  <si>
    <t>Revolver</t>
  </si>
  <si>
    <t>Balance sheeet calcs</t>
  </si>
  <si>
    <t>D&amp;A</t>
  </si>
  <si>
    <t>EBIT</t>
  </si>
  <si>
    <t>AR days</t>
  </si>
  <si>
    <t>Other CA % of revenue</t>
  </si>
  <si>
    <t>AP days</t>
  </si>
  <si>
    <t>Deferred revenue % of revenue</t>
  </si>
  <si>
    <t>BoP deferred fin' fees</t>
  </si>
  <si>
    <t>EoP deferred fin' fees</t>
  </si>
  <si>
    <t>Amort' deferred fin' fees</t>
  </si>
  <si>
    <t>BoP PPE</t>
  </si>
  <si>
    <t>Depreciation</t>
  </si>
  <si>
    <t>EoP PPE</t>
  </si>
  <si>
    <t>Depreciation of existing PPE</t>
  </si>
  <si>
    <t>Useful life, PPE (years)</t>
  </si>
  <si>
    <t>Useful life, fees (years)</t>
  </si>
  <si>
    <t>Depreciation of PPE from capex</t>
  </si>
  <si>
    <t>Net interest</t>
  </si>
  <si>
    <t>Amort' financing fees</t>
  </si>
  <si>
    <t>EBT</t>
  </si>
  <si>
    <t>Tax rate</t>
  </si>
  <si>
    <t>Net income</t>
  </si>
  <si>
    <t>Cash flow statement</t>
  </si>
  <si>
    <t>(+) Amortization of fin' fees</t>
  </si>
  <si>
    <t>(+) Depreciation</t>
  </si>
  <si>
    <t>Chg in NWC</t>
  </si>
  <si>
    <t>(+) PIK interest</t>
  </si>
  <si>
    <t>Operating CF</t>
  </si>
  <si>
    <t>Investing CF</t>
  </si>
  <si>
    <t>Debt (paydown) / drawdown</t>
  </si>
  <si>
    <t>Financing CF</t>
  </si>
  <si>
    <t>Net cash flows</t>
  </si>
  <si>
    <t>Debt schedule</t>
  </si>
  <si>
    <t>Free cash flow</t>
  </si>
  <si>
    <t>BoP cash</t>
  </si>
  <si>
    <t>CFADS</t>
  </si>
  <si>
    <t>Mandatory debt repayments</t>
  </si>
  <si>
    <t>Excess cash / (revolver drawdown)</t>
  </si>
  <si>
    <t>BoP revolver</t>
  </si>
  <si>
    <t>Drawdown / (repayment)</t>
  </si>
  <si>
    <t>EoP revolver</t>
  </si>
  <si>
    <t>Interest rate</t>
  </si>
  <si>
    <t>BoP senior debt</t>
  </si>
  <si>
    <t>Mandatory payments</t>
  </si>
  <si>
    <t>EoP senior debt</t>
  </si>
  <si>
    <t>Amortization</t>
  </si>
  <si>
    <t>BoP mezz debt</t>
  </si>
  <si>
    <t>PIK accrual</t>
  </si>
  <si>
    <t>EoP mezz debt</t>
  </si>
  <si>
    <t>PIK rate</t>
  </si>
  <si>
    <t>PIK interest</t>
  </si>
  <si>
    <t>Net cash flow</t>
  </si>
  <si>
    <t>EoP cash</t>
  </si>
  <si>
    <t>Circularity</t>
  </si>
  <si>
    <t>LBO</t>
  </si>
  <si>
    <t>Exit EV</t>
  </si>
  <si>
    <t>(-) debt</t>
  </si>
  <si>
    <t>(+) cash</t>
  </si>
  <si>
    <t>Total net debt</t>
  </si>
  <si>
    <t>EqV before MIP</t>
  </si>
  <si>
    <t>MIP dilution</t>
  </si>
  <si>
    <t>Mgmt sweet equity</t>
  </si>
  <si>
    <t>EqV to sponsor post dilution</t>
  </si>
  <si>
    <t>Sponsor equity at entry</t>
  </si>
  <si>
    <t>MoM</t>
  </si>
  <si>
    <t>IRR</t>
  </si>
  <si>
    <t>Profit to sponsor</t>
  </si>
  <si>
    <t>Returns attribution</t>
  </si>
  <si>
    <t>Delta</t>
  </si>
  <si>
    <t>Entry EBITDA, NTM</t>
  </si>
  <si>
    <t>Exit EBITDA, NTM</t>
  </si>
  <si>
    <t>Value created from EBITDA growth</t>
  </si>
  <si>
    <t>Value (loss) / created from multiple (compression) / expansion</t>
  </si>
  <si>
    <t>Entry debt</t>
  </si>
  <si>
    <t>Exit debt</t>
  </si>
  <si>
    <t>Entry cash</t>
  </si>
  <si>
    <t>Exit cash</t>
  </si>
  <si>
    <t>Value created from deleveraging</t>
  </si>
  <si>
    <t>Sponsor profit</t>
  </si>
  <si>
    <t>Value loss from MIP</t>
  </si>
  <si>
    <t>Total value created</t>
  </si>
  <si>
    <t>Pre txn</t>
  </si>
  <si>
    <t>Entry valuation</t>
  </si>
  <si>
    <t>EV / EBITDA - Capex, NTM</t>
  </si>
  <si>
    <t>EV / EBITDA, NTM</t>
  </si>
  <si>
    <t>EV EBIT, NTM</t>
  </si>
  <si>
    <t>NOPAT</t>
  </si>
  <si>
    <t>UFCF yield, NTM</t>
  </si>
  <si>
    <t>Credit metrics</t>
  </si>
  <si>
    <t>Gross debt</t>
  </si>
  <si>
    <t>Net debt</t>
  </si>
  <si>
    <t>Gross debt / EBITDA</t>
  </si>
  <si>
    <t>ND/EBITDA</t>
  </si>
  <si>
    <t>EBIT / cash interest</t>
  </si>
  <si>
    <t>Total gross debt</t>
  </si>
  <si>
    <t>OCF / ND</t>
  </si>
  <si>
    <t>% of total value created</t>
  </si>
  <si>
    <t>CHECK</t>
  </si>
  <si>
    <t>We assume standard UK style MIP (common equity sweet pot) instead of mgmt having a call option with entry equity value as strike price</t>
  </si>
  <si>
    <t>EBITDA growth captures both revenue growth and margin expansion, breakdown of the two components below</t>
  </si>
  <si>
    <t>We assume revolver is part of the senior debt package w same interest rate, in reality the rate would likely be lower</t>
  </si>
  <si>
    <t>We assume no write ups hence all excess purchase price is set as goodwill</t>
  </si>
  <si>
    <t>Entry sales</t>
  </si>
  <si>
    <t>Exit sales</t>
  </si>
  <si>
    <t>Entry margin</t>
  </si>
  <si>
    <t>Value created from revenue growth</t>
  </si>
  <si>
    <t>S&amp;M</t>
  </si>
  <si>
    <t>Exit margin</t>
  </si>
  <si>
    <t>R&amp;D</t>
  </si>
  <si>
    <t>G&amp;A</t>
  </si>
  <si>
    <t>Entry multiple, NTM</t>
  </si>
  <si>
    <t>Value created from margin expansion</t>
  </si>
  <si>
    <t>o/w S&amp;M</t>
  </si>
  <si>
    <t>o/w R&amp;D</t>
  </si>
  <si>
    <t>o/w G&amp;A</t>
  </si>
  <si>
    <t>o/w multiple expansion / (compression)</t>
  </si>
  <si>
    <t>o/w revenue growth</t>
  </si>
  <si>
    <t>o/w rmargin expansion</t>
  </si>
  <si>
    <t>o/w deleveraging</t>
  </si>
  <si>
    <t>Final EqV attribution</t>
  </si>
  <si>
    <t>Equity value created for sponsor</t>
  </si>
  <si>
    <t>o/w 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</si>
</sst>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\ ;\(#,##0\)"/>
    <numFmt numFmtId="165" formatCode="#,##0.00\ ;\(#,##0.00\)"/>
    <numFmt numFmtId="166" formatCode="#,##0.00\x\ ;\(#,##0.00\x\)"/>
    <numFmt numFmtId="167" formatCode="&quot;$&quot;#,##0_);\(&quot;$&quot;#,##0\);\–_);&quot;–&quot;_)"/>
    <numFmt numFmtId="168" formatCode="0.0%"/>
    <numFmt numFmtId="169" formatCode="0.0\x_);\(0.0\x\);&quot;–&quot;_)"/>
    <numFmt numFmtId="170" formatCode=";;;"/>
    <numFmt numFmtId="171" formatCode="0.0%_);\(0.0%\)"/>
    <numFmt numFmtId="172" formatCode="###0.00_)"/>
    <numFmt numFmtId="173" formatCode="dd\-mmm\-yy_)"/>
    <numFmt numFmtId="174" formatCode="#,##0.0_);\(#,##0.0\);0.0_);@_)"/>
    <numFmt numFmtId="175" formatCode="0.0\ \x_);\(0.0\ \x\)"/>
    <numFmt numFmtId="176" formatCode="General\A"/>
    <numFmt numFmtId="177" formatCode="General\E"/>
    <numFmt numFmtId="178" formatCode="General\F"/>
  </numFmts>
  <fonts count="26" x14ac:knownFonts="1">
    <font>
      <sz val="11"/>
      <name val="Arial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800080"/>
      <name val="Arial"/>
      <family val="2"/>
    </font>
    <font>
      <b/>
      <u/>
      <sz val="11"/>
      <name val="Arial"/>
      <family val="2"/>
    </font>
    <font>
      <b/>
      <sz val="11"/>
      <color rgb="FFFF0000"/>
      <name val="Arial"/>
      <family val="2"/>
    </font>
    <font>
      <u/>
      <sz val="11"/>
      <color rgb="FF000000"/>
      <name val="Arial"/>
      <family val="2"/>
    </font>
    <font>
      <sz val="11"/>
      <color rgb="FFFF0000"/>
      <name val="Arial"/>
      <family val="2"/>
      <scheme val="minor"/>
    </font>
    <font>
      <sz val="11"/>
      <name val="Calibri"/>
      <family val="2"/>
    </font>
    <font>
      <sz val="10"/>
      <name val="Helv"/>
      <family val="2"/>
    </font>
    <font>
      <sz val="10"/>
      <name val="Arial"/>
      <family val="2"/>
    </font>
    <font>
      <sz val="11"/>
      <color rgb="FF00B05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FF"/>
      <name val="Arial"/>
      <family val="2"/>
      <scheme val="minor"/>
    </font>
    <font>
      <sz val="10"/>
      <color theme="1"/>
      <name val="Arial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b/>
      <sz val="11"/>
      <color rgb="FF0000FF"/>
      <name val="Arial"/>
      <family val="2"/>
      <scheme val="minor"/>
    </font>
    <font>
      <b/>
      <sz val="11"/>
      <name val="Arial"/>
      <family val="2"/>
      <scheme val="minor"/>
    </font>
    <font>
      <i/>
      <sz val="11"/>
      <name val="Arial"/>
      <family val="2"/>
      <scheme val="minor"/>
    </font>
    <font>
      <i/>
      <sz val="11"/>
      <color rgb="FF00B05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174" fontId="0" fillId="0" borderId="0"/>
    <xf numFmtId="164" fontId="1" fillId="0" borderId="0"/>
    <xf numFmtId="165" fontId="1" fillId="0" borderId="0"/>
    <xf numFmtId="166" fontId="1" fillId="0" borderId="0"/>
    <xf numFmtId="171" fontId="12" fillId="0" borderId="0" applyFont="0" applyFill="0" applyBorder="0" applyAlignment="0" applyProtection="0"/>
    <xf numFmtId="170" fontId="10" fillId="0" borderId="0"/>
    <xf numFmtId="171" fontId="15" fillId="2" borderId="3" applyNumberFormat="0" applyFill="0" applyBorder="0" applyAlignment="0" applyProtection="0"/>
    <xf numFmtId="172" fontId="11" fillId="0" borderId="4" applyNumberFormat="0" applyFill="0">
      <alignment horizontal="right"/>
    </xf>
    <xf numFmtId="173" fontId="12" fillId="0" borderId="0" applyFont="0" applyFill="0" applyBorder="0" applyAlignment="0" applyProtection="0"/>
    <xf numFmtId="174" fontId="13" fillId="0" borderId="0"/>
    <xf numFmtId="0" fontId="14" fillId="0" borderId="0" applyNumberFormat="0" applyFill="0" applyBorder="0" applyAlignment="0" applyProtection="0"/>
    <xf numFmtId="174" fontId="15" fillId="3" borderId="3" applyNumberFormat="0" applyAlignment="0" applyProtection="0"/>
    <xf numFmtId="175" fontId="12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>
      <alignment horizontal="right"/>
    </xf>
    <xf numFmtId="0" fontId="18" fillId="0" borderId="0">
      <alignment horizontal="left"/>
    </xf>
    <xf numFmtId="176" fontId="16" fillId="0" borderId="0"/>
    <xf numFmtId="177" fontId="16" fillId="0" borderId="0"/>
    <xf numFmtId="178" fontId="16" fillId="0" borderId="0"/>
  </cellStyleXfs>
  <cellXfs count="85">
    <xf numFmtId="174" fontId="0" fillId="0" borderId="0" xfId="0"/>
    <xf numFmtId="174" fontId="2" fillId="0" borderId="0" xfId="0" applyFont="1"/>
    <xf numFmtId="174" fontId="2" fillId="0" borderId="0" xfId="0" applyFont="1" applyBorder="1"/>
    <xf numFmtId="167" fontId="4" fillId="0" borderId="1" xfId="0" applyNumberFormat="1" applyFont="1" applyFill="1" applyBorder="1"/>
    <xf numFmtId="9" fontId="3" fillId="0" borderId="2" xfId="0" applyNumberFormat="1" applyFont="1" applyFill="1" applyBorder="1"/>
    <xf numFmtId="9" fontId="4" fillId="0" borderId="2" xfId="0" applyNumberFormat="1" applyFont="1" applyFill="1" applyBorder="1"/>
    <xf numFmtId="9" fontId="4" fillId="0" borderId="0" xfId="0" applyNumberFormat="1" applyFont="1" applyFill="1" applyBorder="1"/>
    <xf numFmtId="174" fontId="5" fillId="0" borderId="0" xfId="0" applyFont="1"/>
    <xf numFmtId="9" fontId="4" fillId="0" borderId="1" xfId="0" applyNumberFormat="1" applyFont="1" applyFill="1" applyBorder="1"/>
    <xf numFmtId="168" fontId="4" fillId="0" borderId="1" xfId="0" applyNumberFormat="1" applyFont="1" applyFill="1" applyBorder="1"/>
    <xf numFmtId="168" fontId="4" fillId="0" borderId="2" xfId="0" applyNumberFormat="1" applyFont="1" applyFill="1" applyBorder="1"/>
    <xf numFmtId="169" fontId="4" fillId="0" borderId="1" xfId="0" applyNumberFormat="1" applyFont="1" applyFill="1" applyBorder="1"/>
    <xf numFmtId="174" fontId="6" fillId="0" borderId="0" xfId="0" applyFont="1"/>
    <xf numFmtId="169" fontId="4" fillId="0" borderId="2" xfId="0" applyNumberFormat="1" applyFont="1" applyFill="1" applyBorder="1"/>
    <xf numFmtId="174" fontId="7" fillId="0" borderId="0" xfId="0" applyFont="1"/>
    <xf numFmtId="174" fontId="8" fillId="0" borderId="0" xfId="0" applyFont="1"/>
    <xf numFmtId="168" fontId="4" fillId="0" borderId="0" xfId="0" applyNumberFormat="1" applyFont="1" applyFill="1" applyBorder="1"/>
    <xf numFmtId="168" fontId="3" fillId="0" borderId="0" xfId="0" applyNumberFormat="1" applyFont="1" applyFill="1" applyBorder="1"/>
    <xf numFmtId="174" fontId="15" fillId="0" borderId="0" xfId="6" applyNumberFormat="1" applyFill="1" applyBorder="1"/>
    <xf numFmtId="171" fontId="13" fillId="0" borderId="0" xfId="4" applyFont="1"/>
    <xf numFmtId="174" fontId="21" fillId="0" borderId="0" xfId="0" applyFont="1"/>
    <xf numFmtId="171" fontId="22" fillId="0" borderId="0" xfId="4" applyFont="1"/>
    <xf numFmtId="171" fontId="15" fillId="0" borderId="0" xfId="6" applyFill="1" applyBorder="1"/>
    <xf numFmtId="174" fontId="0" fillId="0" borderId="5" xfId="0" applyBorder="1"/>
    <xf numFmtId="174" fontId="20" fillId="0" borderId="6" xfId="0" applyFont="1" applyBorder="1"/>
    <xf numFmtId="174" fontId="0" fillId="0" borderId="7" xfId="0" applyBorder="1"/>
    <xf numFmtId="174" fontId="0" fillId="0" borderId="8" xfId="0" applyBorder="1"/>
    <xf numFmtId="174" fontId="0" fillId="0" borderId="0" xfId="0" applyBorder="1"/>
    <xf numFmtId="175" fontId="13" fillId="0" borderId="0" xfId="12" applyFont="1" applyBorder="1"/>
    <xf numFmtId="174" fontId="0" fillId="0" borderId="9" xfId="0" applyBorder="1"/>
    <xf numFmtId="171" fontId="13" fillId="0" borderId="0" xfId="4" applyFont="1" applyBorder="1"/>
    <xf numFmtId="174" fontId="20" fillId="0" borderId="0" xfId="0" applyFont="1" applyBorder="1"/>
    <xf numFmtId="174" fontId="0" fillId="0" borderId="10" xfId="0" applyBorder="1"/>
    <xf numFmtId="174" fontId="0" fillId="0" borderId="11" xfId="0" applyBorder="1"/>
    <xf numFmtId="171" fontId="13" fillId="0" borderId="11" xfId="4" applyFont="1" applyBorder="1"/>
    <xf numFmtId="174" fontId="0" fillId="0" borderId="12" xfId="0" applyBorder="1"/>
    <xf numFmtId="175" fontId="15" fillId="3" borderId="3" xfId="12" applyFont="1" applyFill="1" applyBorder="1"/>
    <xf numFmtId="171" fontId="15" fillId="0" borderId="0" xfId="4" applyFont="1" applyFill="1" applyBorder="1"/>
    <xf numFmtId="174" fontId="0" fillId="0" borderId="3" xfId="0" applyBorder="1"/>
    <xf numFmtId="174" fontId="0" fillId="0" borderId="13" xfId="0" applyBorder="1"/>
    <xf numFmtId="174" fontId="0" fillId="0" borderId="14" xfId="0" applyBorder="1"/>
    <xf numFmtId="174" fontId="0" fillId="0" borderId="15" xfId="0" applyBorder="1"/>
    <xf numFmtId="174" fontId="15" fillId="0" borderId="15" xfId="6" applyNumberFormat="1" applyFill="1" applyBorder="1"/>
    <xf numFmtId="171" fontId="13" fillId="0" borderId="15" xfId="4" applyFont="1" applyBorder="1"/>
    <xf numFmtId="174" fontId="0" fillId="0" borderId="16" xfId="0" applyBorder="1"/>
    <xf numFmtId="171" fontId="0" fillId="0" borderId="15" xfId="4" applyFont="1" applyBorder="1"/>
    <xf numFmtId="171" fontId="0" fillId="0" borderId="0" xfId="4" applyFont="1" applyBorder="1"/>
    <xf numFmtId="174" fontId="15" fillId="3" borderId="3" xfId="11" applyBorder="1"/>
    <xf numFmtId="174" fontId="0" fillId="0" borderId="6" xfId="0" applyBorder="1"/>
    <xf numFmtId="171" fontId="0" fillId="0" borderId="11" xfId="4" applyFont="1" applyBorder="1"/>
    <xf numFmtId="171" fontId="0" fillId="0" borderId="12" xfId="4" applyFont="1" applyBorder="1"/>
    <xf numFmtId="174" fontId="20" fillId="4" borderId="5" xfId="0" applyFont="1" applyFill="1" applyBorder="1"/>
    <xf numFmtId="174" fontId="19" fillId="4" borderId="5" xfId="6" applyNumberFormat="1" applyFont="1" applyFill="1" applyBorder="1"/>
    <xf numFmtId="174" fontId="20" fillId="4" borderId="7" xfId="0" applyFont="1" applyFill="1" applyBorder="1"/>
    <xf numFmtId="174" fontId="9" fillId="0" borderId="0" xfId="0" applyFont="1" applyBorder="1"/>
    <xf numFmtId="174" fontId="13" fillId="0" borderId="0" xfId="9" applyBorder="1"/>
    <xf numFmtId="174" fontId="21" fillId="0" borderId="0" xfId="0" applyFont="1" applyBorder="1"/>
    <xf numFmtId="171" fontId="22" fillId="0" borderId="0" xfId="4" applyFont="1" applyBorder="1"/>
    <xf numFmtId="171" fontId="21" fillId="0" borderId="0" xfId="4" applyFont="1" applyBorder="1"/>
    <xf numFmtId="171" fontId="21" fillId="0" borderId="9" xfId="4" applyFont="1" applyBorder="1"/>
    <xf numFmtId="171" fontId="0" fillId="0" borderId="9" xfId="4" applyFont="1" applyBorder="1"/>
    <xf numFmtId="171" fontId="22" fillId="0" borderId="9" xfId="4" applyFont="1" applyBorder="1"/>
    <xf numFmtId="171" fontId="13" fillId="0" borderId="9" xfId="4" applyFont="1" applyBorder="1"/>
    <xf numFmtId="171" fontId="15" fillId="0" borderId="11" xfId="4" applyFont="1" applyFill="1" applyBorder="1"/>
    <xf numFmtId="174" fontId="0" fillId="0" borderId="5" xfId="0" applyBorder="1" applyAlignment="1">
      <alignment horizontal="center"/>
    </xf>
    <xf numFmtId="174" fontId="0" fillId="5" borderId="0" xfId="0" applyFill="1" applyBorder="1"/>
    <xf numFmtId="174" fontId="0" fillId="0" borderId="0" xfId="0" applyFill="1" applyBorder="1"/>
    <xf numFmtId="174" fontId="0" fillId="0" borderId="9" xfId="0" applyFill="1" applyBorder="1"/>
    <xf numFmtId="174" fontId="15" fillId="0" borderId="9" xfId="6" applyNumberFormat="1" applyFill="1" applyBorder="1"/>
    <xf numFmtId="174" fontId="0" fillId="5" borderId="9" xfId="0" applyFill="1" applyBorder="1"/>
    <xf numFmtId="171" fontId="15" fillId="0" borderId="9" xfId="4" applyFont="1" applyFill="1" applyBorder="1"/>
    <xf numFmtId="174" fontId="21" fillId="0" borderId="9" xfId="0" applyFont="1" applyBorder="1"/>
    <xf numFmtId="174" fontId="20" fillId="0" borderId="8" xfId="0" applyFont="1" applyBorder="1"/>
    <xf numFmtId="175" fontId="15" fillId="0" borderId="12" xfId="12" applyFont="1" applyFill="1" applyBorder="1"/>
    <xf numFmtId="174" fontId="20" fillId="0" borderId="5" xfId="0" applyFont="1" applyBorder="1"/>
    <xf numFmtId="174" fontId="13" fillId="0" borderId="9" xfId="9" applyBorder="1"/>
    <xf numFmtId="175" fontId="0" fillId="0" borderId="9" xfId="12" applyFont="1" applyBorder="1"/>
    <xf numFmtId="175" fontId="0" fillId="0" borderId="0" xfId="12" applyFont="1" applyBorder="1"/>
    <xf numFmtId="174" fontId="25" fillId="0" borderId="0" xfId="0" applyFont="1" applyBorder="1"/>
    <xf numFmtId="175" fontId="20" fillId="0" borderId="5" xfId="12" applyFont="1" applyBorder="1"/>
    <xf numFmtId="175" fontId="20" fillId="0" borderId="7" xfId="12" applyFont="1" applyBorder="1"/>
    <xf numFmtId="174" fontId="20" fillId="0" borderId="10" xfId="0" applyFont="1" applyBorder="1"/>
    <xf numFmtId="174" fontId="20" fillId="0" borderId="11" xfId="0" applyFont="1" applyBorder="1"/>
    <xf numFmtId="171" fontId="20" fillId="0" borderId="11" xfId="4" applyFont="1" applyBorder="1"/>
    <xf numFmtId="171" fontId="20" fillId="0" borderId="12" xfId="4" applyFont="1" applyBorder="1"/>
  </cellXfs>
  <cellStyles count="20">
    <cellStyle name="Blank" xfId="5" xr:uid="{62FFE6CC-8C60-43BE-A243-09AB361D7C6F}"/>
    <cellStyle name="Blue" xfId="6" xr:uid="{C68030D1-32AC-4558-BF2B-7C9D355E23C8}"/>
    <cellStyle name="Bracket no decimals" xfId="1" xr:uid="{00000000-0005-0000-0000-000000000000}"/>
    <cellStyle name="Brackets with decimals" xfId="2" xr:uid="{00000000-0005-0000-0000-000001000000}"/>
    <cellStyle name="Data" xfId="7" xr:uid="{B5916B56-6318-4298-89E9-339D3228E7DD}"/>
    <cellStyle name="Date" xfId="8" xr:uid="{EA616BB1-A02F-46A5-AD44-78A87D6C81B8}"/>
    <cellStyle name="Diff Tab" xfId="9" xr:uid="{677B955B-0503-4447-AE1C-CF0697EF1032}"/>
    <cellStyle name="Hyperlink 2" xfId="10" xr:uid="{7D77EA85-3D52-4D5D-AD2A-BC2607D8ABFE}"/>
    <cellStyle name="I" xfId="11" xr:uid="{A5872F08-9000-4E22-8E90-22C46D75A213}"/>
    <cellStyle name="Multiple" xfId="12" xr:uid="{3F53ABC3-3BDB-464F-A2A5-0C591EACB47D}"/>
    <cellStyle name="Normal" xfId="0" builtinId="0" customBuiltin="1"/>
    <cellStyle name="Normal 2" xfId="13" xr:uid="{D8F0943B-A623-4795-811A-1089199571E8}"/>
    <cellStyle name="Percent" xfId="4" builtinId="5" customBuiltin="1"/>
    <cellStyle name="Percent 2" xfId="14" xr:uid="{36CC5F2A-79C9-4758-AD85-B66791998DB9}"/>
    <cellStyle name="Source Superscript" xfId="15" xr:uid="{E20B00F6-B2FE-46A2-8AB7-415AEC3A6CB7}"/>
    <cellStyle name="Source Text" xfId="16" xr:uid="{930EE628-8605-41DA-9D51-3961F3EA0ACF}"/>
    <cellStyle name="X with brackets" xfId="3" xr:uid="{00000000-0005-0000-0000-000003000000}"/>
    <cellStyle name="Year Actual" xfId="17" xr:uid="{A81C8472-9B25-4BCE-9567-CD1901E940F8}"/>
    <cellStyle name="Year Estimate" xfId="18" xr:uid="{44514DA1-3559-4081-A29B-2060FE72D604}"/>
    <cellStyle name="Year Forecast" xfId="19" xr:uid="{5483A2A2-5CD7-4827-8E94-66DA3A80D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ermira 2">
      <a:dk1>
        <a:sysClr val="windowText" lastClr="000000"/>
      </a:dk1>
      <a:lt1>
        <a:sysClr val="window" lastClr="FFFFFF"/>
      </a:lt1>
      <a:dk2>
        <a:srgbClr val="646363"/>
      </a:dk2>
      <a:lt2>
        <a:srgbClr val="13122B"/>
      </a:lt2>
      <a:accent1>
        <a:srgbClr val="13122B"/>
      </a:accent1>
      <a:accent2>
        <a:srgbClr val="F68C1F"/>
      </a:accent2>
      <a:accent3>
        <a:srgbClr val="6B9DD9"/>
      </a:accent3>
      <a:accent4>
        <a:srgbClr val="636363"/>
      </a:accent4>
      <a:accent5>
        <a:srgbClr val="A9CFF5"/>
      </a:accent5>
      <a:accent6>
        <a:srgbClr val="C8C8C8"/>
      </a:accent6>
      <a:hlink>
        <a:srgbClr val="F68C1F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55"/>
  <sheetViews>
    <sheetView showGridLines="0" topLeftCell="A8" zoomScale="70" zoomScaleNormal="70" workbookViewId="0">
      <selection activeCell="A54" sqref="A54"/>
    </sheetView>
  </sheetViews>
  <sheetFormatPr defaultRowHeight="14.25" x14ac:dyDescent="0.2"/>
  <cols>
    <col min="1" max="1" width="24.625" style="1" customWidth="1"/>
    <col min="2" max="2" width="19.25" style="1" customWidth="1"/>
    <col min="3" max="16384" width="9" style="1"/>
  </cols>
  <sheetData>
    <row r="5" spans="1:2" ht="15" x14ac:dyDescent="0.25">
      <c r="B5" s="12" t="s">
        <v>11</v>
      </c>
    </row>
    <row r="7" spans="1:2" x14ac:dyDescent="0.2">
      <c r="A7" s="1" t="s">
        <v>51</v>
      </c>
      <c r="B7" s="1" t="s">
        <v>30</v>
      </c>
    </row>
    <row r="8" spans="1:2" x14ac:dyDescent="0.2">
      <c r="A8" s="1" t="s">
        <v>51</v>
      </c>
      <c r="B8" s="1" t="s">
        <v>24</v>
      </c>
    </row>
    <row r="9" spans="1:2" x14ac:dyDescent="0.2">
      <c r="A9" s="1" t="s">
        <v>51</v>
      </c>
      <c r="B9" s="1" t="s">
        <v>38</v>
      </c>
    </row>
    <row r="10" spans="1:2" x14ac:dyDescent="0.2">
      <c r="A10" s="1" t="s">
        <v>51</v>
      </c>
      <c r="B10" s="1" t="s">
        <v>39</v>
      </c>
    </row>
    <row r="11" spans="1:2" x14ac:dyDescent="0.2">
      <c r="A11" s="1" t="s">
        <v>51</v>
      </c>
      <c r="B11" s="1" t="s">
        <v>47</v>
      </c>
    </row>
    <row r="12" spans="1:2" x14ac:dyDescent="0.2">
      <c r="A12" s="1" t="s">
        <v>51</v>
      </c>
      <c r="B12" s="1" t="s">
        <v>43</v>
      </c>
    </row>
    <row r="13" spans="1:2" x14ac:dyDescent="0.2">
      <c r="A13" s="1" t="s">
        <v>51</v>
      </c>
      <c r="B13" s="1" t="s">
        <v>27</v>
      </c>
    </row>
    <row r="14" spans="1:2" x14ac:dyDescent="0.2">
      <c r="A14" s="1" t="s">
        <v>51</v>
      </c>
      <c r="B14" s="1" t="s">
        <v>35</v>
      </c>
    </row>
    <row r="15" spans="1:2" x14ac:dyDescent="0.2">
      <c r="A15" s="1" t="s">
        <v>51</v>
      </c>
      <c r="B15" s="1" t="s">
        <v>41</v>
      </c>
    </row>
    <row r="16" spans="1:2" ht="15" x14ac:dyDescent="0.25">
      <c r="B16" s="14" t="s">
        <v>40</v>
      </c>
    </row>
    <row r="18" spans="1:8" ht="15" x14ac:dyDescent="0.25">
      <c r="B18" s="12" t="s">
        <v>2</v>
      </c>
    </row>
    <row r="19" spans="1:8" x14ac:dyDescent="0.2">
      <c r="D19" s="2"/>
    </row>
    <row r="20" spans="1:8" x14ac:dyDescent="0.2">
      <c r="B20" s="7" t="s">
        <v>12</v>
      </c>
      <c r="D20" s="2"/>
    </row>
    <row r="21" spans="1:8" x14ac:dyDescent="0.2">
      <c r="A21" s="1" t="s">
        <v>51</v>
      </c>
      <c r="B21" s="1" t="s">
        <v>3</v>
      </c>
      <c r="C21" s="2"/>
      <c r="D21" s="3">
        <v>200</v>
      </c>
      <c r="E21" s="2"/>
    </row>
    <row r="22" spans="1:8" x14ac:dyDescent="0.2">
      <c r="A22" s="1" t="s">
        <v>51</v>
      </c>
      <c r="B22" s="1" t="s">
        <v>0</v>
      </c>
      <c r="C22" s="2"/>
      <c r="D22" s="5">
        <v>0.11</v>
      </c>
      <c r="E22" s="2" t="s">
        <v>9</v>
      </c>
    </row>
    <row r="23" spans="1:8" x14ac:dyDescent="0.2">
      <c r="A23" s="1" t="s">
        <v>51</v>
      </c>
      <c r="B23" s="1" t="s">
        <v>1</v>
      </c>
      <c r="C23" s="2"/>
      <c r="D23" s="5">
        <v>0.5</v>
      </c>
      <c r="E23" s="2" t="s">
        <v>8</v>
      </c>
    </row>
    <row r="24" spans="1:8" x14ac:dyDescent="0.2">
      <c r="A24" s="1" t="s">
        <v>51</v>
      </c>
      <c r="B24" s="1" t="s">
        <v>4</v>
      </c>
      <c r="C24" s="2"/>
      <c r="D24" s="5">
        <v>0.2</v>
      </c>
      <c r="E24" s="2" t="s">
        <v>8</v>
      </c>
      <c r="F24" s="2" t="s">
        <v>49</v>
      </c>
    </row>
    <row r="25" spans="1:8" x14ac:dyDescent="0.2">
      <c r="A25" s="1" t="s">
        <v>51</v>
      </c>
      <c r="B25" s="1" t="s">
        <v>5</v>
      </c>
      <c r="D25" s="5">
        <v>0.12</v>
      </c>
      <c r="E25" s="1" t="s">
        <v>8</v>
      </c>
      <c r="F25" s="8">
        <v>0.11</v>
      </c>
      <c r="H25" s="2"/>
    </row>
    <row r="26" spans="1:8" x14ac:dyDescent="0.2">
      <c r="A26" s="1" t="s">
        <v>51</v>
      </c>
      <c r="B26" s="1" t="s">
        <v>6</v>
      </c>
      <c r="D26" s="5">
        <v>0.08</v>
      </c>
      <c r="E26" s="1" t="s">
        <v>8</v>
      </c>
      <c r="F26" s="5">
        <v>7.0000000000000007E-2</v>
      </c>
      <c r="H26" s="2"/>
    </row>
    <row r="27" spans="1:8" x14ac:dyDescent="0.2">
      <c r="A27" s="1" t="s">
        <v>51</v>
      </c>
      <c r="B27" s="1" t="s">
        <v>7</v>
      </c>
      <c r="D27" s="4">
        <f>D23-D24-D25-D26</f>
        <v>9.9999999999999992E-2</v>
      </c>
      <c r="E27" s="1" t="s">
        <v>8</v>
      </c>
      <c r="F27" s="5">
        <v>0.05</v>
      </c>
      <c r="H27" s="2"/>
    </row>
    <row r="28" spans="1:8" x14ac:dyDescent="0.2">
      <c r="A28" s="1" t="s">
        <v>51</v>
      </c>
      <c r="B28" s="1" t="s">
        <v>10</v>
      </c>
      <c r="C28" s="2"/>
      <c r="D28" s="5">
        <v>0.04</v>
      </c>
      <c r="E28" s="1" t="s">
        <v>8</v>
      </c>
      <c r="G28" s="2"/>
    </row>
    <row r="29" spans="1:8" x14ac:dyDescent="0.2">
      <c r="A29" s="1" t="s">
        <v>51</v>
      </c>
      <c r="B29" s="1" t="s">
        <v>19</v>
      </c>
      <c r="C29" s="2"/>
      <c r="D29" s="5">
        <v>0.3</v>
      </c>
      <c r="E29" s="1" t="s">
        <v>20</v>
      </c>
    </row>
    <row r="30" spans="1:8" x14ac:dyDescent="0.2">
      <c r="C30" s="2"/>
      <c r="D30" s="6"/>
    </row>
    <row r="31" spans="1:8" x14ac:dyDescent="0.2">
      <c r="B31" s="7" t="s">
        <v>13</v>
      </c>
      <c r="C31" s="2"/>
      <c r="D31" s="6"/>
    </row>
    <row r="32" spans="1:8" x14ac:dyDescent="0.2">
      <c r="A32" s="1" t="s">
        <v>51</v>
      </c>
      <c r="B32" s="1" t="s">
        <v>42</v>
      </c>
      <c r="C32" s="2"/>
      <c r="D32" s="3">
        <v>15</v>
      </c>
    </row>
    <row r="33" spans="1:5" x14ac:dyDescent="0.2">
      <c r="A33" s="1" t="s">
        <v>51</v>
      </c>
      <c r="B33" s="1" t="s">
        <v>14</v>
      </c>
      <c r="C33" s="2"/>
      <c r="D33" s="3">
        <v>40</v>
      </c>
      <c r="E33" s="2"/>
    </row>
    <row r="34" spans="1:5" x14ac:dyDescent="0.2">
      <c r="A34" s="1" t="s">
        <v>51</v>
      </c>
      <c r="B34" s="1" t="s">
        <v>15</v>
      </c>
      <c r="C34" s="2"/>
      <c r="D34" s="3">
        <v>10</v>
      </c>
    </row>
    <row r="35" spans="1:5" x14ac:dyDescent="0.2">
      <c r="A35" s="1" t="s">
        <v>51</v>
      </c>
      <c r="B35" s="1" t="s">
        <v>16</v>
      </c>
      <c r="C35" s="2"/>
      <c r="D35" s="3">
        <v>50</v>
      </c>
      <c r="E35" s="2"/>
    </row>
    <row r="36" spans="1:5" x14ac:dyDescent="0.2">
      <c r="A36" s="1" t="s">
        <v>51</v>
      </c>
      <c r="B36" s="1" t="s">
        <v>17</v>
      </c>
      <c r="C36" s="2"/>
      <c r="D36" s="3">
        <v>20</v>
      </c>
    </row>
    <row r="37" spans="1:5" x14ac:dyDescent="0.2">
      <c r="A37" s="1" t="s">
        <v>51</v>
      </c>
      <c r="B37" s="1" t="s">
        <v>18</v>
      </c>
      <c r="C37" s="2"/>
      <c r="D37" s="3">
        <v>20</v>
      </c>
    </row>
    <row r="38" spans="1:5" x14ac:dyDescent="0.2">
      <c r="D38" s="2"/>
    </row>
    <row r="39" spans="1:5" x14ac:dyDescent="0.2">
      <c r="B39" s="7" t="s">
        <v>21</v>
      </c>
      <c r="D39" s="2"/>
    </row>
    <row r="40" spans="1:5" x14ac:dyDescent="0.2">
      <c r="B40" s="15" t="s">
        <v>44</v>
      </c>
      <c r="D40" s="2"/>
    </row>
    <row r="41" spans="1:5" x14ac:dyDescent="0.2">
      <c r="A41" s="1" t="s">
        <v>51</v>
      </c>
      <c r="B41" s="1" t="s">
        <v>22</v>
      </c>
      <c r="C41" s="2"/>
      <c r="D41" s="9">
        <v>7.0000000000000007E-2</v>
      </c>
      <c r="E41" s="2"/>
    </row>
    <row r="42" spans="1:5" x14ac:dyDescent="0.2">
      <c r="A42" s="1" t="s">
        <v>51</v>
      </c>
      <c r="B42" s="1" t="s">
        <v>23</v>
      </c>
      <c r="C42" s="2"/>
      <c r="D42" s="10">
        <v>0.05</v>
      </c>
      <c r="E42" s="2"/>
    </row>
    <row r="43" spans="1:5" x14ac:dyDescent="0.2">
      <c r="A43" s="1" t="s">
        <v>51</v>
      </c>
      <c r="B43" s="1" t="s">
        <v>25</v>
      </c>
      <c r="D43" s="10">
        <v>0.5</v>
      </c>
      <c r="E43" s="1" t="s">
        <v>26</v>
      </c>
    </row>
    <row r="44" spans="1:5" x14ac:dyDescent="0.2">
      <c r="D44" s="16"/>
    </row>
    <row r="45" spans="1:5" x14ac:dyDescent="0.2">
      <c r="B45" s="15" t="s">
        <v>45</v>
      </c>
      <c r="D45" s="16"/>
    </row>
    <row r="46" spans="1:5" x14ac:dyDescent="0.2">
      <c r="A46" s="1" t="s">
        <v>51</v>
      </c>
      <c r="B46" s="1" t="s">
        <v>22</v>
      </c>
      <c r="C46" s="2"/>
      <c r="D46" s="9">
        <v>0.06</v>
      </c>
    </row>
    <row r="47" spans="1:5" x14ac:dyDescent="0.2">
      <c r="A47" s="1" t="s">
        <v>51</v>
      </c>
      <c r="B47" s="1" t="s">
        <v>46</v>
      </c>
      <c r="C47" s="2"/>
      <c r="D47" s="9">
        <v>0.06</v>
      </c>
    </row>
    <row r="48" spans="1:5" x14ac:dyDescent="0.2">
      <c r="A48" s="1" t="s">
        <v>51</v>
      </c>
      <c r="B48" s="1" t="s">
        <v>48</v>
      </c>
      <c r="C48" s="2"/>
      <c r="D48" s="17">
        <f>SUM(D46:D47)</f>
        <v>0.12</v>
      </c>
    </row>
    <row r="49" spans="1:5" x14ac:dyDescent="0.2">
      <c r="D49" s="2"/>
    </row>
    <row r="50" spans="1:5" x14ac:dyDescent="0.2">
      <c r="B50" s="7" t="s">
        <v>28</v>
      </c>
      <c r="D50" s="2"/>
    </row>
    <row r="51" spans="1:5" x14ac:dyDescent="0.2">
      <c r="A51" s="1" t="s">
        <v>51</v>
      </c>
      <c r="B51" s="1" t="s">
        <v>36</v>
      </c>
      <c r="C51" s="2"/>
      <c r="D51" s="11">
        <v>12</v>
      </c>
      <c r="E51" s="1" t="s">
        <v>29</v>
      </c>
    </row>
    <row r="52" spans="1:5" x14ac:dyDescent="0.2">
      <c r="A52" s="1" t="s">
        <v>51</v>
      </c>
      <c r="B52" s="1" t="s">
        <v>37</v>
      </c>
      <c r="C52" s="2"/>
      <c r="D52" s="13">
        <v>11</v>
      </c>
      <c r="E52" s="1" t="s">
        <v>29</v>
      </c>
    </row>
    <row r="53" spans="1:5" x14ac:dyDescent="0.2">
      <c r="A53" s="1" t="s">
        <v>51</v>
      </c>
      <c r="B53" s="1" t="s">
        <v>31</v>
      </c>
      <c r="C53" s="2"/>
      <c r="D53" s="5">
        <v>0.03</v>
      </c>
      <c r="E53" s="2" t="s">
        <v>32</v>
      </c>
    </row>
    <row r="54" spans="1:5" x14ac:dyDescent="0.2">
      <c r="A54" s="1" t="s">
        <v>51</v>
      </c>
      <c r="B54" s="1" t="s">
        <v>33</v>
      </c>
      <c r="C54" s="2"/>
      <c r="D54" s="5">
        <v>0.05</v>
      </c>
      <c r="E54" s="2" t="s">
        <v>34</v>
      </c>
    </row>
    <row r="55" spans="1:5" x14ac:dyDescent="0.2">
      <c r="D55" s="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67"/>
  <sheetViews>
    <sheetView showGridLines="0" tabSelected="1" zoomScale="70" zoomScaleNormal="70" workbookViewId="0">
      <selection activeCell="R23" sqref="R23"/>
    </sheetView>
  </sheetViews>
  <sheetFormatPr defaultColWidth="10.625" defaultRowHeight="14.25" x14ac:dyDescent="0.2"/>
  <cols>
    <col min="1" max="2" width="1.625" customWidth="1"/>
  </cols>
  <sheetData>
    <row r="2" spans="2:20" ht="15" x14ac:dyDescent="0.25">
      <c r="B2" s="24" t="s">
        <v>64</v>
      </c>
      <c r="C2" s="23"/>
      <c r="D2" s="23"/>
      <c r="E2" s="23"/>
      <c r="F2" s="23"/>
      <c r="G2" s="25"/>
      <c r="I2" s="24" t="s">
        <v>72</v>
      </c>
      <c r="J2" s="23"/>
      <c r="K2" s="23"/>
      <c r="L2" s="23"/>
      <c r="M2" s="74" t="s">
        <v>73</v>
      </c>
      <c r="N2" s="23"/>
      <c r="O2" s="25"/>
      <c r="Q2" s="24" t="s">
        <v>192</v>
      </c>
      <c r="R2" s="23"/>
      <c r="S2" s="23"/>
      <c r="T2" s="25"/>
    </row>
    <row r="3" spans="2:20" x14ac:dyDescent="0.2">
      <c r="B3" s="26"/>
      <c r="C3" s="27" t="s">
        <v>60</v>
      </c>
      <c r="D3" s="27"/>
      <c r="E3" s="28">
        <f>+Instructions!D51</f>
        <v>12</v>
      </c>
      <c r="F3" s="27"/>
      <c r="G3" s="29"/>
      <c r="I3" s="26" t="s">
        <v>78</v>
      </c>
      <c r="J3" s="27"/>
      <c r="K3" s="27">
        <f>+K13*I40</f>
        <v>180.18018018018017</v>
      </c>
      <c r="L3" s="27"/>
      <c r="M3" s="27" t="s">
        <v>74</v>
      </c>
      <c r="N3" s="27"/>
      <c r="O3" s="29">
        <f>+E5</f>
        <v>480</v>
      </c>
      <c r="Q3" s="26" t="s">
        <v>194</v>
      </c>
      <c r="R3" s="27"/>
      <c r="S3" s="27"/>
      <c r="T3" s="76">
        <f>+O3/J40</f>
        <v>12</v>
      </c>
    </row>
    <row r="4" spans="2:20" x14ac:dyDescent="0.2">
      <c r="B4" s="26"/>
      <c r="C4" s="27" t="s">
        <v>61</v>
      </c>
      <c r="D4" s="27"/>
      <c r="E4" s="27">
        <f>+J40</f>
        <v>40</v>
      </c>
      <c r="F4" s="27"/>
      <c r="G4" s="29"/>
      <c r="I4" s="26" t="s">
        <v>79</v>
      </c>
      <c r="J4" s="27"/>
      <c r="K4" s="27">
        <f>+K18*I40</f>
        <v>36.036036036036037</v>
      </c>
      <c r="L4" s="27"/>
      <c r="M4" s="27" t="s">
        <v>75</v>
      </c>
      <c r="N4" s="27"/>
      <c r="O4" s="29">
        <f>+$O$3*E8</f>
        <v>4.7999999999999989</v>
      </c>
      <c r="Q4" s="26" t="s">
        <v>193</v>
      </c>
      <c r="R4" s="27"/>
      <c r="S4" s="27"/>
      <c r="T4" s="76">
        <f>+O3/(J40+J126)</f>
        <v>15</v>
      </c>
    </row>
    <row r="5" spans="2:20" x14ac:dyDescent="0.2">
      <c r="B5" s="26"/>
      <c r="C5" s="23" t="s">
        <v>62</v>
      </c>
      <c r="D5" s="23"/>
      <c r="E5" s="23">
        <f>+E4*E3</f>
        <v>480</v>
      </c>
      <c r="F5" s="27"/>
      <c r="G5" s="29"/>
      <c r="I5" s="26" t="s">
        <v>80</v>
      </c>
      <c r="J5" s="27"/>
      <c r="K5" s="27">
        <f>+K7-K3-K4</f>
        <v>293.18378378378384</v>
      </c>
      <c r="L5" s="27"/>
      <c r="M5" s="27" t="s">
        <v>76</v>
      </c>
      <c r="N5" s="27"/>
      <c r="O5" s="29">
        <f>+$O$3*E9</f>
        <v>9.5999999999999979</v>
      </c>
      <c r="Q5" s="26" t="s">
        <v>195</v>
      </c>
      <c r="R5" s="27"/>
      <c r="S5" s="27"/>
      <c r="T5" s="76">
        <f ca="1">+O3/J45</f>
        <v>14.304635761589402</v>
      </c>
    </row>
    <row r="6" spans="2:20" x14ac:dyDescent="0.2">
      <c r="B6" s="26"/>
      <c r="C6" s="27"/>
      <c r="D6" s="27"/>
      <c r="E6" s="27"/>
      <c r="F6" s="27"/>
      <c r="G6" s="29"/>
      <c r="I6" s="26"/>
      <c r="J6" s="27"/>
      <c r="K6" s="27"/>
      <c r="L6" s="27"/>
      <c r="M6" s="27" t="s">
        <v>77</v>
      </c>
      <c r="N6" s="27"/>
      <c r="O6" s="75">
        <f>+Instructions!D32</f>
        <v>15</v>
      </c>
      <c r="Q6" s="26"/>
      <c r="R6" s="27"/>
      <c r="S6" s="27"/>
      <c r="T6" s="29"/>
    </row>
    <row r="7" spans="2:20" x14ac:dyDescent="0.2">
      <c r="B7" s="26"/>
      <c r="C7" s="27" t="s">
        <v>67</v>
      </c>
      <c r="D7" s="27"/>
      <c r="E7" s="30">
        <f>+Instructions!D53</f>
        <v>0.03</v>
      </c>
      <c r="F7" s="27"/>
      <c r="G7" s="29"/>
      <c r="I7" s="39" t="s">
        <v>81</v>
      </c>
      <c r="J7" s="40"/>
      <c r="K7" s="40">
        <f>+O7</f>
        <v>509.40000000000003</v>
      </c>
      <c r="L7" s="33"/>
      <c r="M7" s="40" t="s">
        <v>81</v>
      </c>
      <c r="N7" s="40"/>
      <c r="O7" s="41">
        <f>SUM(O3:O6)</f>
        <v>509.40000000000003</v>
      </c>
      <c r="Q7" s="32" t="s">
        <v>197</v>
      </c>
      <c r="R7" s="33"/>
      <c r="S7" s="33"/>
      <c r="T7" s="50">
        <f ca="1">+(J56+J120+J123)/$O$3</f>
        <v>6.0069444444444432E-2</v>
      </c>
    </row>
    <row r="8" spans="2:20" ht="15" x14ac:dyDescent="0.25">
      <c r="B8" s="26"/>
      <c r="C8" s="27" t="s">
        <v>68</v>
      </c>
      <c r="D8" s="27"/>
      <c r="E8" s="22">
        <f>0.333333333333333*$E$7</f>
        <v>9.9999999999999985E-3</v>
      </c>
      <c r="F8" s="78" t="s">
        <v>70</v>
      </c>
      <c r="G8" s="29"/>
    </row>
    <row r="9" spans="2:20" ht="15" x14ac:dyDescent="0.25">
      <c r="B9" s="26"/>
      <c r="C9" s="27" t="s">
        <v>69</v>
      </c>
      <c r="D9" s="27"/>
      <c r="E9" s="22">
        <f>(2/3)*$E$7</f>
        <v>1.9999999999999997E-2</v>
      </c>
      <c r="F9" s="78" t="s">
        <v>70</v>
      </c>
      <c r="G9" s="29"/>
      <c r="I9" s="24" t="s">
        <v>78</v>
      </c>
      <c r="J9" s="23"/>
      <c r="K9" s="25"/>
      <c r="M9" s="24" t="s">
        <v>198</v>
      </c>
      <c r="N9" s="23"/>
      <c r="O9" s="51">
        <f>+I20</f>
        <v>0</v>
      </c>
      <c r="P9" s="51">
        <f>+O9+1</f>
        <v>1</v>
      </c>
      <c r="Q9" s="51">
        <f t="shared" ref="Q9:T9" si="0">+P9+1</f>
        <v>2</v>
      </c>
      <c r="R9" s="51">
        <f t="shared" si="0"/>
        <v>3</v>
      </c>
      <c r="S9" s="51">
        <f t="shared" si="0"/>
        <v>4</v>
      </c>
      <c r="T9" s="53">
        <f t="shared" si="0"/>
        <v>5</v>
      </c>
    </row>
    <row r="10" spans="2:20" x14ac:dyDescent="0.2">
      <c r="B10" s="26"/>
      <c r="C10" s="27"/>
      <c r="D10" s="27"/>
      <c r="E10" s="27"/>
      <c r="F10" s="27"/>
      <c r="G10" s="29"/>
      <c r="I10" s="26" t="s">
        <v>82</v>
      </c>
      <c r="J10" s="27"/>
      <c r="K10" s="62">
        <f>+Instructions!D41</f>
        <v>7.0000000000000007E-2</v>
      </c>
      <c r="M10" s="26" t="s">
        <v>199</v>
      </c>
      <c r="N10" s="27"/>
      <c r="O10" s="27">
        <f>+I166</f>
        <v>216.2162162162162</v>
      </c>
      <c r="P10" s="27">
        <f t="shared" ref="P10:T10" ca="1" si="1">+J166</f>
        <v>207.99383177515296</v>
      </c>
      <c r="Q10" s="27">
        <f t="shared" ca="1" si="1"/>
        <v>197.12073456239787</v>
      </c>
      <c r="R10" s="27">
        <f t="shared" ca="1" si="1"/>
        <v>182.58513882652755</v>
      </c>
      <c r="S10" s="27">
        <f t="shared" ca="1" si="1"/>
        <v>163.51689819604425</v>
      </c>
      <c r="T10" s="29">
        <f t="shared" ca="1" si="1"/>
        <v>139.06415834199737</v>
      </c>
    </row>
    <row r="11" spans="2:20" ht="15" x14ac:dyDescent="0.25">
      <c r="B11" s="26"/>
      <c r="C11" s="31" t="s">
        <v>63</v>
      </c>
      <c r="D11" s="27"/>
      <c r="E11" s="27"/>
      <c r="F11" s="27"/>
      <c r="G11" s="29"/>
      <c r="I11" s="26" t="s">
        <v>83</v>
      </c>
      <c r="J11" s="27"/>
      <c r="K11" s="62">
        <f>+Instructions!D42</f>
        <v>0.05</v>
      </c>
      <c r="M11" s="26" t="s">
        <v>200</v>
      </c>
      <c r="N11" s="27"/>
      <c r="O11" s="27">
        <f>+I167</f>
        <v>201.2162162162162</v>
      </c>
      <c r="P11" s="27">
        <f t="shared" ref="P11" ca="1" si="2">+J167</f>
        <v>191.61829418093654</v>
      </c>
      <c r="Q11" s="27">
        <f t="shared" ref="Q11" ca="1" si="3">+K167</f>
        <v>177.96475446675993</v>
      </c>
      <c r="R11" s="27">
        <f t="shared" ref="R11" ca="1" si="4">+L167</f>
        <v>159.62914669426087</v>
      </c>
      <c r="S11" s="27">
        <f t="shared" ref="S11" ca="1" si="5">+M167</f>
        <v>135.88249684484023</v>
      </c>
      <c r="T11" s="29">
        <f t="shared" ref="T11" ca="1" si="6">+N167</f>
        <v>105.89074758344596</v>
      </c>
    </row>
    <row r="12" spans="2:20" x14ac:dyDescent="0.2">
      <c r="B12" s="26"/>
      <c r="C12" s="27"/>
      <c r="D12" s="27"/>
      <c r="E12" s="27"/>
      <c r="F12" s="27"/>
      <c r="G12" s="29"/>
      <c r="I12" s="26" t="s">
        <v>84</v>
      </c>
      <c r="J12" s="27"/>
      <c r="K12" s="62">
        <f>+Instructions!D43</f>
        <v>0.5</v>
      </c>
      <c r="M12" s="26" t="s">
        <v>78</v>
      </c>
      <c r="N12" s="27"/>
      <c r="O12" s="27">
        <f>+I75</f>
        <v>180.18018018018017</v>
      </c>
      <c r="P12" s="27">
        <f t="shared" ref="P12:T12" ca="1" si="7">+J75</f>
        <v>169.79563357695474</v>
      </c>
      <c r="Q12" s="27">
        <f t="shared" ca="1" si="7"/>
        <v>156.63064447230778</v>
      </c>
      <c r="R12" s="27">
        <f t="shared" ca="1" si="7"/>
        <v>139.66564333103207</v>
      </c>
      <c r="S12" s="27">
        <f t="shared" ca="1" si="7"/>
        <v>118.02223297081905</v>
      </c>
      <c r="T12" s="29">
        <f t="shared" ca="1" si="7"/>
        <v>90.839813203258615</v>
      </c>
    </row>
    <row r="13" spans="2:20" x14ac:dyDescent="0.2">
      <c r="B13" s="26"/>
      <c r="C13" s="27" t="s">
        <v>66</v>
      </c>
      <c r="D13" s="27"/>
      <c r="E13" s="28">
        <f>+Instructions!D52</f>
        <v>11</v>
      </c>
      <c r="F13" s="27"/>
      <c r="G13" s="29"/>
      <c r="I13" s="26" t="s">
        <v>86</v>
      </c>
      <c r="J13" s="27"/>
      <c r="K13" s="36">
        <v>5</v>
      </c>
      <c r="M13" s="26"/>
      <c r="N13" s="27"/>
      <c r="O13" s="27"/>
      <c r="P13" s="27"/>
      <c r="Q13" s="27"/>
      <c r="R13" s="27"/>
      <c r="S13" s="27"/>
      <c r="T13" s="29"/>
    </row>
    <row r="14" spans="2:20" x14ac:dyDescent="0.2">
      <c r="B14" s="32"/>
      <c r="C14" s="33" t="s">
        <v>71</v>
      </c>
      <c r="D14" s="33"/>
      <c r="E14" s="34">
        <f>+Instructions!D54</f>
        <v>0.05</v>
      </c>
      <c r="F14" s="33"/>
      <c r="G14" s="35"/>
      <c r="I14" s="26"/>
      <c r="J14" s="27"/>
      <c r="K14" s="29"/>
      <c r="M14" s="26" t="s">
        <v>201</v>
      </c>
      <c r="N14" s="27"/>
      <c r="O14" s="77">
        <f>+O10/I40</f>
        <v>5.9999999999999991</v>
      </c>
      <c r="P14" s="77">
        <f t="shared" ref="P14:T14" ca="1" si="8">+P10/J40</f>
        <v>5.1998457943788239</v>
      </c>
      <c r="Q14" s="77">
        <f t="shared" ca="1" si="8"/>
        <v>4.2629916644117181</v>
      </c>
      <c r="R14" s="77">
        <f t="shared" ca="1" si="8"/>
        <v>3.4274643489639334</v>
      </c>
      <c r="S14" s="77">
        <f t="shared" ca="1" si="8"/>
        <v>2.6724225439729743</v>
      </c>
      <c r="T14" s="76">
        <f t="shared" ca="1" si="8"/>
        <v>1.9840660029912376</v>
      </c>
    </row>
    <row r="15" spans="2:20" ht="15" x14ac:dyDescent="0.25">
      <c r="I15" s="72" t="s">
        <v>79</v>
      </c>
      <c r="J15" s="27"/>
      <c r="K15" s="29"/>
      <c r="M15" s="26" t="s">
        <v>202</v>
      </c>
      <c r="N15" s="27"/>
      <c r="O15" s="77">
        <f>+O11/I40</f>
        <v>5.5837499999999993</v>
      </c>
      <c r="P15" s="77">
        <f t="shared" ref="P15:T15" ca="1" si="9">+P11/J40</f>
        <v>4.7904573545234133</v>
      </c>
      <c r="Q15" s="77">
        <f t="shared" ca="1" si="9"/>
        <v>3.8487187384679906</v>
      </c>
      <c r="R15" s="77">
        <f t="shared" ca="1" si="9"/>
        <v>2.996537466666056</v>
      </c>
      <c r="S15" s="77">
        <f t="shared" ca="1" si="9"/>
        <v>2.2207823895002945</v>
      </c>
      <c r="T15" s="76">
        <f t="shared" ca="1" si="9"/>
        <v>1.510771968971053</v>
      </c>
    </row>
    <row r="16" spans="2:20" x14ac:dyDescent="0.2">
      <c r="B16" s="39" t="s">
        <v>163</v>
      </c>
      <c r="C16" s="40"/>
      <c r="D16" s="40"/>
      <c r="E16" s="47">
        <v>1</v>
      </c>
      <c r="I16" s="26" t="s">
        <v>82</v>
      </c>
      <c r="J16" s="27"/>
      <c r="K16" s="62">
        <f>+Instructions!D46</f>
        <v>0.06</v>
      </c>
      <c r="M16" s="26"/>
      <c r="N16" s="27"/>
      <c r="O16" s="27"/>
      <c r="P16" s="27"/>
      <c r="Q16" s="27"/>
      <c r="R16" s="27"/>
      <c r="S16" s="27"/>
      <c r="T16" s="29"/>
    </row>
    <row r="17" spans="1:20" x14ac:dyDescent="0.2">
      <c r="I17" s="26" t="s">
        <v>85</v>
      </c>
      <c r="J17" s="27"/>
      <c r="K17" s="62">
        <f>+Instructions!D47</f>
        <v>0.06</v>
      </c>
      <c r="M17" s="26" t="s">
        <v>203</v>
      </c>
      <c r="N17" s="27"/>
      <c r="O17" s="27"/>
      <c r="P17" s="77">
        <f ca="1">+K45/(J147+J154+J159)*-1</f>
        <v>2.6808790389170483</v>
      </c>
      <c r="Q17" s="77">
        <f t="shared" ref="Q17:T17" ca="1" si="10">+L45/(K147+K154+K159)*-1</f>
        <v>3.2457775881474942</v>
      </c>
      <c r="R17" s="77">
        <f t="shared" ca="1" si="10"/>
        <v>3.9964385230207604</v>
      </c>
      <c r="S17" s="77">
        <f t="shared" ca="1" si="10"/>
        <v>5.0549722384355285</v>
      </c>
      <c r="T17" s="76">
        <f t="shared" ca="1" si="10"/>
        <v>6.6696772977317291</v>
      </c>
    </row>
    <row r="18" spans="1:20" x14ac:dyDescent="0.2">
      <c r="I18" s="32" t="s">
        <v>86</v>
      </c>
      <c r="J18" s="33"/>
      <c r="K18" s="73">
        <v>1</v>
      </c>
      <c r="M18" s="32" t="s">
        <v>205</v>
      </c>
      <c r="N18" s="33"/>
      <c r="O18" s="33"/>
      <c r="P18" s="49">
        <f ca="1">+J124/P11</f>
        <v>0.10312211723784195</v>
      </c>
      <c r="Q18" s="49">
        <f t="shared" ref="Q18:T18" ca="1" si="11">+K124/Q11</f>
        <v>0.13949633836460223</v>
      </c>
      <c r="R18" s="49">
        <f t="shared" ca="1" si="11"/>
        <v>0.19183096453277831</v>
      </c>
      <c r="S18" s="49">
        <f t="shared" ca="1" si="11"/>
        <v>0.27422860518746278</v>
      </c>
      <c r="T18" s="50">
        <f t="shared" ca="1" si="11"/>
        <v>0.42370078102953895</v>
      </c>
    </row>
    <row r="20" spans="1:20" ht="15" x14ac:dyDescent="0.25">
      <c r="B20" s="48"/>
      <c r="C20" s="23"/>
      <c r="D20" s="23"/>
      <c r="E20" s="23"/>
      <c r="F20" s="23"/>
      <c r="G20" s="23"/>
      <c r="H20" s="51" t="s">
        <v>54</v>
      </c>
      <c r="I20" s="52">
        <v>0</v>
      </c>
      <c r="J20" s="51">
        <f>+I20+1</f>
        <v>1</v>
      </c>
      <c r="K20" s="51">
        <f t="shared" ref="K20:O20" si="12">+J20+1</f>
        <v>2</v>
      </c>
      <c r="L20" s="51">
        <f t="shared" si="12"/>
        <v>3</v>
      </c>
      <c r="M20" s="51">
        <f t="shared" si="12"/>
        <v>4</v>
      </c>
      <c r="N20" s="51">
        <f t="shared" si="12"/>
        <v>5</v>
      </c>
      <c r="O20" s="53">
        <f t="shared" si="12"/>
        <v>6</v>
      </c>
    </row>
    <row r="21" spans="1:20" x14ac:dyDescent="0.2">
      <c r="A21" t="s">
        <v>51</v>
      </c>
      <c r="B21" s="26" t="s">
        <v>50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9"/>
    </row>
    <row r="22" spans="1:20" x14ac:dyDescent="0.2">
      <c r="B22" s="26"/>
      <c r="C22" s="27" t="s">
        <v>3</v>
      </c>
      <c r="D22" s="27"/>
      <c r="E22" s="27"/>
      <c r="F22" s="27"/>
      <c r="G22" s="27"/>
      <c r="H22" s="27"/>
      <c r="I22" s="54">
        <f>+J22/(1+J23)</f>
        <v>180.18018018018017</v>
      </c>
      <c r="J22" s="55">
        <f>+Instructions!D21</f>
        <v>200</v>
      </c>
      <c r="K22" s="27">
        <f>+(1+K23)*J22</f>
        <v>222.00000000000003</v>
      </c>
      <c r="L22" s="27">
        <f t="shared" ref="L22:O22" si="13">+(1+L23)*K22</f>
        <v>246.42000000000004</v>
      </c>
      <c r="M22" s="27">
        <f t="shared" si="13"/>
        <v>273.52620000000007</v>
      </c>
      <c r="N22" s="27">
        <f t="shared" si="13"/>
        <v>303.61408200000011</v>
      </c>
      <c r="O22" s="29">
        <f t="shared" si="13"/>
        <v>337.01163102000015</v>
      </c>
    </row>
    <row r="23" spans="1:20" x14ac:dyDescent="0.2">
      <c r="B23" s="26"/>
      <c r="C23" s="56" t="s">
        <v>55</v>
      </c>
      <c r="D23" s="27"/>
      <c r="E23" s="27"/>
      <c r="F23" s="27"/>
      <c r="G23" s="27"/>
      <c r="H23" s="27"/>
      <c r="I23" s="27"/>
      <c r="J23" s="37">
        <f>+K23</f>
        <v>0.11</v>
      </c>
      <c r="K23" s="57">
        <f>+Instructions!D22</f>
        <v>0.11</v>
      </c>
      <c r="L23" s="58">
        <f>+K23</f>
        <v>0.11</v>
      </c>
      <c r="M23" s="58">
        <f t="shared" ref="M23:O23" si="14">+L23</f>
        <v>0.11</v>
      </c>
      <c r="N23" s="58">
        <f t="shared" si="14"/>
        <v>0.11</v>
      </c>
      <c r="O23" s="59">
        <f t="shared" si="14"/>
        <v>0.11</v>
      </c>
      <c r="P23" s="20"/>
    </row>
    <row r="24" spans="1:20" x14ac:dyDescent="0.2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9"/>
    </row>
    <row r="25" spans="1:20" x14ac:dyDescent="0.2">
      <c r="B25" s="26"/>
      <c r="C25" s="27" t="s">
        <v>56</v>
      </c>
      <c r="D25" s="27"/>
      <c r="E25" s="27"/>
      <c r="F25" s="27"/>
      <c r="G25" s="27"/>
      <c r="H25" s="27"/>
      <c r="I25" s="27">
        <f>+I26*I22</f>
        <v>90.090090090090087</v>
      </c>
      <c r="J25" s="27">
        <f>+J26*J22</f>
        <v>100</v>
      </c>
      <c r="K25" s="27">
        <f t="shared" ref="K25:O25" si="15">+K26*K22</f>
        <v>111.00000000000001</v>
      </c>
      <c r="L25" s="27">
        <f t="shared" si="15"/>
        <v>123.21000000000002</v>
      </c>
      <c r="M25" s="27">
        <f t="shared" si="15"/>
        <v>136.76310000000004</v>
      </c>
      <c r="N25" s="27">
        <f t="shared" si="15"/>
        <v>151.80704100000005</v>
      </c>
      <c r="O25" s="29">
        <f t="shared" si="15"/>
        <v>168.50581551000008</v>
      </c>
    </row>
    <row r="26" spans="1:20" x14ac:dyDescent="0.2">
      <c r="B26" s="26"/>
      <c r="C26" s="27" t="s">
        <v>57</v>
      </c>
      <c r="D26" s="27"/>
      <c r="E26" s="27"/>
      <c r="F26" s="27"/>
      <c r="G26" s="27"/>
      <c r="H26" s="27"/>
      <c r="I26" s="37">
        <f>+J26</f>
        <v>0.5</v>
      </c>
      <c r="J26" s="30">
        <f>+Instructions!D23</f>
        <v>0.5</v>
      </c>
      <c r="K26" s="46">
        <f>+J26</f>
        <v>0.5</v>
      </c>
      <c r="L26" s="46">
        <f t="shared" ref="L26:O26" si="16">+K26</f>
        <v>0.5</v>
      </c>
      <c r="M26" s="46">
        <f t="shared" si="16"/>
        <v>0.5</v>
      </c>
      <c r="N26" s="46">
        <f t="shared" si="16"/>
        <v>0.5</v>
      </c>
      <c r="O26" s="60">
        <f t="shared" si="16"/>
        <v>0.5</v>
      </c>
    </row>
    <row r="27" spans="1:20" x14ac:dyDescent="0.2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9"/>
    </row>
    <row r="28" spans="1:20" x14ac:dyDescent="0.2">
      <c r="B28" s="26"/>
      <c r="C28" s="27" t="s">
        <v>5</v>
      </c>
      <c r="D28" s="27"/>
      <c r="E28" s="27"/>
      <c r="F28" s="27"/>
      <c r="G28" s="27"/>
      <c r="H28" s="27"/>
      <c r="I28" s="27"/>
      <c r="J28" s="27">
        <f>+J29*J22*-1</f>
        <v>-24</v>
      </c>
      <c r="K28" s="27">
        <f>+(1+K30)*J28</f>
        <v>-26.64</v>
      </c>
      <c r="L28" s="27">
        <f t="shared" ref="L28:O28" si="17">+(1+L30)*K28</f>
        <v>-29.570400000000003</v>
      </c>
      <c r="M28" s="27">
        <f t="shared" si="17"/>
        <v>-32.823144000000006</v>
      </c>
      <c r="N28" s="27">
        <f t="shared" si="17"/>
        <v>-36.433689840000014</v>
      </c>
      <c r="O28" s="29">
        <f t="shared" si="17"/>
        <v>-40.441395722400017</v>
      </c>
    </row>
    <row r="29" spans="1:20" x14ac:dyDescent="0.2">
      <c r="B29" s="26"/>
      <c r="C29" s="27" t="s">
        <v>58</v>
      </c>
      <c r="D29" s="27"/>
      <c r="E29" s="27"/>
      <c r="F29" s="27"/>
      <c r="G29" s="27"/>
      <c r="H29" s="27"/>
      <c r="I29" s="27"/>
      <c r="J29" s="30">
        <f>+Instructions!D25</f>
        <v>0.12</v>
      </c>
      <c r="K29" s="46">
        <f>+K28/K22*-1</f>
        <v>0.11999999999999998</v>
      </c>
      <c r="L29" s="46">
        <f t="shared" ref="L29:O29" si="18">+L28/L22*-1</f>
        <v>0.12</v>
      </c>
      <c r="M29" s="46">
        <f t="shared" si="18"/>
        <v>0.12</v>
      </c>
      <c r="N29" s="46">
        <f t="shared" si="18"/>
        <v>0.12</v>
      </c>
      <c r="O29" s="60">
        <f t="shared" si="18"/>
        <v>0.12</v>
      </c>
    </row>
    <row r="30" spans="1:20" x14ac:dyDescent="0.2">
      <c r="B30" s="26"/>
      <c r="C30" s="56" t="s">
        <v>55</v>
      </c>
      <c r="D30" s="27"/>
      <c r="E30" s="27"/>
      <c r="F30" s="27"/>
      <c r="G30" s="27"/>
      <c r="H30" s="27"/>
      <c r="I30" s="27"/>
      <c r="J30" s="30"/>
      <c r="K30" s="57">
        <f>+Instructions!$F$25</f>
        <v>0.11</v>
      </c>
      <c r="L30" s="57">
        <f>+Instructions!$F$25</f>
        <v>0.11</v>
      </c>
      <c r="M30" s="57">
        <f>+Instructions!$F$25</f>
        <v>0.11</v>
      </c>
      <c r="N30" s="57">
        <f>+Instructions!$F$25</f>
        <v>0.11</v>
      </c>
      <c r="O30" s="61">
        <f>+Instructions!$F$25</f>
        <v>0.11</v>
      </c>
      <c r="P30" s="20"/>
    </row>
    <row r="31" spans="1:20" x14ac:dyDescent="0.2">
      <c r="B31" s="26"/>
      <c r="C31" s="27"/>
      <c r="D31" s="27"/>
      <c r="E31" s="27"/>
      <c r="F31" s="27"/>
      <c r="G31" s="27"/>
      <c r="H31" s="27"/>
      <c r="I31" s="27"/>
      <c r="J31" s="30"/>
      <c r="K31" s="30"/>
      <c r="L31" s="30"/>
      <c r="M31" s="30"/>
      <c r="N31" s="30"/>
      <c r="O31" s="62"/>
    </row>
    <row r="32" spans="1:20" x14ac:dyDescent="0.2">
      <c r="B32" s="26"/>
      <c r="C32" s="27" t="s">
        <v>6</v>
      </c>
      <c r="D32" s="27"/>
      <c r="E32" s="27"/>
      <c r="F32" s="27"/>
      <c r="G32" s="27"/>
      <c r="H32" s="27"/>
      <c r="I32" s="27"/>
      <c r="J32" s="27">
        <f>+J33*J22*-1</f>
        <v>-16</v>
      </c>
      <c r="K32" s="27">
        <f>+(1+K34)*J32</f>
        <v>-17.12</v>
      </c>
      <c r="L32" s="27">
        <f t="shared" ref="L32:O32" si="19">+(1+L34)*K32</f>
        <v>-18.3184</v>
      </c>
      <c r="M32" s="27">
        <f t="shared" si="19"/>
        <v>-19.600688000000002</v>
      </c>
      <c r="N32" s="27">
        <f t="shared" si="19"/>
        <v>-20.972736160000004</v>
      </c>
      <c r="O32" s="29">
        <f t="shared" si="19"/>
        <v>-22.440827691200006</v>
      </c>
    </row>
    <row r="33" spans="2:16" x14ac:dyDescent="0.2">
      <c r="B33" s="26"/>
      <c r="C33" s="27" t="s">
        <v>58</v>
      </c>
      <c r="D33" s="27"/>
      <c r="E33" s="27"/>
      <c r="F33" s="27"/>
      <c r="G33" s="27"/>
      <c r="H33" s="27"/>
      <c r="I33" s="27"/>
      <c r="J33" s="30">
        <f>+Instructions!D26</f>
        <v>0.08</v>
      </c>
      <c r="K33" s="46">
        <f>+K32/K22*-1</f>
        <v>7.7117117117117107E-2</v>
      </c>
      <c r="L33" s="46">
        <f t="shared" ref="L33:O33" si="20">+L32/L22*-1</f>
        <v>7.4338121905689461E-2</v>
      </c>
      <c r="M33" s="46">
        <f t="shared" si="20"/>
        <v>7.1659270665844793E-2</v>
      </c>
      <c r="N33" s="46">
        <f t="shared" si="20"/>
        <v>6.9076954605814353E-2</v>
      </c>
      <c r="O33" s="60">
        <f t="shared" si="20"/>
        <v>6.65876949803796E-2</v>
      </c>
      <c r="P33" s="19"/>
    </row>
    <row r="34" spans="2:16" x14ac:dyDescent="0.2">
      <c r="B34" s="26"/>
      <c r="C34" s="56" t="s">
        <v>55</v>
      </c>
      <c r="D34" s="27"/>
      <c r="E34" s="27"/>
      <c r="F34" s="27"/>
      <c r="G34" s="27"/>
      <c r="H34" s="27"/>
      <c r="I34" s="27"/>
      <c r="J34" s="30"/>
      <c r="K34" s="57">
        <f>+Instructions!$F$26</f>
        <v>7.0000000000000007E-2</v>
      </c>
      <c r="L34" s="57">
        <f>+Instructions!$F$26</f>
        <v>7.0000000000000007E-2</v>
      </c>
      <c r="M34" s="57">
        <f>+Instructions!$F$26</f>
        <v>7.0000000000000007E-2</v>
      </c>
      <c r="N34" s="57">
        <f>+Instructions!$F$26</f>
        <v>7.0000000000000007E-2</v>
      </c>
      <c r="O34" s="61">
        <f>+Instructions!$F$26</f>
        <v>7.0000000000000007E-2</v>
      </c>
      <c r="P34" s="21"/>
    </row>
    <row r="35" spans="2:16" x14ac:dyDescent="0.2">
      <c r="B35" s="26"/>
      <c r="C35" s="27"/>
      <c r="D35" s="27"/>
      <c r="E35" s="27"/>
      <c r="F35" s="27"/>
      <c r="G35" s="27"/>
      <c r="H35" s="27"/>
      <c r="I35" s="27"/>
      <c r="J35" s="30"/>
      <c r="K35" s="30"/>
      <c r="L35" s="30"/>
      <c r="M35" s="30"/>
      <c r="N35" s="30"/>
      <c r="O35" s="62"/>
      <c r="P35" s="19"/>
    </row>
    <row r="36" spans="2:16" x14ac:dyDescent="0.2">
      <c r="B36" s="26"/>
      <c r="C36" s="27" t="s">
        <v>7</v>
      </c>
      <c r="D36" s="27"/>
      <c r="E36" s="27"/>
      <c r="F36" s="27"/>
      <c r="G36" s="27"/>
      <c r="H36" s="27"/>
      <c r="I36" s="27"/>
      <c r="J36" s="27">
        <f>+J37*J22*-1</f>
        <v>-20</v>
      </c>
      <c r="K36" s="27">
        <f>+(1+K38)*J36</f>
        <v>-21</v>
      </c>
      <c r="L36" s="27">
        <f t="shared" ref="L36:O36" si="21">+(1+L38)*K36</f>
        <v>-22.05</v>
      </c>
      <c r="M36" s="27">
        <f t="shared" si="21"/>
        <v>-23.152500000000003</v>
      </c>
      <c r="N36" s="27">
        <f t="shared" si="21"/>
        <v>-24.310125000000003</v>
      </c>
      <c r="O36" s="29">
        <f t="shared" si="21"/>
        <v>-25.525631250000004</v>
      </c>
    </row>
    <row r="37" spans="2:16" x14ac:dyDescent="0.2">
      <c r="B37" s="26"/>
      <c r="C37" s="27" t="s">
        <v>58</v>
      </c>
      <c r="D37" s="27"/>
      <c r="E37" s="27"/>
      <c r="F37" s="27"/>
      <c r="G37" s="27"/>
      <c r="H37" s="27"/>
      <c r="I37" s="27"/>
      <c r="J37" s="30">
        <f>+Instructions!D27</f>
        <v>9.9999999999999992E-2</v>
      </c>
      <c r="K37" s="46">
        <f>+K36/K22*-1</f>
        <v>9.4594594594594586E-2</v>
      </c>
      <c r="L37" s="46">
        <f t="shared" ref="L37:O37" si="22">+L36/L22*-1</f>
        <v>8.9481373265157038E-2</v>
      </c>
      <c r="M37" s="46">
        <f t="shared" si="22"/>
        <v>8.4644542277851245E-2</v>
      </c>
      <c r="N37" s="46">
        <f t="shared" si="22"/>
        <v>8.0069161614183607E-2</v>
      </c>
      <c r="O37" s="60">
        <f t="shared" si="22"/>
        <v>7.5741098824227734E-2</v>
      </c>
    </row>
    <row r="38" spans="2:16" x14ac:dyDescent="0.2">
      <c r="B38" s="26"/>
      <c r="C38" s="56" t="s">
        <v>55</v>
      </c>
      <c r="D38" s="27"/>
      <c r="E38" s="27"/>
      <c r="F38" s="27"/>
      <c r="G38" s="27"/>
      <c r="H38" s="27"/>
      <c r="I38" s="27"/>
      <c r="J38" s="27"/>
      <c r="K38" s="57">
        <f>+Instructions!$F$27</f>
        <v>0.05</v>
      </c>
      <c r="L38" s="57">
        <f>+Instructions!$F$27</f>
        <v>0.05</v>
      </c>
      <c r="M38" s="57">
        <f>+Instructions!$F$27</f>
        <v>0.05</v>
      </c>
      <c r="N38" s="57">
        <f>+Instructions!$F$27</f>
        <v>0.05</v>
      </c>
      <c r="O38" s="61">
        <f>+Instructions!$F$27</f>
        <v>0.05</v>
      </c>
    </row>
    <row r="39" spans="2:16" x14ac:dyDescent="0.2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9"/>
    </row>
    <row r="40" spans="2:16" x14ac:dyDescent="0.2">
      <c r="B40" s="26"/>
      <c r="C40" s="27" t="s">
        <v>59</v>
      </c>
      <c r="D40" s="27"/>
      <c r="E40" s="27"/>
      <c r="F40" s="27"/>
      <c r="G40" s="27"/>
      <c r="H40" s="27"/>
      <c r="I40" s="54">
        <f>+I41*I22</f>
        <v>36.036036036036037</v>
      </c>
      <c r="J40" s="27">
        <f>+J36+J32+J28+J25</f>
        <v>40</v>
      </c>
      <c r="K40" s="27">
        <f t="shared" ref="K40:O40" si="23">+K36+K32+K28+K25</f>
        <v>46.240000000000009</v>
      </c>
      <c r="L40" s="27">
        <f t="shared" si="23"/>
        <v>53.271200000000022</v>
      </c>
      <c r="M40" s="27">
        <f t="shared" si="23"/>
        <v>61.186768000000029</v>
      </c>
      <c r="N40" s="27">
        <f t="shared" si="23"/>
        <v>70.090490000000031</v>
      </c>
      <c r="O40" s="29">
        <f t="shared" si="23"/>
        <v>80.097960846400042</v>
      </c>
    </row>
    <row r="41" spans="2:16" x14ac:dyDescent="0.2">
      <c r="B41" s="26"/>
      <c r="C41" s="27" t="s">
        <v>57</v>
      </c>
      <c r="D41" s="27"/>
      <c r="E41" s="27"/>
      <c r="F41" s="27"/>
      <c r="G41" s="27"/>
      <c r="H41" s="27"/>
      <c r="I41" s="37">
        <f>+J41</f>
        <v>0.2</v>
      </c>
      <c r="J41" s="46">
        <f>+J40/J22</f>
        <v>0.2</v>
      </c>
      <c r="K41" s="46">
        <f t="shared" ref="K41:O41" si="24">+K40/K22</f>
        <v>0.2082882882882883</v>
      </c>
      <c r="L41" s="46">
        <f t="shared" si="24"/>
        <v>0.21618050482915352</v>
      </c>
      <c r="M41" s="46">
        <f t="shared" si="24"/>
        <v>0.22369618705630398</v>
      </c>
      <c r="N41" s="46">
        <f t="shared" si="24"/>
        <v>0.23085388378000202</v>
      </c>
      <c r="O41" s="60">
        <f t="shared" si="24"/>
        <v>0.23767120619539264</v>
      </c>
    </row>
    <row r="42" spans="2:16" x14ac:dyDescent="0.2">
      <c r="B42" s="26"/>
      <c r="C42" s="27"/>
      <c r="D42" s="27"/>
      <c r="E42" s="27"/>
      <c r="F42" s="27"/>
      <c r="G42" s="27"/>
      <c r="H42" s="27"/>
      <c r="I42" s="37"/>
      <c r="J42" s="46"/>
      <c r="K42" s="46"/>
      <c r="L42" s="46"/>
      <c r="M42" s="46"/>
      <c r="N42" s="46"/>
      <c r="O42" s="60"/>
    </row>
    <row r="43" spans="2:16" x14ac:dyDescent="0.2">
      <c r="B43" s="26"/>
      <c r="C43" s="27" t="s">
        <v>111</v>
      </c>
      <c r="D43" s="27"/>
      <c r="E43" s="27"/>
      <c r="F43" s="27"/>
      <c r="G43" s="27"/>
      <c r="H43" s="27"/>
      <c r="I43" s="37"/>
      <c r="J43" s="27">
        <f ca="1">+J104</f>
        <v>-6.4444444444444446</v>
      </c>
      <c r="K43" s="27">
        <f t="shared" ref="K43:O43" ca="1" si="25">+K104</f>
        <v>-7.431111111111111</v>
      </c>
      <c r="L43" s="27">
        <f t="shared" ca="1" si="25"/>
        <v>-8.5263111111111112</v>
      </c>
      <c r="M43" s="27">
        <f t="shared" ca="1" si="25"/>
        <v>-9.7419831111111108</v>
      </c>
      <c r="N43" s="27">
        <f t="shared" ca="1" si="25"/>
        <v>-11.091379031111112</v>
      </c>
      <c r="O43" s="29">
        <f t="shared" ca="1" si="25"/>
        <v>-12.589208502311113</v>
      </c>
    </row>
    <row r="44" spans="2:16" x14ac:dyDescent="0.2">
      <c r="B44" s="26"/>
      <c r="C44" s="27"/>
      <c r="D44" s="27"/>
      <c r="E44" s="27"/>
      <c r="F44" s="27"/>
      <c r="G44" s="27"/>
      <c r="H44" s="27"/>
      <c r="I44" s="37"/>
      <c r="J44" s="46"/>
      <c r="K44" s="46"/>
      <c r="L44" s="46"/>
      <c r="M44" s="46"/>
      <c r="N44" s="46"/>
      <c r="O44" s="60"/>
    </row>
    <row r="45" spans="2:16" x14ac:dyDescent="0.2">
      <c r="B45" s="26"/>
      <c r="C45" s="27" t="s">
        <v>112</v>
      </c>
      <c r="D45" s="27"/>
      <c r="E45" s="27"/>
      <c r="F45" s="27"/>
      <c r="G45" s="27"/>
      <c r="H45" s="27"/>
      <c r="I45" s="37"/>
      <c r="J45" s="27">
        <f ca="1">+J40+J43</f>
        <v>33.555555555555557</v>
      </c>
      <c r="K45" s="27">
        <f t="shared" ref="K45:O45" ca="1" si="26">+K40+K43</f>
        <v>38.808888888888902</v>
      </c>
      <c r="L45" s="27">
        <f t="shared" ca="1" si="26"/>
        <v>44.744888888888909</v>
      </c>
      <c r="M45" s="27">
        <f t="shared" ca="1" si="26"/>
        <v>51.444784888888918</v>
      </c>
      <c r="N45" s="27">
        <f t="shared" ca="1" si="26"/>
        <v>58.999110968888921</v>
      </c>
      <c r="O45" s="29">
        <f t="shared" ca="1" si="26"/>
        <v>67.508752344088933</v>
      </c>
    </row>
    <row r="46" spans="2:16" x14ac:dyDescent="0.2">
      <c r="B46" s="26"/>
      <c r="C46" s="27"/>
      <c r="D46" s="27"/>
      <c r="E46" s="27"/>
      <c r="F46" s="27"/>
      <c r="G46" s="27"/>
      <c r="H46" s="27"/>
      <c r="I46" s="37"/>
      <c r="J46" s="27"/>
      <c r="K46" s="27"/>
      <c r="L46" s="27"/>
      <c r="M46" s="27"/>
      <c r="N46" s="27"/>
      <c r="O46" s="29"/>
    </row>
    <row r="47" spans="2:16" x14ac:dyDescent="0.2">
      <c r="B47" s="26"/>
      <c r="C47" s="27" t="s">
        <v>127</v>
      </c>
      <c r="D47" s="27"/>
      <c r="E47" s="27"/>
      <c r="F47" s="27"/>
      <c r="G47" s="27"/>
      <c r="H47" s="27"/>
      <c r="I47" s="37"/>
      <c r="J47" s="27">
        <f ca="1">+IF(circ=1, J147+J154+J159+J160, 0)</f>
        <v>-16.638342670688914</v>
      </c>
      <c r="K47" s="27">
        <f ca="1">+IF(circ=1, K147+K154+K159+K160, 0)</f>
        <v>-16.07746027226473</v>
      </c>
      <c r="L47" s="27">
        <f ca="1">+IF(circ=1, L147+L154+L159+L160, 0)</f>
        <v>-15.302063046089867</v>
      </c>
      <c r="M47" s="27">
        <f ca="1">+IF(circ=1, M147+M154+M159+M160, 0)</f>
        <v>-14.246670221916142</v>
      </c>
      <c r="N47" s="27">
        <f ca="1">+IF(circ=1, N147+N154+N159+N160, 0)</f>
        <v>-12.851421840525152</v>
      </c>
      <c r="O47" s="29">
        <f ca="1">+IF(circ=1, O147+O154+O159+O160, 0)</f>
        <v>-11.055465856737676</v>
      </c>
    </row>
    <row r="48" spans="2:16" x14ac:dyDescent="0.2">
      <c r="B48" s="26"/>
      <c r="C48" s="27" t="s">
        <v>128</v>
      </c>
      <c r="D48" s="27"/>
      <c r="E48" s="27"/>
      <c r="F48" s="27"/>
      <c r="G48" s="27"/>
      <c r="H48" s="27"/>
      <c r="I48" s="37"/>
      <c r="J48" s="27">
        <f>+J99</f>
        <v>-1.3714285714285712</v>
      </c>
      <c r="K48" s="27">
        <f t="shared" ref="K48:O48" si="27">+K99</f>
        <v>-1.3714285714285712</v>
      </c>
      <c r="L48" s="27">
        <f t="shared" si="27"/>
        <v>-1.3714285714285712</v>
      </c>
      <c r="M48" s="27">
        <f t="shared" si="27"/>
        <v>-1.3714285714285712</v>
      </c>
      <c r="N48" s="27">
        <f t="shared" si="27"/>
        <v>-1.3714285714285712</v>
      </c>
      <c r="O48" s="29">
        <f t="shared" si="27"/>
        <v>-1.3714285714285712</v>
      </c>
    </row>
    <row r="49" spans="1:15" x14ac:dyDescent="0.2">
      <c r="B49" s="26"/>
      <c r="C49" s="27"/>
      <c r="D49" s="27"/>
      <c r="E49" s="27"/>
      <c r="F49" s="27"/>
      <c r="G49" s="27"/>
      <c r="H49" s="27"/>
      <c r="I49" s="37"/>
      <c r="J49" s="27"/>
      <c r="K49" s="27"/>
      <c r="L49" s="27"/>
      <c r="M49" s="27"/>
      <c r="N49" s="27"/>
      <c r="O49" s="29"/>
    </row>
    <row r="50" spans="1:15" x14ac:dyDescent="0.2">
      <c r="B50" s="26"/>
      <c r="C50" s="27" t="s">
        <v>129</v>
      </c>
      <c r="D50" s="27"/>
      <c r="E50" s="27"/>
      <c r="F50" s="27"/>
      <c r="G50" s="27"/>
      <c r="H50" s="27"/>
      <c r="I50" s="37"/>
      <c r="J50" s="27">
        <f ca="1">+J48+J47+J45</f>
        <v>15.545784313438073</v>
      </c>
      <c r="K50" s="27">
        <f t="shared" ref="K50:O50" ca="1" si="28">+K48+K47+K45</f>
        <v>21.360000045195601</v>
      </c>
      <c r="L50" s="27">
        <f t="shared" ca="1" si="28"/>
        <v>28.071397271370472</v>
      </c>
      <c r="M50" s="27">
        <f t="shared" ca="1" si="28"/>
        <v>35.826686095544204</v>
      </c>
      <c r="N50" s="27">
        <f t="shared" ca="1" si="28"/>
        <v>44.776260556935199</v>
      </c>
      <c r="O50" s="29">
        <f t="shared" ca="1" si="28"/>
        <v>55.081857915922683</v>
      </c>
    </row>
    <row r="51" spans="1:15" x14ac:dyDescent="0.2">
      <c r="B51" s="26"/>
      <c r="C51" s="27"/>
      <c r="D51" s="27"/>
      <c r="E51" s="27"/>
      <c r="F51" s="27"/>
      <c r="G51" s="27"/>
      <c r="H51" s="27"/>
      <c r="I51" s="37"/>
      <c r="J51" s="27"/>
      <c r="K51" s="27"/>
      <c r="L51" s="27"/>
      <c r="M51" s="27"/>
      <c r="N51" s="27"/>
      <c r="O51" s="29"/>
    </row>
    <row r="52" spans="1:15" x14ac:dyDescent="0.2">
      <c r="B52" s="26"/>
      <c r="C52" s="27" t="s">
        <v>130</v>
      </c>
      <c r="D52" s="27"/>
      <c r="E52" s="27"/>
      <c r="F52" s="27"/>
      <c r="G52" s="27"/>
      <c r="H52" s="27"/>
      <c r="I52" s="37"/>
      <c r="J52" s="30">
        <f>+Instructions!$D$29</f>
        <v>0.3</v>
      </c>
      <c r="K52" s="30">
        <f>+Instructions!$D$29</f>
        <v>0.3</v>
      </c>
      <c r="L52" s="30">
        <f>+Instructions!$D$29</f>
        <v>0.3</v>
      </c>
      <c r="M52" s="30">
        <f>+Instructions!$D$29</f>
        <v>0.3</v>
      </c>
      <c r="N52" s="30">
        <f>+Instructions!$D$29</f>
        <v>0.3</v>
      </c>
      <c r="O52" s="62">
        <f>+Instructions!$D$29</f>
        <v>0.3</v>
      </c>
    </row>
    <row r="53" spans="1:15" x14ac:dyDescent="0.2">
      <c r="B53" s="26"/>
      <c r="C53" s="27"/>
      <c r="D53" s="27"/>
      <c r="E53" s="27"/>
      <c r="F53" s="27"/>
      <c r="G53" s="27"/>
      <c r="H53" s="27"/>
      <c r="I53" s="37"/>
      <c r="J53" s="30"/>
      <c r="K53" s="30"/>
      <c r="L53" s="30"/>
      <c r="M53" s="30"/>
      <c r="N53" s="30"/>
      <c r="O53" s="62"/>
    </row>
    <row r="54" spans="1:15" x14ac:dyDescent="0.2">
      <c r="B54" s="26"/>
      <c r="C54" s="27" t="s">
        <v>131</v>
      </c>
      <c r="D54" s="27"/>
      <c r="E54" s="27"/>
      <c r="F54" s="27"/>
      <c r="G54" s="27"/>
      <c r="H54" s="27"/>
      <c r="I54" s="37"/>
      <c r="J54" s="27">
        <f ca="1">+J50*(1-J52)</f>
        <v>10.882049019406651</v>
      </c>
      <c r="K54" s="27">
        <f t="shared" ref="K54:O54" ca="1" si="29">+K50*(1-K52)</f>
        <v>14.952000031636921</v>
      </c>
      <c r="L54" s="27">
        <f t="shared" ca="1" si="29"/>
        <v>19.64997808995933</v>
      </c>
      <c r="M54" s="27">
        <f t="shared" ca="1" si="29"/>
        <v>25.078680266880941</v>
      </c>
      <c r="N54" s="27">
        <f t="shared" ca="1" si="29"/>
        <v>31.343382389854636</v>
      </c>
      <c r="O54" s="29">
        <f t="shared" ca="1" si="29"/>
        <v>38.557300541145878</v>
      </c>
    </row>
    <row r="55" spans="1:15" x14ac:dyDescent="0.2">
      <c r="B55" s="26"/>
      <c r="C55" s="27"/>
      <c r="D55" s="27"/>
      <c r="E55" s="27"/>
      <c r="F55" s="27"/>
      <c r="G55" s="27"/>
      <c r="H55" s="27"/>
      <c r="I55" s="37"/>
      <c r="J55" s="27"/>
      <c r="K55" s="27"/>
      <c r="L55" s="27"/>
      <c r="M55" s="27"/>
      <c r="N55" s="27"/>
      <c r="O55" s="29"/>
    </row>
    <row r="56" spans="1:15" x14ac:dyDescent="0.2">
      <c r="B56" s="32"/>
      <c r="C56" s="33" t="s">
        <v>196</v>
      </c>
      <c r="D56" s="33"/>
      <c r="E56" s="33"/>
      <c r="F56" s="33"/>
      <c r="G56" s="33"/>
      <c r="H56" s="33"/>
      <c r="I56" s="63"/>
      <c r="J56" s="33">
        <f ca="1">+J45*(1-J52)</f>
        <v>23.488888888888887</v>
      </c>
      <c r="K56" s="33">
        <f t="shared" ref="K56:O56" ca="1" si="30">+K45*(1-K52)</f>
        <v>27.166222222222231</v>
      </c>
      <c r="L56" s="33">
        <f t="shared" ca="1" si="30"/>
        <v>31.321422222222235</v>
      </c>
      <c r="M56" s="33">
        <f t="shared" ca="1" si="30"/>
        <v>36.011349422222239</v>
      </c>
      <c r="N56" s="33">
        <f t="shared" ca="1" si="30"/>
        <v>41.299377678222243</v>
      </c>
      <c r="O56" s="35">
        <f t="shared" ca="1" si="30"/>
        <v>47.256126640862249</v>
      </c>
    </row>
    <row r="58" spans="1:15" ht="15" x14ac:dyDescent="0.25">
      <c r="A58" t="s">
        <v>51</v>
      </c>
      <c r="B58" s="24" t="s">
        <v>52</v>
      </c>
      <c r="C58" s="23"/>
      <c r="D58" s="23"/>
      <c r="E58" s="23"/>
      <c r="F58" s="51" t="s">
        <v>191</v>
      </c>
      <c r="G58" s="64" t="s">
        <v>90</v>
      </c>
      <c r="H58" s="64" t="s">
        <v>91</v>
      </c>
      <c r="I58" s="51">
        <f>+I$20</f>
        <v>0</v>
      </c>
      <c r="J58" s="51">
        <f t="shared" ref="J58:O58" si="31">+J$20</f>
        <v>1</v>
      </c>
      <c r="K58" s="51">
        <f t="shared" si="31"/>
        <v>2</v>
      </c>
      <c r="L58" s="51">
        <f t="shared" si="31"/>
        <v>3</v>
      </c>
      <c r="M58" s="51">
        <f t="shared" si="31"/>
        <v>4</v>
      </c>
      <c r="N58" s="51">
        <f t="shared" si="31"/>
        <v>5</v>
      </c>
      <c r="O58" s="53">
        <f t="shared" si="31"/>
        <v>6</v>
      </c>
    </row>
    <row r="59" spans="1:15" x14ac:dyDescent="0.2">
      <c r="B59" s="26"/>
      <c r="C59" s="27" t="s">
        <v>53</v>
      </c>
      <c r="D59" s="27"/>
      <c r="E59" s="27"/>
      <c r="F59" s="18">
        <v>0</v>
      </c>
      <c r="G59" s="65">
        <f>+O6</f>
        <v>15</v>
      </c>
      <c r="H59" s="65"/>
      <c r="I59" s="54">
        <f>+F59+G59-H59</f>
        <v>15</v>
      </c>
      <c r="J59" s="66">
        <f ca="1">+J164</f>
        <v>16.375537594216411</v>
      </c>
      <c r="K59" s="66">
        <f t="shared" ref="K59:O59" ca="1" si="32">+K164</f>
        <v>19.15598009563795</v>
      </c>
      <c r="L59" s="66">
        <f t="shared" ca="1" si="32"/>
        <v>22.95599213226668</v>
      </c>
      <c r="M59" s="66">
        <f t="shared" ca="1" si="32"/>
        <v>27.634401351204012</v>
      </c>
      <c r="N59" s="66">
        <f t="shared" ca="1" si="32"/>
        <v>33.173410758551412</v>
      </c>
      <c r="O59" s="67">
        <f t="shared" ca="1" si="32"/>
        <v>39.620885430671137</v>
      </c>
    </row>
    <row r="60" spans="1:15" x14ac:dyDescent="0.2">
      <c r="B60" s="26"/>
      <c r="C60" s="27" t="s">
        <v>87</v>
      </c>
      <c r="D60" s="27"/>
      <c r="E60" s="27"/>
      <c r="F60" s="55">
        <f>+Instructions!D33</f>
        <v>40</v>
      </c>
      <c r="G60" s="65"/>
      <c r="H60" s="65"/>
      <c r="I60" s="54">
        <f t="shared" ref="I60:I61" si="33">+F60+G60-H60</f>
        <v>40</v>
      </c>
      <c r="J60" s="27">
        <f>+J93/365*J22</f>
        <v>44.4</v>
      </c>
      <c r="K60" s="27">
        <f>+K93/365*K22</f>
        <v>49.284000000000006</v>
      </c>
      <c r="L60" s="27">
        <f>+L93/365*L22</f>
        <v>54.705240000000011</v>
      </c>
      <c r="M60" s="27">
        <f>+M93/365*M22</f>
        <v>60.722816400000021</v>
      </c>
      <c r="N60" s="27">
        <f>+N93/365*N22</f>
        <v>67.402326204000019</v>
      </c>
      <c r="O60" s="29">
        <f>+O93/365*O22</f>
        <v>74.816582086440036</v>
      </c>
    </row>
    <row r="61" spans="1:15" x14ac:dyDescent="0.2">
      <c r="B61" s="26"/>
      <c r="C61" s="27" t="s">
        <v>88</v>
      </c>
      <c r="D61" s="27"/>
      <c r="E61" s="27"/>
      <c r="F61" s="55">
        <f>+Instructions!D34</f>
        <v>10</v>
      </c>
      <c r="G61" s="65"/>
      <c r="H61" s="65"/>
      <c r="I61" s="54">
        <f t="shared" si="33"/>
        <v>10</v>
      </c>
      <c r="J61" s="27">
        <f>+J94*J22</f>
        <v>11.1</v>
      </c>
      <c r="K61" s="27">
        <f>+K94*K22</f>
        <v>12.321000000000002</v>
      </c>
      <c r="L61" s="27">
        <f>+L94*L22</f>
        <v>13.676310000000003</v>
      </c>
      <c r="M61" s="27">
        <f>+M94*M22</f>
        <v>15.180704100000005</v>
      </c>
      <c r="N61" s="27">
        <f>+N94*N22</f>
        <v>16.850581551000005</v>
      </c>
      <c r="O61" s="29">
        <f>+O94*O22</f>
        <v>18.704145521610009</v>
      </c>
    </row>
    <row r="62" spans="1:15" x14ac:dyDescent="0.2">
      <c r="B62" s="26"/>
      <c r="C62" s="27" t="s">
        <v>89</v>
      </c>
      <c r="D62" s="27"/>
      <c r="E62" s="27"/>
      <c r="F62" s="23">
        <f>SUM(F59:F61)</f>
        <v>50</v>
      </c>
      <c r="G62" s="27"/>
      <c r="H62" s="27"/>
      <c r="I62" s="23">
        <f>SUM(I59:I61)</f>
        <v>65</v>
      </c>
      <c r="J62" s="23">
        <f t="shared" ref="J62:O62" ca="1" si="34">SUM(J59:J61)</f>
        <v>71.875537594216411</v>
      </c>
      <c r="K62" s="23">
        <f t="shared" ca="1" si="34"/>
        <v>80.760980095637962</v>
      </c>
      <c r="L62" s="23">
        <f t="shared" ca="1" si="34"/>
        <v>91.337542132266691</v>
      </c>
      <c r="M62" s="23">
        <f t="shared" ca="1" si="34"/>
        <v>103.53792185120403</v>
      </c>
      <c r="N62" s="23">
        <f t="shared" ca="1" si="34"/>
        <v>117.42631851355144</v>
      </c>
      <c r="O62" s="25">
        <f t="shared" ca="1" si="34"/>
        <v>133.14161303872118</v>
      </c>
    </row>
    <row r="63" spans="1:15" x14ac:dyDescent="0.2">
      <c r="B63" s="26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9"/>
    </row>
    <row r="64" spans="1:15" x14ac:dyDescent="0.2">
      <c r="B64" s="26"/>
      <c r="C64" s="27" t="s">
        <v>92</v>
      </c>
      <c r="D64" s="27"/>
      <c r="E64" s="27"/>
      <c r="F64" s="55">
        <f>+Instructions!D35</f>
        <v>50</v>
      </c>
      <c r="G64" s="65"/>
      <c r="H64" s="65"/>
      <c r="I64" s="54">
        <f>+F64+G64-H64</f>
        <v>50</v>
      </c>
      <c r="J64" s="27">
        <f ca="1">+J105</f>
        <v>51.555555555555557</v>
      </c>
      <c r="K64" s="27">
        <f t="shared" ref="K64:O64" ca="1" si="35">+K105</f>
        <v>53.004444444444445</v>
      </c>
      <c r="L64" s="27">
        <f t="shared" ca="1" si="35"/>
        <v>54.334933333333332</v>
      </c>
      <c r="M64" s="27">
        <f t="shared" ca="1" si="35"/>
        <v>55.533998222222223</v>
      </c>
      <c r="N64" s="27">
        <f t="shared" ca="1" si="35"/>
        <v>56.587182471111113</v>
      </c>
      <c r="O64" s="29">
        <f t="shared" ca="1" si="35"/>
        <v>57.478439209600012</v>
      </c>
    </row>
    <row r="65" spans="2:15" x14ac:dyDescent="0.2">
      <c r="B65" s="26"/>
      <c r="C65" s="27" t="s">
        <v>93</v>
      </c>
      <c r="D65" s="27"/>
      <c r="E65" s="27"/>
      <c r="F65" s="18">
        <v>0</v>
      </c>
      <c r="G65" s="65">
        <f>+E88</f>
        <v>420</v>
      </c>
      <c r="H65" s="65"/>
      <c r="I65" s="54">
        <f t="shared" ref="I65:I66" si="36">+F65+G65-H65</f>
        <v>420</v>
      </c>
      <c r="J65" s="18">
        <f>+I65</f>
        <v>420</v>
      </c>
      <c r="K65" s="18">
        <f t="shared" ref="K65:O65" si="37">+J65</f>
        <v>420</v>
      </c>
      <c r="L65" s="18">
        <f t="shared" si="37"/>
        <v>420</v>
      </c>
      <c r="M65" s="18">
        <f t="shared" si="37"/>
        <v>420</v>
      </c>
      <c r="N65" s="18">
        <f t="shared" si="37"/>
        <v>420</v>
      </c>
      <c r="O65" s="68">
        <f t="shared" si="37"/>
        <v>420</v>
      </c>
    </row>
    <row r="66" spans="2:15" x14ac:dyDescent="0.2">
      <c r="B66" s="26"/>
      <c r="C66" s="27" t="s">
        <v>94</v>
      </c>
      <c r="D66" s="27"/>
      <c r="E66" s="27"/>
      <c r="F66" s="18">
        <v>0</v>
      </c>
      <c r="G66" s="65">
        <f>+O5</f>
        <v>9.5999999999999979</v>
      </c>
      <c r="H66" s="65"/>
      <c r="I66" s="54">
        <f t="shared" si="36"/>
        <v>9.5999999999999979</v>
      </c>
      <c r="J66" s="27">
        <f>+J100</f>
        <v>8.228571428571426</v>
      </c>
      <c r="K66" s="27">
        <f t="shared" ref="K66:O66" si="38">+K100</f>
        <v>6.857142857142855</v>
      </c>
      <c r="L66" s="27">
        <f t="shared" si="38"/>
        <v>5.485714285714284</v>
      </c>
      <c r="M66" s="27">
        <f t="shared" si="38"/>
        <v>4.114285714285713</v>
      </c>
      <c r="N66" s="27">
        <f t="shared" si="38"/>
        <v>2.742857142857142</v>
      </c>
      <c r="O66" s="29">
        <f t="shared" si="38"/>
        <v>1.3714285714285708</v>
      </c>
    </row>
    <row r="67" spans="2:15" x14ac:dyDescent="0.2">
      <c r="B67" s="26"/>
      <c r="C67" s="27" t="s">
        <v>95</v>
      </c>
      <c r="D67" s="27"/>
      <c r="E67" s="27"/>
      <c r="F67" s="23">
        <f>+F66+F65+F64+F62</f>
        <v>100</v>
      </c>
      <c r="G67" s="27"/>
      <c r="H67" s="27"/>
      <c r="I67" s="23">
        <f>+I66+I65+I64+I62</f>
        <v>544.6</v>
      </c>
      <c r="J67" s="23">
        <f t="shared" ref="J67:O67" ca="1" si="39">+J66+J65+J64+J62</f>
        <v>551.65966457834338</v>
      </c>
      <c r="K67" s="23">
        <f t="shared" ca="1" si="39"/>
        <v>560.62256739722523</v>
      </c>
      <c r="L67" s="23">
        <f t="shared" ca="1" si="39"/>
        <v>571.15818975131424</v>
      </c>
      <c r="M67" s="23">
        <f t="shared" ca="1" si="39"/>
        <v>583.18620578771197</v>
      </c>
      <c r="N67" s="23">
        <f t="shared" ca="1" si="39"/>
        <v>596.75635812751966</v>
      </c>
      <c r="O67" s="25">
        <f t="shared" ca="1" si="39"/>
        <v>611.99148081974977</v>
      </c>
    </row>
    <row r="68" spans="2:15" x14ac:dyDescent="0.2"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9"/>
    </row>
    <row r="69" spans="2:15" x14ac:dyDescent="0.2">
      <c r="B69" s="26"/>
      <c r="C69" s="27" t="s">
        <v>109</v>
      </c>
      <c r="D69" s="27"/>
      <c r="E69" s="27"/>
      <c r="F69" s="18">
        <v>0</v>
      </c>
      <c r="G69" s="65"/>
      <c r="H69" s="65"/>
      <c r="I69" s="54">
        <f>+F69-G69+H69</f>
        <v>0</v>
      </c>
      <c r="J69" s="66">
        <f ca="1">+J146</f>
        <v>0</v>
      </c>
      <c r="K69" s="66">
        <f t="shared" ref="K69:O69" ca="1" si="40">+K146</f>
        <v>0</v>
      </c>
      <c r="L69" s="66">
        <f t="shared" ca="1" si="40"/>
        <v>0</v>
      </c>
      <c r="M69" s="66">
        <f t="shared" ca="1" si="40"/>
        <v>0</v>
      </c>
      <c r="N69" s="66">
        <f t="shared" ca="1" si="40"/>
        <v>0</v>
      </c>
      <c r="O69" s="67">
        <f t="shared" ca="1" si="40"/>
        <v>0</v>
      </c>
    </row>
    <row r="70" spans="2:15" x14ac:dyDescent="0.2">
      <c r="B70" s="26"/>
      <c r="C70" s="27" t="s">
        <v>96</v>
      </c>
      <c r="D70" s="27"/>
      <c r="E70" s="27"/>
      <c r="F70" s="55">
        <f>+Instructions!D36</f>
        <v>20</v>
      </c>
      <c r="G70" s="65"/>
      <c r="H70" s="65"/>
      <c r="I70" s="54">
        <f>+F70-G70+H70</f>
        <v>20</v>
      </c>
      <c r="J70" s="27">
        <f>+J95/365*(J22-J25)</f>
        <v>22.2</v>
      </c>
      <c r="K70" s="27">
        <f>+K95/365*(K22-K25)</f>
        <v>24.642000000000003</v>
      </c>
      <c r="L70" s="27">
        <f>+L95/365*(L22-L25)</f>
        <v>27.352620000000005</v>
      </c>
      <c r="M70" s="27">
        <f>+M95/365*(M22-M25)</f>
        <v>30.36140820000001</v>
      </c>
      <c r="N70" s="27">
        <f>+N95/365*(N22-N25)</f>
        <v>33.70116310200001</v>
      </c>
      <c r="O70" s="29">
        <f>+O95/365*(O22-O25)</f>
        <v>37.408291043220018</v>
      </c>
    </row>
    <row r="71" spans="2:15" x14ac:dyDescent="0.2">
      <c r="B71" s="26"/>
      <c r="C71" s="27" t="s">
        <v>97</v>
      </c>
      <c r="D71" s="27"/>
      <c r="E71" s="27"/>
      <c r="F71" s="55">
        <f>+Instructions!D37</f>
        <v>20</v>
      </c>
      <c r="G71" s="65"/>
      <c r="H71" s="65"/>
      <c r="I71" s="54">
        <f>+F71-G71+H71</f>
        <v>20</v>
      </c>
      <c r="J71" s="27">
        <f>+J96*J22</f>
        <v>22.2</v>
      </c>
      <c r="K71" s="27">
        <f>+K96*K22</f>
        <v>24.642000000000003</v>
      </c>
      <c r="L71" s="27">
        <f>+L96*L22</f>
        <v>27.352620000000005</v>
      </c>
      <c r="M71" s="27">
        <f>+M96*M22</f>
        <v>30.36140820000001</v>
      </c>
      <c r="N71" s="27">
        <f>+N96*N22</f>
        <v>33.70116310200001</v>
      </c>
      <c r="O71" s="29">
        <f>+O96*O22</f>
        <v>37.408291043220018</v>
      </c>
    </row>
    <row r="72" spans="2:15" x14ac:dyDescent="0.2">
      <c r="B72" s="26"/>
      <c r="C72" s="27" t="s">
        <v>98</v>
      </c>
      <c r="D72" s="27"/>
      <c r="E72" s="27"/>
      <c r="F72" s="23">
        <f>+F71+F70+F69</f>
        <v>40</v>
      </c>
      <c r="G72" s="27"/>
      <c r="H72" s="27"/>
      <c r="I72" s="23">
        <f>+I71+I70+I69</f>
        <v>40</v>
      </c>
      <c r="J72" s="23">
        <f t="shared" ref="J72:O72" ca="1" si="41">+J71+J70+J69</f>
        <v>44.4</v>
      </c>
      <c r="K72" s="23">
        <f t="shared" ca="1" si="41"/>
        <v>49.284000000000006</v>
      </c>
      <c r="L72" s="23">
        <f t="shared" ca="1" si="41"/>
        <v>54.705240000000011</v>
      </c>
      <c r="M72" s="23">
        <f t="shared" ca="1" si="41"/>
        <v>60.722816400000021</v>
      </c>
      <c r="N72" s="23">
        <f t="shared" ca="1" si="41"/>
        <v>67.402326204000019</v>
      </c>
      <c r="O72" s="25">
        <f t="shared" ca="1" si="41"/>
        <v>74.816582086440036</v>
      </c>
    </row>
    <row r="73" spans="2:15" x14ac:dyDescent="0.2"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9"/>
    </row>
    <row r="74" spans="2:15" x14ac:dyDescent="0.2">
      <c r="B74" s="26"/>
      <c r="C74" s="27" t="s">
        <v>99</v>
      </c>
      <c r="D74" s="27"/>
      <c r="E74" s="27"/>
      <c r="F74" s="18">
        <v>0</v>
      </c>
      <c r="G74" s="65"/>
      <c r="H74" s="65"/>
      <c r="I74" s="65"/>
      <c r="J74" s="65"/>
      <c r="K74" s="65"/>
      <c r="L74" s="65"/>
      <c r="M74" s="65"/>
      <c r="N74" s="65"/>
      <c r="O74" s="69"/>
    </row>
    <row r="75" spans="2:15" x14ac:dyDescent="0.2">
      <c r="B75" s="26"/>
      <c r="C75" s="27" t="s">
        <v>78</v>
      </c>
      <c r="D75" s="27"/>
      <c r="E75" s="27"/>
      <c r="F75" s="18">
        <v>0</v>
      </c>
      <c r="G75" s="65"/>
      <c r="H75" s="65">
        <f>+K3</f>
        <v>180.18018018018017</v>
      </c>
      <c r="I75" s="54">
        <f t="shared" ref="I75:I76" si="42">+F75-G75+H75</f>
        <v>180.18018018018017</v>
      </c>
      <c r="J75" s="66">
        <f ca="1">+J153</f>
        <v>169.79563357695474</v>
      </c>
      <c r="K75" s="66">
        <f t="shared" ref="K75:O75" ca="1" si="43">+K153</f>
        <v>156.63064447230778</v>
      </c>
      <c r="L75" s="66">
        <f t="shared" ca="1" si="43"/>
        <v>139.66564333103207</v>
      </c>
      <c r="M75" s="66">
        <f t="shared" ca="1" si="43"/>
        <v>118.02223297081903</v>
      </c>
      <c r="N75" s="66">
        <f t="shared" ca="1" si="43"/>
        <v>90.839813203258643</v>
      </c>
      <c r="O75" s="67">
        <f t="shared" ca="1" si="43"/>
        <v>57.209918763578465</v>
      </c>
    </row>
    <row r="76" spans="2:15" x14ac:dyDescent="0.2">
      <c r="B76" s="26"/>
      <c r="C76" s="27" t="s">
        <v>100</v>
      </c>
      <c r="D76" s="27"/>
      <c r="E76" s="27"/>
      <c r="F76" s="18">
        <v>0</v>
      </c>
      <c r="G76" s="65"/>
      <c r="H76" s="65">
        <f>+K4</f>
        <v>36.036036036036037</v>
      </c>
      <c r="I76" s="54">
        <f t="shared" si="42"/>
        <v>36.036036036036037</v>
      </c>
      <c r="J76" s="66">
        <f>+J158</f>
        <v>38.198198198198199</v>
      </c>
      <c r="K76" s="66">
        <f t="shared" ref="K76:O76" si="44">+K158</f>
        <v>40.490090090090092</v>
      </c>
      <c r="L76" s="66">
        <f t="shared" si="44"/>
        <v>42.919495495495497</v>
      </c>
      <c r="M76" s="66">
        <f t="shared" si="44"/>
        <v>45.494665225225226</v>
      </c>
      <c r="N76" s="66">
        <f t="shared" si="44"/>
        <v>48.224345138738741</v>
      </c>
      <c r="O76" s="67">
        <f t="shared" si="44"/>
        <v>51.117805847063067</v>
      </c>
    </row>
    <row r="77" spans="2:15" x14ac:dyDescent="0.2">
      <c r="B77" s="26"/>
      <c r="C77" s="27" t="s">
        <v>101</v>
      </c>
      <c r="D77" s="27"/>
      <c r="E77" s="27"/>
      <c r="F77" s="23">
        <f>+F76+F75+F74+F72</f>
        <v>40</v>
      </c>
      <c r="G77" s="27"/>
      <c r="H77" s="27"/>
      <c r="I77" s="23">
        <f>+I76+I75+I74+I72</f>
        <v>256.2162162162162</v>
      </c>
      <c r="J77" s="23">
        <f t="shared" ref="J77:O77" ca="1" si="45">+J76+J75+J74+J72</f>
        <v>252.39383177515296</v>
      </c>
      <c r="K77" s="23">
        <f t="shared" ca="1" si="45"/>
        <v>246.40473456239789</v>
      </c>
      <c r="L77" s="23">
        <f t="shared" ca="1" si="45"/>
        <v>237.29037882652756</v>
      </c>
      <c r="M77" s="23">
        <f t="shared" ca="1" si="45"/>
        <v>224.23971459604428</v>
      </c>
      <c r="N77" s="23">
        <f t="shared" ca="1" si="45"/>
        <v>206.46648454599739</v>
      </c>
      <c r="O77" s="25">
        <f t="shared" ca="1" si="45"/>
        <v>183.14430669708156</v>
      </c>
    </row>
    <row r="78" spans="2:15" x14ac:dyDescent="0.2"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9"/>
    </row>
    <row r="79" spans="2:15" x14ac:dyDescent="0.2">
      <c r="B79" s="26"/>
      <c r="C79" s="27" t="s">
        <v>102</v>
      </c>
      <c r="D79" s="27"/>
      <c r="E79" s="27"/>
      <c r="F79" s="27">
        <f>+F67-F77</f>
        <v>60</v>
      </c>
      <c r="G79" s="65">
        <f>+F79+O4</f>
        <v>64.8</v>
      </c>
      <c r="H79" s="65">
        <f>+K5</f>
        <v>293.18378378378384</v>
      </c>
      <c r="I79" s="54">
        <f t="shared" ref="I79" si="46">+F79-G79+H79</f>
        <v>288.38378378378383</v>
      </c>
      <c r="J79" s="27">
        <f ca="1">+I79+J54</f>
        <v>299.26583280319051</v>
      </c>
      <c r="K79" s="27">
        <f ca="1">+J79+K54</f>
        <v>314.21783283482745</v>
      </c>
      <c r="L79" s="27">
        <f ca="1">+K79+L54</f>
        <v>333.8678109247868</v>
      </c>
      <c r="M79" s="27">
        <f ca="1">+L79+M54</f>
        <v>358.94649119166775</v>
      </c>
      <c r="N79" s="27">
        <f ca="1">+M79+N54</f>
        <v>390.28987358152239</v>
      </c>
      <c r="O79" s="29">
        <f ca="1">+N79+O54</f>
        <v>428.84717412266826</v>
      </c>
    </row>
    <row r="80" spans="2:15" x14ac:dyDescent="0.2"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9"/>
    </row>
    <row r="81" spans="1:15" x14ac:dyDescent="0.2">
      <c r="B81" s="26"/>
      <c r="C81" s="27" t="s">
        <v>103</v>
      </c>
      <c r="D81" s="27"/>
      <c r="E81" s="27"/>
      <c r="F81" s="27">
        <f>+F79+F77</f>
        <v>100</v>
      </c>
      <c r="G81" s="27"/>
      <c r="H81" s="27"/>
      <c r="I81" s="27">
        <f>+I79+I77</f>
        <v>544.6</v>
      </c>
      <c r="J81" s="27">
        <f t="shared" ref="J81:O81" ca="1" si="47">+J79+J77</f>
        <v>551.6596645783435</v>
      </c>
      <c r="K81" s="27">
        <f t="shared" ca="1" si="47"/>
        <v>560.62256739722534</v>
      </c>
      <c r="L81" s="27">
        <f t="shared" ca="1" si="47"/>
        <v>571.15818975131435</v>
      </c>
      <c r="M81" s="27">
        <f t="shared" ca="1" si="47"/>
        <v>583.18620578771197</v>
      </c>
      <c r="N81" s="27">
        <f t="shared" ca="1" si="47"/>
        <v>596.75635812751977</v>
      </c>
      <c r="O81" s="29">
        <f t="shared" ca="1" si="47"/>
        <v>611.99148081974977</v>
      </c>
    </row>
    <row r="82" spans="1:15" x14ac:dyDescent="0.2"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9"/>
    </row>
    <row r="83" spans="1:15" x14ac:dyDescent="0.2">
      <c r="B83" s="26"/>
      <c r="C83" s="27" t="s">
        <v>207</v>
      </c>
      <c r="D83" s="27"/>
      <c r="E83" s="27"/>
      <c r="F83" s="27">
        <f>+F81-F67</f>
        <v>0</v>
      </c>
      <c r="G83" s="27"/>
      <c r="H83" s="27"/>
      <c r="I83" s="27">
        <f>+I81-I67</f>
        <v>0</v>
      </c>
      <c r="J83" s="27">
        <f t="shared" ref="J83:O83" ca="1" si="48">+J81-J67</f>
        <v>0</v>
      </c>
      <c r="K83" s="27">
        <f t="shared" ca="1" si="48"/>
        <v>0</v>
      </c>
      <c r="L83" s="27">
        <f t="shared" ca="1" si="48"/>
        <v>0</v>
      </c>
      <c r="M83" s="27">
        <f t="shared" ca="1" si="48"/>
        <v>0</v>
      </c>
      <c r="N83" s="27">
        <f t="shared" ca="1" si="48"/>
        <v>0</v>
      </c>
      <c r="O83" s="29">
        <f t="shared" ca="1" si="48"/>
        <v>0</v>
      </c>
    </row>
    <row r="84" spans="1:15" x14ac:dyDescent="0.2"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9"/>
    </row>
    <row r="85" spans="1:15" x14ac:dyDescent="0.2">
      <c r="B85" s="26"/>
      <c r="C85" s="27" t="s">
        <v>104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9"/>
    </row>
    <row r="86" spans="1:15" x14ac:dyDescent="0.2">
      <c r="B86" s="26"/>
      <c r="C86" s="27" t="s">
        <v>105</v>
      </c>
      <c r="D86" s="27"/>
      <c r="E86" s="27">
        <f>+O3</f>
        <v>480</v>
      </c>
      <c r="F86" s="27"/>
      <c r="G86" s="27"/>
      <c r="H86" s="27"/>
      <c r="I86" s="27"/>
      <c r="J86" s="27"/>
      <c r="K86" s="27"/>
      <c r="L86" s="27"/>
      <c r="M86" s="27"/>
      <c r="N86" s="27"/>
      <c r="O86" s="29"/>
    </row>
    <row r="87" spans="1:15" x14ac:dyDescent="0.2">
      <c r="B87" s="26"/>
      <c r="C87" s="27" t="s">
        <v>106</v>
      </c>
      <c r="D87" s="27"/>
      <c r="E87" s="27">
        <f>+(F79-F65)*-1</f>
        <v>-60</v>
      </c>
      <c r="F87" s="27"/>
      <c r="G87" s="27"/>
      <c r="H87" s="27"/>
      <c r="I87" s="27"/>
      <c r="J87" s="27"/>
      <c r="K87" s="27"/>
      <c r="L87" s="27"/>
      <c r="M87" s="27"/>
      <c r="N87" s="27"/>
      <c r="O87" s="29"/>
    </row>
    <row r="88" spans="1:15" ht="15" x14ac:dyDescent="0.25">
      <c r="B88" s="26"/>
      <c r="C88" s="23" t="s">
        <v>107</v>
      </c>
      <c r="D88" s="23"/>
      <c r="E88" s="23">
        <f>SUM(E86:E87)</f>
        <v>420</v>
      </c>
      <c r="F88" s="78" t="s">
        <v>211</v>
      </c>
      <c r="G88" s="27"/>
      <c r="H88" s="27"/>
      <c r="I88" s="27"/>
      <c r="J88" s="27"/>
      <c r="K88" s="27"/>
      <c r="L88" s="27"/>
      <c r="M88" s="27"/>
      <c r="N88" s="27"/>
      <c r="O88" s="29"/>
    </row>
    <row r="89" spans="1:15" x14ac:dyDescent="0.2">
      <c r="B89" s="2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9"/>
    </row>
    <row r="90" spans="1:15" x14ac:dyDescent="0.2">
      <c r="B90" s="32"/>
      <c r="C90" s="33" t="s">
        <v>108</v>
      </c>
      <c r="D90" s="33"/>
      <c r="E90" s="33"/>
      <c r="F90" s="33"/>
      <c r="G90" s="33"/>
      <c r="H90" s="33"/>
      <c r="I90" s="33">
        <f t="shared" ref="I90:O90" si="49">+I62-I59-I72+I69</f>
        <v>10</v>
      </c>
      <c r="J90" s="33">
        <f t="shared" ca="1" si="49"/>
        <v>11.100000000000001</v>
      </c>
      <c r="K90" s="33">
        <f t="shared" ca="1" si="49"/>
        <v>12.321000000000005</v>
      </c>
      <c r="L90" s="33">
        <f t="shared" ca="1" si="49"/>
        <v>13.676309999999994</v>
      </c>
      <c r="M90" s="33">
        <f t="shared" ca="1" si="49"/>
        <v>15.180704099999993</v>
      </c>
      <c r="N90" s="33">
        <f t="shared" ca="1" si="49"/>
        <v>16.850581551000005</v>
      </c>
      <c r="O90" s="35">
        <f t="shared" ca="1" si="49"/>
        <v>18.704145521610002</v>
      </c>
    </row>
    <row r="92" spans="1:15" ht="15" x14ac:dyDescent="0.25">
      <c r="A92" t="s">
        <v>51</v>
      </c>
      <c r="B92" s="24" t="s">
        <v>110</v>
      </c>
      <c r="C92" s="23"/>
      <c r="D92" s="23"/>
      <c r="E92" s="23"/>
      <c r="F92" s="23"/>
      <c r="G92" s="23"/>
      <c r="H92" s="23"/>
      <c r="I92" s="51">
        <f>+I$20</f>
        <v>0</v>
      </c>
      <c r="J92" s="51">
        <f t="shared" ref="J92:O92" si="50">+J$20</f>
        <v>1</v>
      </c>
      <c r="K92" s="51">
        <f t="shared" si="50"/>
        <v>2</v>
      </c>
      <c r="L92" s="51">
        <f t="shared" si="50"/>
        <v>3</v>
      </c>
      <c r="M92" s="51">
        <f t="shared" si="50"/>
        <v>4</v>
      </c>
      <c r="N92" s="51">
        <f t="shared" si="50"/>
        <v>5</v>
      </c>
      <c r="O92" s="53">
        <f t="shared" si="50"/>
        <v>6</v>
      </c>
    </row>
    <row r="93" spans="1:15" x14ac:dyDescent="0.2">
      <c r="B93" s="26"/>
      <c r="C93" s="27" t="s">
        <v>113</v>
      </c>
      <c r="D93" s="27"/>
      <c r="E93" s="27"/>
      <c r="F93" s="27"/>
      <c r="G93" s="27"/>
      <c r="H93" s="27"/>
      <c r="I93" s="27">
        <f>+I60/I22*365</f>
        <v>81.03</v>
      </c>
      <c r="J93" s="18">
        <f>+I93</f>
        <v>81.03</v>
      </c>
      <c r="K93" s="18">
        <f t="shared" ref="K93:O93" si="51">+J93</f>
        <v>81.03</v>
      </c>
      <c r="L93" s="18">
        <f t="shared" si="51"/>
        <v>81.03</v>
      </c>
      <c r="M93" s="18">
        <f t="shared" si="51"/>
        <v>81.03</v>
      </c>
      <c r="N93" s="18">
        <f t="shared" si="51"/>
        <v>81.03</v>
      </c>
      <c r="O93" s="68">
        <f t="shared" si="51"/>
        <v>81.03</v>
      </c>
    </row>
    <row r="94" spans="1:15" x14ac:dyDescent="0.2">
      <c r="B94" s="26"/>
      <c r="C94" s="27" t="s">
        <v>114</v>
      </c>
      <c r="D94" s="27"/>
      <c r="E94" s="27"/>
      <c r="F94" s="27"/>
      <c r="G94" s="27"/>
      <c r="H94" s="27"/>
      <c r="I94" s="46">
        <f>+I61/I22</f>
        <v>5.5500000000000001E-2</v>
      </c>
      <c r="J94" s="37">
        <f>+I94</f>
        <v>5.5500000000000001E-2</v>
      </c>
      <c r="K94" s="37">
        <f t="shared" ref="K94:O94" si="52">+J94</f>
        <v>5.5500000000000001E-2</v>
      </c>
      <c r="L94" s="37">
        <f t="shared" si="52"/>
        <v>5.5500000000000001E-2</v>
      </c>
      <c r="M94" s="37">
        <f t="shared" si="52"/>
        <v>5.5500000000000001E-2</v>
      </c>
      <c r="N94" s="37">
        <f t="shared" si="52"/>
        <v>5.5500000000000001E-2</v>
      </c>
      <c r="O94" s="70">
        <f t="shared" si="52"/>
        <v>5.5500000000000001E-2</v>
      </c>
    </row>
    <row r="95" spans="1:15" x14ac:dyDescent="0.2">
      <c r="B95" s="26"/>
      <c r="C95" s="27" t="s">
        <v>115</v>
      </c>
      <c r="D95" s="27"/>
      <c r="E95" s="27"/>
      <c r="F95" s="27"/>
      <c r="G95" s="27"/>
      <c r="H95" s="27"/>
      <c r="I95" s="27">
        <f>+I70/(I22-I25)*365</f>
        <v>81.03</v>
      </c>
      <c r="J95" s="18">
        <f>+I95</f>
        <v>81.03</v>
      </c>
      <c r="K95" s="18">
        <f t="shared" ref="K95:O95" si="53">+J95</f>
        <v>81.03</v>
      </c>
      <c r="L95" s="18">
        <f t="shared" si="53"/>
        <v>81.03</v>
      </c>
      <c r="M95" s="18">
        <f t="shared" si="53"/>
        <v>81.03</v>
      </c>
      <c r="N95" s="18">
        <f t="shared" si="53"/>
        <v>81.03</v>
      </c>
      <c r="O95" s="68">
        <f t="shared" si="53"/>
        <v>81.03</v>
      </c>
    </row>
    <row r="96" spans="1:15" x14ac:dyDescent="0.2">
      <c r="B96" s="26"/>
      <c r="C96" s="27" t="s">
        <v>116</v>
      </c>
      <c r="D96" s="27"/>
      <c r="E96" s="27"/>
      <c r="F96" s="27"/>
      <c r="G96" s="27"/>
      <c r="H96" s="27"/>
      <c r="I96" s="46">
        <f>+I71/I22</f>
        <v>0.111</v>
      </c>
      <c r="J96" s="37">
        <f>+I96</f>
        <v>0.111</v>
      </c>
      <c r="K96" s="37">
        <f t="shared" ref="K96:O96" si="54">+J96</f>
        <v>0.111</v>
      </c>
      <c r="L96" s="37">
        <f t="shared" si="54"/>
        <v>0.111</v>
      </c>
      <c r="M96" s="37">
        <f t="shared" si="54"/>
        <v>0.111</v>
      </c>
      <c r="N96" s="37">
        <f t="shared" si="54"/>
        <v>0.111</v>
      </c>
      <c r="O96" s="70">
        <f t="shared" si="54"/>
        <v>0.111</v>
      </c>
    </row>
    <row r="97" spans="2:15" x14ac:dyDescent="0.2"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9"/>
    </row>
    <row r="98" spans="2:15" x14ac:dyDescent="0.2">
      <c r="B98" s="26"/>
      <c r="C98" s="27" t="s">
        <v>117</v>
      </c>
      <c r="D98" s="27"/>
      <c r="E98" s="27"/>
      <c r="F98" s="27"/>
      <c r="G98" s="27"/>
      <c r="H98" s="27"/>
      <c r="I98" s="27"/>
      <c r="J98" s="27">
        <f>+I100</f>
        <v>9.5999999999999979</v>
      </c>
      <c r="K98" s="27">
        <f t="shared" ref="K98:O98" si="55">+J100</f>
        <v>8.228571428571426</v>
      </c>
      <c r="L98" s="27">
        <f t="shared" si="55"/>
        <v>6.857142857142855</v>
      </c>
      <c r="M98" s="27">
        <f t="shared" si="55"/>
        <v>5.485714285714284</v>
      </c>
      <c r="N98" s="27">
        <f t="shared" si="55"/>
        <v>4.114285714285713</v>
      </c>
      <c r="O98" s="29">
        <f t="shared" si="55"/>
        <v>2.742857142857142</v>
      </c>
    </row>
    <row r="99" spans="2:15" x14ac:dyDescent="0.2">
      <c r="B99" s="26"/>
      <c r="C99" s="27" t="s">
        <v>119</v>
      </c>
      <c r="D99" s="27"/>
      <c r="E99" s="27"/>
      <c r="F99" s="39" t="s">
        <v>125</v>
      </c>
      <c r="G99" s="40"/>
      <c r="H99" s="42">
        <v>7</v>
      </c>
      <c r="I99" s="27"/>
      <c r="J99" s="27">
        <f>+MIN($J$98/$H$99, J98)*-1</f>
        <v>-1.3714285714285712</v>
      </c>
      <c r="K99" s="27">
        <f>+MIN($J$98/$H$99, K98)*-1</f>
        <v>-1.3714285714285712</v>
      </c>
      <c r="L99" s="27">
        <f>+MIN($J$98/$H$99, L98)*-1</f>
        <v>-1.3714285714285712</v>
      </c>
      <c r="M99" s="27">
        <f>+MIN($J$98/$H$99, M98)*-1</f>
        <v>-1.3714285714285712</v>
      </c>
      <c r="N99" s="27">
        <f>+MIN($J$98/$H$99, N98)*-1</f>
        <v>-1.3714285714285712</v>
      </c>
      <c r="O99" s="29">
        <f>+MIN($J$98/$H$99, O98)*-1</f>
        <v>-1.3714285714285712</v>
      </c>
    </row>
    <row r="100" spans="2:15" x14ac:dyDescent="0.2">
      <c r="B100" s="26"/>
      <c r="C100" s="27" t="s">
        <v>118</v>
      </c>
      <c r="D100" s="27"/>
      <c r="E100" s="27"/>
      <c r="F100" s="27"/>
      <c r="G100" s="27"/>
      <c r="H100" s="27"/>
      <c r="I100" s="54">
        <f>+I66</f>
        <v>9.5999999999999979</v>
      </c>
      <c r="J100" s="23">
        <f>SUM(J98:J99)</f>
        <v>8.228571428571426</v>
      </c>
      <c r="K100" s="23">
        <f t="shared" ref="K100:O100" si="56">SUM(K98:K99)</f>
        <v>6.857142857142855</v>
      </c>
      <c r="L100" s="23">
        <f t="shared" si="56"/>
        <v>5.485714285714284</v>
      </c>
      <c r="M100" s="23">
        <f t="shared" si="56"/>
        <v>4.114285714285713</v>
      </c>
      <c r="N100" s="23">
        <f t="shared" si="56"/>
        <v>2.742857142857142</v>
      </c>
      <c r="O100" s="25">
        <f t="shared" si="56"/>
        <v>1.3714285714285708</v>
      </c>
    </row>
    <row r="101" spans="2:15" x14ac:dyDescent="0.2"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9"/>
    </row>
    <row r="102" spans="2:15" x14ac:dyDescent="0.2">
      <c r="B102" s="26"/>
      <c r="C102" s="27" t="s">
        <v>120</v>
      </c>
      <c r="D102" s="27"/>
      <c r="E102" s="27"/>
      <c r="F102" s="27"/>
      <c r="G102" s="27"/>
      <c r="H102" s="27"/>
      <c r="I102" s="27"/>
      <c r="J102" s="27">
        <f>+I105</f>
        <v>50</v>
      </c>
      <c r="K102" s="27">
        <f t="shared" ref="K102:O102" ca="1" si="57">+J105</f>
        <v>51.555555555555557</v>
      </c>
      <c r="L102" s="27">
        <f t="shared" ca="1" si="57"/>
        <v>53.004444444444445</v>
      </c>
      <c r="M102" s="27">
        <f t="shared" ca="1" si="57"/>
        <v>54.334933333333332</v>
      </c>
      <c r="N102" s="27">
        <f t="shared" ca="1" si="57"/>
        <v>55.533998222222223</v>
      </c>
      <c r="O102" s="29">
        <f t="shared" ca="1" si="57"/>
        <v>56.587182471111113</v>
      </c>
    </row>
    <row r="103" spans="2:15" x14ac:dyDescent="0.2">
      <c r="B103" s="26"/>
      <c r="C103" s="27" t="s">
        <v>10</v>
      </c>
      <c r="D103" s="27"/>
      <c r="E103" s="27"/>
      <c r="F103" s="39" t="s">
        <v>58</v>
      </c>
      <c r="G103" s="40"/>
      <c r="H103" s="43">
        <f>+Instructions!D28</f>
        <v>0.04</v>
      </c>
      <c r="I103" s="27"/>
      <c r="J103" s="27">
        <f>+$H$103*J22</f>
        <v>8</v>
      </c>
      <c r="K103" s="27">
        <f>+$H$103*K22</f>
        <v>8.8800000000000008</v>
      </c>
      <c r="L103" s="27">
        <f>+$H$103*L22</f>
        <v>9.8568000000000016</v>
      </c>
      <c r="M103" s="27">
        <f>+$H$103*M22</f>
        <v>10.941048000000004</v>
      </c>
      <c r="N103" s="27">
        <f>+$H$103*N22</f>
        <v>12.144563280000005</v>
      </c>
      <c r="O103" s="29">
        <f>+$H$103*O22</f>
        <v>13.480465240800006</v>
      </c>
    </row>
    <row r="104" spans="2:15" x14ac:dyDescent="0.2">
      <c r="B104" s="26"/>
      <c r="C104" s="27" t="s">
        <v>121</v>
      </c>
      <c r="D104" s="27"/>
      <c r="E104" s="27"/>
      <c r="F104" s="27"/>
      <c r="G104" s="27"/>
      <c r="H104" s="27"/>
      <c r="I104" s="27"/>
      <c r="J104" s="27">
        <f ca="1">+(J107+J116)*-1</f>
        <v>-6.4444444444444446</v>
      </c>
      <c r="K104" s="27">
        <f t="shared" ref="K104:O104" ca="1" si="58">+(K107+K116)*-1</f>
        <v>-7.431111111111111</v>
      </c>
      <c r="L104" s="27">
        <f t="shared" ca="1" si="58"/>
        <v>-8.5263111111111112</v>
      </c>
      <c r="M104" s="27">
        <f t="shared" ca="1" si="58"/>
        <v>-9.7419831111111108</v>
      </c>
      <c r="N104" s="27">
        <f t="shared" ca="1" si="58"/>
        <v>-11.091379031111112</v>
      </c>
      <c r="O104" s="29">
        <f t="shared" ca="1" si="58"/>
        <v>-12.589208502311113</v>
      </c>
    </row>
    <row r="105" spans="2:15" x14ac:dyDescent="0.2">
      <c r="B105" s="26"/>
      <c r="C105" s="27" t="s">
        <v>122</v>
      </c>
      <c r="D105" s="27"/>
      <c r="E105" s="27"/>
      <c r="F105" s="27"/>
      <c r="G105" s="27"/>
      <c r="H105" s="27"/>
      <c r="I105" s="54">
        <f>+I64</f>
        <v>50</v>
      </c>
      <c r="J105" s="23">
        <f ca="1">SUM(J102:J104)</f>
        <v>51.555555555555557</v>
      </c>
      <c r="K105" s="23">
        <f t="shared" ref="K105:O105" ca="1" si="59">SUM(K102:K104)</f>
        <v>53.004444444444445</v>
      </c>
      <c r="L105" s="23">
        <f t="shared" ca="1" si="59"/>
        <v>54.334933333333332</v>
      </c>
      <c r="M105" s="23">
        <f t="shared" ca="1" si="59"/>
        <v>55.533998222222223</v>
      </c>
      <c r="N105" s="23">
        <f t="shared" ca="1" si="59"/>
        <v>56.587182471111113</v>
      </c>
      <c r="O105" s="25">
        <f t="shared" ca="1" si="59"/>
        <v>57.478439209600012</v>
      </c>
    </row>
    <row r="106" spans="2:15" x14ac:dyDescent="0.2"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9"/>
    </row>
    <row r="107" spans="2:15" x14ac:dyDescent="0.2">
      <c r="B107" s="26"/>
      <c r="C107" s="27" t="s">
        <v>123</v>
      </c>
      <c r="D107" s="27"/>
      <c r="E107" s="27"/>
      <c r="F107" s="39" t="s">
        <v>124</v>
      </c>
      <c r="G107" s="40"/>
      <c r="H107" s="42">
        <v>9</v>
      </c>
      <c r="I107" s="27"/>
      <c r="J107" s="27">
        <f ca="1">+MIN($I$105/$H$107, $I$105-SUM(I107:$J107))</f>
        <v>5.5555555555555554</v>
      </c>
      <c r="K107" s="27">
        <f ca="1">+MIN($I$105/$H$107, $I$105-SUM(J107:$J107))</f>
        <v>5.5555555555555554</v>
      </c>
      <c r="L107" s="27">
        <f ca="1">+MIN($I$105/$H$107, $I$105-SUM($J107:K107))</f>
        <v>5.5555555555555554</v>
      </c>
      <c r="M107" s="27">
        <f ca="1">+MIN($I$105/$H$107, $I$105-SUM($J107:L107))</f>
        <v>5.5555555555555554</v>
      </c>
      <c r="N107" s="27">
        <f ca="1">+MIN($I$105/$H$107, $I$105-SUM($J107:M107))</f>
        <v>5.5555555555555554</v>
      </c>
      <c r="O107" s="29">
        <f ca="1">+MIN($I$105/$H$107, $I$105-SUM($J107:N107))</f>
        <v>5.5555555555555554</v>
      </c>
    </row>
    <row r="108" spans="2:15" x14ac:dyDescent="0.2"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9"/>
    </row>
    <row r="109" spans="2:15" x14ac:dyDescent="0.2">
      <c r="B109" s="26"/>
      <c r="C109" s="27" t="s">
        <v>54</v>
      </c>
      <c r="D109" s="27" t="s">
        <v>10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9"/>
    </row>
    <row r="110" spans="2:15" x14ac:dyDescent="0.2">
      <c r="B110" s="26"/>
      <c r="C110" s="27" cm="1">
        <f t="array" ref="C110:C115">+TRANSPOSE(J58:O58)</f>
        <v>1</v>
      </c>
      <c r="D110" s="27" cm="1">
        <f t="array" ref="D110:D115">+TRANSPOSE(J103:O103)</f>
        <v>8</v>
      </c>
      <c r="E110" s="27"/>
      <c r="F110" s="27"/>
      <c r="G110" s="27"/>
      <c r="H110" s="27"/>
      <c r="I110" s="27"/>
      <c r="J110" s="38">
        <f>+$D110/$H$107</f>
        <v>0.88888888888888884</v>
      </c>
      <c r="K110" s="27">
        <f>+MIN($D110/$H$107, $D110-SUM($I110:J110))</f>
        <v>0.88888888888888884</v>
      </c>
      <c r="L110" s="27">
        <f>+MIN($D110/$H$107, $D110-SUM($I110:K110))</f>
        <v>0.88888888888888884</v>
      </c>
      <c r="M110" s="27">
        <f>+MIN($D110/$H$107, $D110-SUM($I110:L110))</f>
        <v>0.88888888888888884</v>
      </c>
      <c r="N110" s="27">
        <f>+MIN($D110/$H$107, $D110-SUM($I110:M110))</f>
        <v>0.88888888888888884</v>
      </c>
      <c r="O110" s="29">
        <f>+MIN($D110/$H$107, $D110-SUM($I110:N110))</f>
        <v>0.88888888888888884</v>
      </c>
    </row>
    <row r="111" spans="2:15" x14ac:dyDescent="0.2">
      <c r="B111" s="26"/>
      <c r="C111" s="27">
        <v>2</v>
      </c>
      <c r="D111" s="27">
        <v>8.8800000000000008</v>
      </c>
      <c r="E111" s="27"/>
      <c r="F111" s="27"/>
      <c r="G111" s="27"/>
      <c r="H111" s="27"/>
      <c r="I111" s="27"/>
      <c r="J111" s="27"/>
      <c r="K111" s="38">
        <f>+$D111/$H$107</f>
        <v>0.9866666666666668</v>
      </c>
      <c r="L111" s="27">
        <f>+MIN($D111/$H$107, $D111-SUM($I111:K111))</f>
        <v>0.9866666666666668</v>
      </c>
      <c r="M111" s="27">
        <f>+MIN($D111/$H$107, $D111-SUM($I111:L111))</f>
        <v>0.9866666666666668</v>
      </c>
      <c r="N111" s="27">
        <f>+MIN($D111/$H$107, $D111-SUM($I111:M111))</f>
        <v>0.9866666666666668</v>
      </c>
      <c r="O111" s="29">
        <f>+MIN($D111/$H$107, $D111-SUM($I111:N111))</f>
        <v>0.9866666666666668</v>
      </c>
    </row>
    <row r="112" spans="2:15" x14ac:dyDescent="0.2">
      <c r="B112" s="26"/>
      <c r="C112" s="27">
        <v>3</v>
      </c>
      <c r="D112" s="27">
        <v>9.8568000000000016</v>
      </c>
      <c r="E112" s="27"/>
      <c r="F112" s="27"/>
      <c r="G112" s="27"/>
      <c r="H112" s="27"/>
      <c r="I112" s="27"/>
      <c r="J112" s="27"/>
      <c r="K112" s="27"/>
      <c r="L112" s="38">
        <f>+$D112/$H$107</f>
        <v>1.0952000000000002</v>
      </c>
      <c r="M112" s="27">
        <f>+MIN($D112/$H$107, $D112-SUM($I112:L112))</f>
        <v>1.0952000000000002</v>
      </c>
      <c r="N112" s="27">
        <f>+MIN($D112/$H$107, $D112-SUM($I112:M112))</f>
        <v>1.0952000000000002</v>
      </c>
      <c r="O112" s="29">
        <f>+MIN($D112/$H$107, $D112-SUM($I112:N112))</f>
        <v>1.0952000000000002</v>
      </c>
    </row>
    <row r="113" spans="1:15" x14ac:dyDescent="0.2">
      <c r="B113" s="26"/>
      <c r="C113" s="27">
        <v>4</v>
      </c>
      <c r="D113" s="27">
        <v>10.941048000000004</v>
      </c>
      <c r="E113" s="27"/>
      <c r="F113" s="27"/>
      <c r="G113" s="27"/>
      <c r="H113" s="27"/>
      <c r="I113" s="27"/>
      <c r="J113" s="27"/>
      <c r="K113" s="27"/>
      <c r="L113" s="27"/>
      <c r="M113" s="38">
        <f>+$D113/$H$107</f>
        <v>1.2156720000000005</v>
      </c>
      <c r="N113" s="27">
        <f>+MIN($D113/$H$107, $D113-SUM($I113:M113))</f>
        <v>1.2156720000000005</v>
      </c>
      <c r="O113" s="29">
        <f>+MIN($D113/$H$107, $D113-SUM($I113:N113))</f>
        <v>1.2156720000000005</v>
      </c>
    </row>
    <row r="114" spans="1:15" x14ac:dyDescent="0.2">
      <c r="B114" s="26"/>
      <c r="C114" s="27">
        <v>5</v>
      </c>
      <c r="D114" s="27">
        <v>12.144563280000005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38">
        <f>+$D114/$H$107</f>
        <v>1.3493959200000005</v>
      </c>
      <c r="O114" s="29">
        <f>+MIN($D114/$H$107, $D114-SUM($I114:N114))</f>
        <v>1.3493959200000005</v>
      </c>
    </row>
    <row r="115" spans="1:15" x14ac:dyDescent="0.2">
      <c r="B115" s="26"/>
      <c r="C115" s="27">
        <v>6</v>
      </c>
      <c r="D115" s="27">
        <v>13.480465240800006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44">
        <f>+$D115/$H$107</f>
        <v>1.4978294712000007</v>
      </c>
    </row>
    <row r="116" spans="1:15" x14ac:dyDescent="0.2">
      <c r="B116" s="32"/>
      <c r="C116" s="33" t="s">
        <v>126</v>
      </c>
      <c r="D116" s="33"/>
      <c r="E116" s="33"/>
      <c r="F116" s="33"/>
      <c r="G116" s="33"/>
      <c r="H116" s="33"/>
      <c r="I116" s="33"/>
      <c r="J116" s="40">
        <f>+SUM(J110:J115)</f>
        <v>0.88888888888888884</v>
      </c>
      <c r="K116" s="40">
        <f t="shared" ref="K116:O116" si="60">+SUM(K110:K115)</f>
        <v>1.8755555555555556</v>
      </c>
      <c r="L116" s="40">
        <f t="shared" si="60"/>
        <v>2.9707555555555558</v>
      </c>
      <c r="M116" s="40">
        <f t="shared" si="60"/>
        <v>4.1864275555555563</v>
      </c>
      <c r="N116" s="40">
        <f t="shared" si="60"/>
        <v>5.5358234755555564</v>
      </c>
      <c r="O116" s="41">
        <f t="shared" si="60"/>
        <v>7.0336529467555575</v>
      </c>
    </row>
    <row r="118" spans="1:15" ht="15" x14ac:dyDescent="0.25">
      <c r="A118" t="s">
        <v>51</v>
      </c>
      <c r="B118" s="24" t="s">
        <v>132</v>
      </c>
      <c r="C118" s="23"/>
      <c r="D118" s="23"/>
      <c r="E118" s="23"/>
      <c r="F118" s="23"/>
      <c r="G118" s="23"/>
      <c r="H118" s="23"/>
      <c r="I118" s="51">
        <f>+I$20</f>
        <v>0</v>
      </c>
      <c r="J118" s="51">
        <f t="shared" ref="J118:O118" si="61">+J$20</f>
        <v>1</v>
      </c>
      <c r="K118" s="51">
        <f t="shared" si="61"/>
        <v>2</v>
      </c>
      <c r="L118" s="51">
        <f t="shared" si="61"/>
        <v>3</v>
      </c>
      <c r="M118" s="51">
        <f t="shared" si="61"/>
        <v>4</v>
      </c>
      <c r="N118" s="51">
        <f t="shared" si="61"/>
        <v>5</v>
      </c>
      <c r="O118" s="53">
        <f t="shared" si="61"/>
        <v>6</v>
      </c>
    </row>
    <row r="119" spans="1:15" x14ac:dyDescent="0.2">
      <c r="B119" s="26"/>
      <c r="C119" s="27" t="s">
        <v>131</v>
      </c>
      <c r="D119" s="27"/>
      <c r="E119" s="27"/>
      <c r="F119" s="27"/>
      <c r="G119" s="27"/>
      <c r="H119" s="27"/>
      <c r="I119" s="27"/>
      <c r="J119" s="27">
        <f ca="1">+J54</f>
        <v>10.882049019406651</v>
      </c>
      <c r="K119" s="27">
        <f ca="1">+K54</f>
        <v>14.952000031636921</v>
      </c>
      <c r="L119" s="27">
        <f ca="1">+L54</f>
        <v>19.64997808995933</v>
      </c>
      <c r="M119" s="27">
        <f ca="1">+M54</f>
        <v>25.078680266880941</v>
      </c>
      <c r="N119" s="27">
        <f ca="1">+N54</f>
        <v>31.343382389854636</v>
      </c>
      <c r="O119" s="29">
        <f ca="1">+O54</f>
        <v>38.557300541145878</v>
      </c>
    </row>
    <row r="120" spans="1:15" x14ac:dyDescent="0.2">
      <c r="B120" s="26"/>
      <c r="C120" s="27" t="s">
        <v>134</v>
      </c>
      <c r="D120" s="27"/>
      <c r="E120" s="27"/>
      <c r="F120" s="27"/>
      <c r="G120" s="27"/>
      <c r="H120" s="27"/>
      <c r="I120" s="27"/>
      <c r="J120" s="27">
        <f ca="1">+J104*-1</f>
        <v>6.4444444444444446</v>
      </c>
      <c r="K120" s="27">
        <f t="shared" ref="K120:O120" ca="1" si="62">+K104*-1</f>
        <v>7.431111111111111</v>
      </c>
      <c r="L120" s="27">
        <f t="shared" ca="1" si="62"/>
        <v>8.5263111111111112</v>
      </c>
      <c r="M120" s="27">
        <f t="shared" ca="1" si="62"/>
        <v>9.7419831111111108</v>
      </c>
      <c r="N120" s="27">
        <f t="shared" ca="1" si="62"/>
        <v>11.091379031111112</v>
      </c>
      <c r="O120" s="29">
        <f t="shared" ca="1" si="62"/>
        <v>12.589208502311113</v>
      </c>
    </row>
    <row r="121" spans="1:15" x14ac:dyDescent="0.2">
      <c r="B121" s="26"/>
      <c r="C121" s="27" t="s">
        <v>133</v>
      </c>
      <c r="D121" s="27"/>
      <c r="E121" s="27"/>
      <c r="F121" s="27"/>
      <c r="G121" s="27"/>
      <c r="H121" s="27"/>
      <c r="I121" s="27"/>
      <c r="J121" s="27">
        <f>+J99*-1</f>
        <v>1.3714285714285712</v>
      </c>
      <c r="K121" s="27">
        <f t="shared" ref="K121:O121" si="63">+K99*-1</f>
        <v>1.3714285714285712</v>
      </c>
      <c r="L121" s="27">
        <f t="shared" si="63"/>
        <v>1.3714285714285712</v>
      </c>
      <c r="M121" s="27">
        <f t="shared" si="63"/>
        <v>1.3714285714285712</v>
      </c>
      <c r="N121" s="27">
        <f t="shared" si="63"/>
        <v>1.3714285714285712</v>
      </c>
      <c r="O121" s="29">
        <f t="shared" si="63"/>
        <v>1.3714285714285712</v>
      </c>
    </row>
    <row r="122" spans="1:15" x14ac:dyDescent="0.2">
      <c r="B122" s="26"/>
      <c r="C122" s="27" t="s">
        <v>136</v>
      </c>
      <c r="D122" s="27"/>
      <c r="E122" s="27"/>
      <c r="F122" s="27"/>
      <c r="G122" s="27"/>
      <c r="H122" s="27"/>
      <c r="I122" s="27"/>
      <c r="J122" s="66">
        <f>+J160*-1</f>
        <v>2.1621621621621623</v>
      </c>
      <c r="K122" s="66">
        <f t="shared" ref="K122:O122" si="64">+K160*-1</f>
        <v>2.291891891891892</v>
      </c>
      <c r="L122" s="66">
        <f t="shared" si="64"/>
        <v>2.4294054054054053</v>
      </c>
      <c r="M122" s="66">
        <f t="shared" si="64"/>
        <v>2.5751697297297298</v>
      </c>
      <c r="N122" s="66">
        <f t="shared" si="64"/>
        <v>2.7296799135135137</v>
      </c>
      <c r="O122" s="67">
        <f t="shared" si="64"/>
        <v>2.8934607083243242</v>
      </c>
    </row>
    <row r="123" spans="1:15" x14ac:dyDescent="0.2">
      <c r="B123" s="26"/>
      <c r="C123" s="27" t="s">
        <v>135</v>
      </c>
      <c r="D123" s="27"/>
      <c r="E123" s="27"/>
      <c r="F123" s="27"/>
      <c r="G123" s="27"/>
      <c r="H123" s="27"/>
      <c r="I123" s="27"/>
      <c r="J123" s="27">
        <f ca="1">+I90-J90</f>
        <v>-1.1000000000000014</v>
      </c>
      <c r="K123" s="27">
        <f t="shared" ref="K123:O123" ca="1" si="65">+J90-K90</f>
        <v>-1.2210000000000036</v>
      </c>
      <c r="L123" s="27">
        <f t="shared" ca="1" si="65"/>
        <v>-1.3553099999999887</v>
      </c>
      <c r="M123" s="27">
        <f t="shared" ca="1" si="65"/>
        <v>-1.504394099999999</v>
      </c>
      <c r="N123" s="27">
        <f t="shared" ca="1" si="65"/>
        <v>-1.6698774510000121</v>
      </c>
      <c r="O123" s="29">
        <f t="shared" ca="1" si="65"/>
        <v>-1.8535639706099971</v>
      </c>
    </row>
    <row r="124" spans="1:15" x14ac:dyDescent="0.2">
      <c r="B124" s="26"/>
      <c r="C124" s="27" t="s">
        <v>137</v>
      </c>
      <c r="D124" s="27"/>
      <c r="E124" s="27"/>
      <c r="F124" s="27"/>
      <c r="G124" s="27"/>
      <c r="H124" s="27"/>
      <c r="I124" s="27"/>
      <c r="J124" s="23">
        <f ca="1">+J123+J122+J121+J120+J119</f>
        <v>19.760084197441827</v>
      </c>
      <c r="K124" s="23">
        <f t="shared" ref="K124:O124" ca="1" si="66">+K123+K122+K121+K120+K119</f>
        <v>24.825431606068491</v>
      </c>
      <c r="L124" s="23">
        <f t="shared" ca="1" si="66"/>
        <v>30.621813177904428</v>
      </c>
      <c r="M124" s="23">
        <f t="shared" ca="1" si="66"/>
        <v>37.262867579150353</v>
      </c>
      <c r="N124" s="23">
        <f t="shared" ca="1" si="66"/>
        <v>44.865992454907818</v>
      </c>
      <c r="O124" s="25">
        <f t="shared" ca="1" si="66"/>
        <v>53.55783435259989</v>
      </c>
    </row>
    <row r="125" spans="1:15" x14ac:dyDescent="0.2"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9"/>
    </row>
    <row r="126" spans="1:15" x14ac:dyDescent="0.2">
      <c r="B126" s="26"/>
      <c r="C126" s="27" t="s">
        <v>10</v>
      </c>
      <c r="D126" s="27"/>
      <c r="E126" s="27"/>
      <c r="F126" s="27"/>
      <c r="G126" s="27"/>
      <c r="H126" s="27"/>
      <c r="I126" s="27"/>
      <c r="J126" s="27">
        <f>+J103*-1</f>
        <v>-8</v>
      </c>
      <c r="K126" s="27">
        <f t="shared" ref="K126:O126" si="67">+K103*-1</f>
        <v>-8.8800000000000008</v>
      </c>
      <c r="L126" s="27">
        <f t="shared" si="67"/>
        <v>-9.8568000000000016</v>
      </c>
      <c r="M126" s="27">
        <f t="shared" si="67"/>
        <v>-10.941048000000004</v>
      </c>
      <c r="N126" s="27">
        <f t="shared" si="67"/>
        <v>-12.144563280000005</v>
      </c>
      <c r="O126" s="29">
        <f t="shared" si="67"/>
        <v>-13.480465240800006</v>
      </c>
    </row>
    <row r="127" spans="1:15" x14ac:dyDescent="0.2">
      <c r="B127" s="26"/>
      <c r="C127" s="27" t="s">
        <v>138</v>
      </c>
      <c r="D127" s="27"/>
      <c r="E127" s="27"/>
      <c r="F127" s="27"/>
      <c r="G127" s="27"/>
      <c r="H127" s="27"/>
      <c r="I127" s="27"/>
      <c r="J127" s="23">
        <f>+J126</f>
        <v>-8</v>
      </c>
      <c r="K127" s="23">
        <f t="shared" ref="K127:O127" si="68">+K126</f>
        <v>-8.8800000000000008</v>
      </c>
      <c r="L127" s="23">
        <f t="shared" si="68"/>
        <v>-9.8568000000000016</v>
      </c>
      <c r="M127" s="23">
        <f t="shared" si="68"/>
        <v>-10.941048000000004</v>
      </c>
      <c r="N127" s="23">
        <f t="shared" si="68"/>
        <v>-12.144563280000005</v>
      </c>
      <c r="O127" s="25">
        <f t="shared" si="68"/>
        <v>-13.480465240800006</v>
      </c>
    </row>
    <row r="128" spans="1:15" x14ac:dyDescent="0.2"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9"/>
    </row>
    <row r="129" spans="1:15" x14ac:dyDescent="0.2">
      <c r="B129" s="26"/>
      <c r="C129" s="27" t="s">
        <v>139</v>
      </c>
      <c r="D129" s="27"/>
      <c r="E129" s="27"/>
      <c r="F129" s="27"/>
      <c r="G129" s="27"/>
      <c r="H129" s="27"/>
      <c r="I129" s="27"/>
      <c r="J129" s="66">
        <f ca="1">+J145+J151+J152</f>
        <v>-10.384546603225418</v>
      </c>
      <c r="K129" s="66">
        <f t="shared" ref="K129:O129" ca="1" si="69">+K145+K151+K152</f>
        <v>-13.164989104646958</v>
      </c>
      <c r="L129" s="66">
        <f t="shared" ca="1" si="69"/>
        <v>-16.965001141275689</v>
      </c>
      <c r="M129" s="66">
        <f t="shared" ca="1" si="69"/>
        <v>-21.643410360213025</v>
      </c>
      <c r="N129" s="66">
        <f t="shared" ca="1" si="69"/>
        <v>-27.182419767560415</v>
      </c>
      <c r="O129" s="67">
        <f t="shared" ca="1" si="69"/>
        <v>-33.629894439680157</v>
      </c>
    </row>
    <row r="130" spans="1:15" x14ac:dyDescent="0.2">
      <c r="B130" s="26"/>
      <c r="C130" s="27" t="s">
        <v>140</v>
      </c>
      <c r="D130" s="27"/>
      <c r="E130" s="27"/>
      <c r="F130" s="27"/>
      <c r="G130" s="27"/>
      <c r="H130" s="27"/>
      <c r="I130" s="27"/>
      <c r="J130" s="23">
        <f ca="1">+J129</f>
        <v>-10.384546603225418</v>
      </c>
      <c r="K130" s="23">
        <f t="shared" ref="K130:O130" ca="1" si="70">+K129</f>
        <v>-13.164989104646958</v>
      </c>
      <c r="L130" s="23">
        <f t="shared" ca="1" si="70"/>
        <v>-16.965001141275689</v>
      </c>
      <c r="M130" s="23">
        <f t="shared" ca="1" si="70"/>
        <v>-21.643410360213025</v>
      </c>
      <c r="N130" s="23">
        <f t="shared" ca="1" si="70"/>
        <v>-27.182419767560415</v>
      </c>
      <c r="O130" s="25">
        <f t="shared" ca="1" si="70"/>
        <v>-33.629894439680157</v>
      </c>
    </row>
    <row r="131" spans="1:15" x14ac:dyDescent="0.2"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9"/>
    </row>
    <row r="132" spans="1:15" x14ac:dyDescent="0.2">
      <c r="B132" s="32"/>
      <c r="C132" s="33" t="s">
        <v>141</v>
      </c>
      <c r="D132" s="33"/>
      <c r="E132" s="33"/>
      <c r="F132" s="33"/>
      <c r="G132" s="33"/>
      <c r="H132" s="33"/>
      <c r="I132" s="33"/>
      <c r="J132" s="33">
        <f ca="1">+J130+J127+J124</f>
        <v>1.3755375942164108</v>
      </c>
      <c r="K132" s="33">
        <f t="shared" ref="K132:O132" ca="1" si="71">+K130+K127+K124</f>
        <v>2.7804425014215326</v>
      </c>
      <c r="L132" s="33">
        <f t="shared" ca="1" si="71"/>
        <v>3.8000120366287362</v>
      </c>
      <c r="M132" s="33">
        <f t="shared" ca="1" si="71"/>
        <v>4.6784092189373254</v>
      </c>
      <c r="N132" s="33">
        <f t="shared" ca="1" si="71"/>
        <v>5.5390094073474003</v>
      </c>
      <c r="O132" s="35">
        <f t="shared" ca="1" si="71"/>
        <v>6.4474746721197249</v>
      </c>
    </row>
    <row r="134" spans="1:15" ht="15" x14ac:dyDescent="0.25">
      <c r="A134" t="s">
        <v>51</v>
      </c>
      <c r="B134" s="24" t="s">
        <v>142</v>
      </c>
      <c r="C134" s="23"/>
      <c r="D134" s="23"/>
      <c r="E134" s="23"/>
      <c r="F134" s="23"/>
      <c r="G134" s="23"/>
      <c r="H134" s="23"/>
      <c r="I134" s="51">
        <f>+I$20</f>
        <v>0</v>
      </c>
      <c r="J134" s="51">
        <f t="shared" ref="J134:O134" si="72">+J$20</f>
        <v>1</v>
      </c>
      <c r="K134" s="51">
        <f t="shared" si="72"/>
        <v>2</v>
      </c>
      <c r="L134" s="51">
        <f t="shared" si="72"/>
        <v>3</v>
      </c>
      <c r="M134" s="51">
        <f t="shared" si="72"/>
        <v>4</v>
      </c>
      <c r="N134" s="51">
        <f t="shared" si="72"/>
        <v>5</v>
      </c>
      <c r="O134" s="53">
        <f t="shared" si="72"/>
        <v>6</v>
      </c>
    </row>
    <row r="135" spans="1:15" x14ac:dyDescent="0.2">
      <c r="B135" s="26"/>
      <c r="C135" s="27" t="s">
        <v>143</v>
      </c>
      <c r="D135" s="27"/>
      <c r="E135" s="27"/>
      <c r="F135" s="27"/>
      <c r="G135" s="27"/>
      <c r="H135" s="27"/>
      <c r="I135" s="27"/>
      <c r="J135" s="27">
        <f ca="1">+J124+J126</f>
        <v>11.760084197441827</v>
      </c>
      <c r="K135" s="27">
        <f t="shared" ref="K135:O135" ca="1" si="73">+K124+K126</f>
        <v>15.945431606068491</v>
      </c>
      <c r="L135" s="27">
        <f t="shared" ca="1" si="73"/>
        <v>20.765013177904429</v>
      </c>
      <c r="M135" s="27">
        <f t="shared" ca="1" si="73"/>
        <v>26.32181957915035</v>
      </c>
      <c r="N135" s="27">
        <f t="shared" ca="1" si="73"/>
        <v>32.721429174907811</v>
      </c>
      <c r="O135" s="29">
        <f t="shared" ca="1" si="73"/>
        <v>40.077369111799882</v>
      </c>
    </row>
    <row r="136" spans="1:15" x14ac:dyDescent="0.2">
      <c r="B136" s="26"/>
      <c r="C136" s="27" t="s">
        <v>144</v>
      </c>
      <c r="D136" s="27"/>
      <c r="E136" s="27"/>
      <c r="F136" s="27"/>
      <c r="G136" s="27"/>
      <c r="H136" s="27"/>
      <c r="I136" s="27"/>
      <c r="J136" s="27">
        <f>+I59</f>
        <v>15</v>
      </c>
      <c r="K136" s="27">
        <f t="shared" ref="K136:O136" ca="1" si="74">+J59</f>
        <v>16.375537594216411</v>
      </c>
      <c r="L136" s="27">
        <f t="shared" ca="1" si="74"/>
        <v>19.15598009563795</v>
      </c>
      <c r="M136" s="27">
        <f t="shared" ca="1" si="74"/>
        <v>22.95599213226668</v>
      </c>
      <c r="N136" s="27">
        <f t="shared" ca="1" si="74"/>
        <v>27.634401351204012</v>
      </c>
      <c r="O136" s="29">
        <f t="shared" ca="1" si="74"/>
        <v>33.173410758551412</v>
      </c>
    </row>
    <row r="137" spans="1:15" x14ac:dyDescent="0.2">
      <c r="B137" s="26"/>
      <c r="C137" s="27" t="s">
        <v>77</v>
      </c>
      <c r="D137" s="27"/>
      <c r="E137" s="27"/>
      <c r="F137" s="27"/>
      <c r="G137" s="27"/>
      <c r="H137" s="27"/>
      <c r="I137" s="27"/>
      <c r="J137" s="27">
        <f>+$O$6*-1</f>
        <v>-15</v>
      </c>
      <c r="K137" s="27">
        <f t="shared" ref="K137:O137" si="75">+$O$6*-1</f>
        <v>-15</v>
      </c>
      <c r="L137" s="27">
        <f t="shared" si="75"/>
        <v>-15</v>
      </c>
      <c r="M137" s="27">
        <f t="shared" si="75"/>
        <v>-15</v>
      </c>
      <c r="N137" s="27">
        <f t="shared" si="75"/>
        <v>-15</v>
      </c>
      <c r="O137" s="29">
        <f t="shared" si="75"/>
        <v>-15</v>
      </c>
    </row>
    <row r="138" spans="1:15" x14ac:dyDescent="0.2">
      <c r="B138" s="26"/>
      <c r="C138" s="27" t="s">
        <v>145</v>
      </c>
      <c r="D138" s="27"/>
      <c r="E138" s="27"/>
      <c r="F138" s="27"/>
      <c r="G138" s="27"/>
      <c r="H138" s="27"/>
      <c r="I138" s="27"/>
      <c r="J138" s="23">
        <f ca="1">+J137+J136+J135</f>
        <v>11.760084197441827</v>
      </c>
      <c r="K138" s="23">
        <f t="shared" ref="K138:O138" ca="1" si="76">+K137+K136+K135</f>
        <v>17.3209692002849</v>
      </c>
      <c r="L138" s="23">
        <f t="shared" ca="1" si="76"/>
        <v>24.920993273542379</v>
      </c>
      <c r="M138" s="23">
        <f t="shared" ca="1" si="76"/>
        <v>34.27781171141703</v>
      </c>
      <c r="N138" s="23">
        <f t="shared" ca="1" si="76"/>
        <v>45.355830526111824</v>
      </c>
      <c r="O138" s="25">
        <f t="shared" ca="1" si="76"/>
        <v>58.250779870351295</v>
      </c>
    </row>
    <row r="139" spans="1:15" x14ac:dyDescent="0.2"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9"/>
    </row>
    <row r="140" spans="1:15" x14ac:dyDescent="0.2">
      <c r="B140" s="26"/>
      <c r="C140" s="27" t="s">
        <v>146</v>
      </c>
      <c r="D140" s="27"/>
      <c r="E140" s="27"/>
      <c r="F140" s="27"/>
      <c r="G140" s="27"/>
      <c r="H140" s="27"/>
      <c r="I140" s="27"/>
      <c r="J140" s="27">
        <f>+J151</f>
        <v>-9.0090090090090094</v>
      </c>
      <c r="K140" s="27">
        <f t="shared" ref="K140:O140" ca="1" si="77">+K151</f>
        <v>-9.0090090090090094</v>
      </c>
      <c r="L140" s="27">
        <f t="shared" ca="1" si="77"/>
        <v>-9.0090090090090094</v>
      </c>
      <c r="M140" s="27">
        <f t="shared" ca="1" si="77"/>
        <v>-9.0090090090090094</v>
      </c>
      <c r="N140" s="27">
        <f t="shared" ca="1" si="77"/>
        <v>-9.0090090090090094</v>
      </c>
      <c r="O140" s="29">
        <f t="shared" ca="1" si="77"/>
        <v>-9.0090090090090094</v>
      </c>
    </row>
    <row r="141" spans="1:15" x14ac:dyDescent="0.2"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9"/>
    </row>
    <row r="142" spans="1:15" x14ac:dyDescent="0.2">
      <c r="B142" s="26"/>
      <c r="C142" s="27" t="s">
        <v>147</v>
      </c>
      <c r="D142" s="27"/>
      <c r="E142" s="27"/>
      <c r="F142" s="27"/>
      <c r="G142" s="27"/>
      <c r="H142" s="27"/>
      <c r="I142" s="27"/>
      <c r="J142" s="27">
        <f ca="1">+J140+J138</f>
        <v>2.751075188432818</v>
      </c>
      <c r="K142" s="27">
        <f t="shared" ref="K142:O142" ca="1" si="78">+K140+K138</f>
        <v>8.3119601912758903</v>
      </c>
      <c r="L142" s="27">
        <f t="shared" ca="1" si="78"/>
        <v>15.91198426453337</v>
      </c>
      <c r="M142" s="27">
        <f t="shared" ca="1" si="78"/>
        <v>25.268802702408021</v>
      </c>
      <c r="N142" s="27">
        <f t="shared" ca="1" si="78"/>
        <v>36.346821517102811</v>
      </c>
      <c r="O142" s="29">
        <f t="shared" ca="1" si="78"/>
        <v>49.241770861342289</v>
      </c>
    </row>
    <row r="143" spans="1:15" x14ac:dyDescent="0.2"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9"/>
    </row>
    <row r="144" spans="1:15" x14ac:dyDescent="0.2">
      <c r="B144" s="26"/>
      <c r="C144" s="27" t="s">
        <v>148</v>
      </c>
      <c r="D144" s="27"/>
      <c r="E144" s="27"/>
      <c r="F144" s="27"/>
      <c r="G144" s="27"/>
      <c r="H144" s="27"/>
      <c r="I144" s="27"/>
      <c r="J144" s="27">
        <f>+I146</f>
        <v>0</v>
      </c>
      <c r="K144" s="27">
        <f t="shared" ref="K144:O144" ca="1" si="79">+J146</f>
        <v>0</v>
      </c>
      <c r="L144" s="27">
        <f t="shared" ca="1" si="79"/>
        <v>0</v>
      </c>
      <c r="M144" s="27">
        <f t="shared" ca="1" si="79"/>
        <v>0</v>
      </c>
      <c r="N144" s="27">
        <f t="shared" ca="1" si="79"/>
        <v>0</v>
      </c>
      <c r="O144" s="29">
        <f t="shared" ca="1" si="79"/>
        <v>0</v>
      </c>
    </row>
    <row r="145" spans="2:15" x14ac:dyDescent="0.2">
      <c r="B145" s="26"/>
      <c r="C145" s="27" t="s">
        <v>149</v>
      </c>
      <c r="D145" s="27"/>
      <c r="E145" s="27"/>
      <c r="F145" s="27"/>
      <c r="G145" s="27"/>
      <c r="H145" s="27"/>
      <c r="I145" s="27"/>
      <c r="J145" s="27">
        <f ca="1">+MIN(J144, J142)*-1</f>
        <v>0</v>
      </c>
      <c r="K145" s="27">
        <f t="shared" ref="K145:O145" ca="1" si="80">+MIN(K144, K142)*-1</f>
        <v>0</v>
      </c>
      <c r="L145" s="27">
        <f t="shared" ca="1" si="80"/>
        <v>0</v>
      </c>
      <c r="M145" s="27">
        <f t="shared" ca="1" si="80"/>
        <v>0</v>
      </c>
      <c r="N145" s="27">
        <f t="shared" ca="1" si="80"/>
        <v>0</v>
      </c>
      <c r="O145" s="29">
        <f t="shared" ca="1" si="80"/>
        <v>0</v>
      </c>
    </row>
    <row r="146" spans="2:15" x14ac:dyDescent="0.2">
      <c r="B146" s="26"/>
      <c r="C146" s="27" t="s">
        <v>150</v>
      </c>
      <c r="D146" s="27"/>
      <c r="E146" s="27"/>
      <c r="F146" s="27"/>
      <c r="G146" s="27"/>
      <c r="H146" s="27"/>
      <c r="I146" s="54">
        <f>+I69</f>
        <v>0</v>
      </c>
      <c r="J146" s="23">
        <f ca="1">+J145+J144</f>
        <v>0</v>
      </c>
      <c r="K146" s="23">
        <f t="shared" ref="K146:O146" ca="1" si="81">+K145+K144</f>
        <v>0</v>
      </c>
      <c r="L146" s="23">
        <f t="shared" ca="1" si="81"/>
        <v>0</v>
      </c>
      <c r="M146" s="23">
        <f t="shared" ca="1" si="81"/>
        <v>0</v>
      </c>
      <c r="N146" s="23">
        <f t="shared" ca="1" si="81"/>
        <v>0</v>
      </c>
      <c r="O146" s="25">
        <f t="shared" ca="1" si="81"/>
        <v>0</v>
      </c>
    </row>
    <row r="147" spans="2:15" x14ac:dyDescent="0.2">
      <c r="B147" s="26"/>
      <c r="C147" s="56" t="s">
        <v>82</v>
      </c>
      <c r="D147" s="27"/>
      <c r="E147" s="27"/>
      <c r="F147" s="39" t="s">
        <v>151</v>
      </c>
      <c r="G147" s="40"/>
      <c r="H147" s="45">
        <f>+K10</f>
        <v>7.0000000000000007E-2</v>
      </c>
      <c r="I147" s="27"/>
      <c r="J147" s="56">
        <f ca="1">+AVERAGE(J146,J144)*$H$147*-1</f>
        <v>0</v>
      </c>
      <c r="K147" s="56">
        <f t="shared" ref="K147:O147" ca="1" si="82">+AVERAGE(K146,K144)*$H$147*-1</f>
        <v>0</v>
      </c>
      <c r="L147" s="56">
        <f t="shared" ca="1" si="82"/>
        <v>0</v>
      </c>
      <c r="M147" s="56">
        <f t="shared" ca="1" si="82"/>
        <v>0</v>
      </c>
      <c r="N147" s="56">
        <f t="shared" ca="1" si="82"/>
        <v>0</v>
      </c>
      <c r="O147" s="71">
        <f t="shared" ca="1" si="82"/>
        <v>0</v>
      </c>
    </row>
    <row r="148" spans="2:15" ht="15" x14ac:dyDescent="0.25">
      <c r="B148" s="26"/>
      <c r="C148" s="78" t="s">
        <v>210</v>
      </c>
      <c r="D148" s="27"/>
      <c r="E148" s="27"/>
      <c r="F148" s="27"/>
      <c r="G148" s="27"/>
      <c r="H148" s="46"/>
      <c r="I148" s="27"/>
      <c r="J148" s="56"/>
      <c r="K148" s="56"/>
      <c r="L148" s="56"/>
      <c r="M148" s="56"/>
      <c r="N148" s="56"/>
      <c r="O148" s="71"/>
    </row>
    <row r="149" spans="2:15" x14ac:dyDescent="0.2"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9"/>
    </row>
    <row r="150" spans="2:15" x14ac:dyDescent="0.2">
      <c r="B150" s="26"/>
      <c r="C150" s="27" t="s">
        <v>152</v>
      </c>
      <c r="D150" s="27"/>
      <c r="E150" s="27"/>
      <c r="F150" s="27"/>
      <c r="G150" s="27"/>
      <c r="H150" s="27"/>
      <c r="I150" s="27"/>
      <c r="J150" s="27">
        <f>+I153</f>
        <v>180.18018018018017</v>
      </c>
      <c r="K150" s="27">
        <f t="shared" ref="K150:O150" ca="1" si="83">+J153</f>
        <v>169.79563357695474</v>
      </c>
      <c r="L150" s="27">
        <f t="shared" ca="1" si="83"/>
        <v>156.63064447230778</v>
      </c>
      <c r="M150" s="27">
        <f t="shared" ca="1" si="83"/>
        <v>139.66564333103207</v>
      </c>
      <c r="N150" s="27">
        <f t="shared" ca="1" si="83"/>
        <v>118.02223297081903</v>
      </c>
      <c r="O150" s="29">
        <f t="shared" ca="1" si="83"/>
        <v>90.839813203258643</v>
      </c>
    </row>
    <row r="151" spans="2:15" x14ac:dyDescent="0.2">
      <c r="B151" s="26"/>
      <c r="C151" s="27" t="s">
        <v>153</v>
      </c>
      <c r="D151" s="27"/>
      <c r="E151" s="27"/>
      <c r="F151" s="39" t="s">
        <v>155</v>
      </c>
      <c r="G151" s="40"/>
      <c r="H151" s="45">
        <f>+K11</f>
        <v>0.05</v>
      </c>
      <c r="I151" s="27"/>
      <c r="J151" s="27">
        <f>+MIN(J150, $H$151*$I$153)*-1</f>
        <v>-9.0090090090090094</v>
      </c>
      <c r="K151" s="27">
        <f t="shared" ref="K151:O151" ca="1" si="84">+MIN(K150, $H$151*$I$153)*-1</f>
        <v>-9.0090090090090094</v>
      </c>
      <c r="L151" s="27">
        <f t="shared" ca="1" si="84"/>
        <v>-9.0090090090090094</v>
      </c>
      <c r="M151" s="27">
        <f t="shared" ca="1" si="84"/>
        <v>-9.0090090090090094</v>
      </c>
      <c r="N151" s="27">
        <f t="shared" ca="1" si="84"/>
        <v>-9.0090090090090094</v>
      </c>
      <c r="O151" s="29">
        <f t="shared" ca="1" si="84"/>
        <v>-9.0090090090090094</v>
      </c>
    </row>
    <row r="152" spans="2:15" x14ac:dyDescent="0.2">
      <c r="B152" s="26"/>
      <c r="C152" s="27" t="s">
        <v>84</v>
      </c>
      <c r="D152" s="27"/>
      <c r="E152" s="27"/>
      <c r="F152" s="39" t="s">
        <v>84</v>
      </c>
      <c r="G152" s="40"/>
      <c r="H152" s="45">
        <f>+K12</f>
        <v>0.5</v>
      </c>
      <c r="I152" s="27"/>
      <c r="J152" s="27">
        <f ca="1">+MIN(J150+J151, J142+J145)*-1*$H$152</f>
        <v>-1.375537594216409</v>
      </c>
      <c r="K152" s="27">
        <f t="shared" ref="K152:O152" ca="1" si="85">+MIN(K150+K151, K142+K145)*-1*$H$152</f>
        <v>-4.1559800956379451</v>
      </c>
      <c r="L152" s="27">
        <f t="shared" ca="1" si="85"/>
        <v>-7.9559921322666849</v>
      </c>
      <c r="M152" s="27">
        <f t="shared" ca="1" si="85"/>
        <v>-12.63440135120401</v>
      </c>
      <c r="N152" s="27">
        <f t="shared" ca="1" si="85"/>
        <v>-18.173410758551405</v>
      </c>
      <c r="O152" s="29">
        <f t="shared" ca="1" si="85"/>
        <v>-24.620885430671144</v>
      </c>
    </row>
    <row r="153" spans="2:15" x14ac:dyDescent="0.2">
      <c r="B153" s="26"/>
      <c r="C153" s="27" t="s">
        <v>154</v>
      </c>
      <c r="D153" s="27"/>
      <c r="E153" s="27"/>
      <c r="F153" s="27"/>
      <c r="G153" s="27"/>
      <c r="H153" s="27"/>
      <c r="I153" s="54">
        <f>+I75</f>
        <v>180.18018018018017</v>
      </c>
      <c r="J153" s="23">
        <f ca="1">SUM(J150:J152)</f>
        <v>169.79563357695474</v>
      </c>
      <c r="K153" s="23">
        <f t="shared" ref="K153:O153" ca="1" si="86">SUM(K150:K152)</f>
        <v>156.63064447230778</v>
      </c>
      <c r="L153" s="23">
        <f t="shared" ca="1" si="86"/>
        <v>139.66564333103207</v>
      </c>
      <c r="M153" s="23">
        <f t="shared" ca="1" si="86"/>
        <v>118.02223297081905</v>
      </c>
      <c r="N153" s="23">
        <f t="shared" ca="1" si="86"/>
        <v>90.839813203258615</v>
      </c>
      <c r="O153" s="25">
        <f t="shared" ca="1" si="86"/>
        <v>57.209918763578493</v>
      </c>
    </row>
    <row r="154" spans="2:15" x14ac:dyDescent="0.2">
      <c r="B154" s="26"/>
      <c r="C154" s="56" t="s">
        <v>82</v>
      </c>
      <c r="D154" s="27"/>
      <c r="E154" s="27"/>
      <c r="F154" s="39" t="s">
        <v>151</v>
      </c>
      <c r="G154" s="40"/>
      <c r="H154" s="45">
        <f>+K10</f>
        <v>7.0000000000000007E-2</v>
      </c>
      <c r="I154" s="27"/>
      <c r="J154" s="56">
        <f ca="1">+AVERAGE(J153,J150)*$H$154*-1</f>
        <v>-12.249153481499723</v>
      </c>
      <c r="K154" s="56">
        <f t="shared" ref="K154:O154" ca="1" si="87">+AVERAGE(K153,K150)*$H$154*-1</f>
        <v>-11.42491973172419</v>
      </c>
      <c r="L154" s="56">
        <f t="shared" ca="1" si="87"/>
        <v>-10.370370073116895</v>
      </c>
      <c r="M154" s="56">
        <f t="shared" ca="1" si="87"/>
        <v>-9.0190756705647903</v>
      </c>
      <c r="N154" s="56">
        <f t="shared" ca="1" si="87"/>
        <v>-7.3101716160927186</v>
      </c>
      <c r="O154" s="71">
        <f t="shared" ca="1" si="87"/>
        <v>-5.1817406188393003</v>
      </c>
    </row>
    <row r="155" spans="2:15" x14ac:dyDescent="0.2"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9"/>
    </row>
    <row r="156" spans="2:15" x14ac:dyDescent="0.2">
      <c r="B156" s="26"/>
      <c r="C156" s="27" t="s">
        <v>156</v>
      </c>
      <c r="D156" s="27"/>
      <c r="E156" s="27"/>
      <c r="F156" s="27"/>
      <c r="G156" s="27"/>
      <c r="H156" s="27"/>
      <c r="I156" s="27"/>
      <c r="J156" s="27">
        <f>+I158</f>
        <v>36.036036036036037</v>
      </c>
      <c r="K156" s="27">
        <f t="shared" ref="K156:O156" si="88">+J158</f>
        <v>38.198198198198199</v>
      </c>
      <c r="L156" s="27">
        <f t="shared" si="88"/>
        <v>40.490090090090092</v>
      </c>
      <c r="M156" s="27">
        <f t="shared" si="88"/>
        <v>42.919495495495497</v>
      </c>
      <c r="N156" s="27">
        <f t="shared" si="88"/>
        <v>45.494665225225226</v>
      </c>
      <c r="O156" s="29">
        <f t="shared" si="88"/>
        <v>48.224345138738741</v>
      </c>
    </row>
    <row r="157" spans="2:15" x14ac:dyDescent="0.2">
      <c r="B157" s="26"/>
      <c r="C157" s="27" t="s">
        <v>157</v>
      </c>
      <c r="D157" s="27"/>
      <c r="E157" s="27"/>
      <c r="F157" s="39" t="s">
        <v>159</v>
      </c>
      <c r="G157" s="40"/>
      <c r="H157" s="45">
        <f>+K17</f>
        <v>0.06</v>
      </c>
      <c r="I157" s="27"/>
      <c r="J157" s="27">
        <f>+J156*($H$157)</f>
        <v>2.1621621621621623</v>
      </c>
      <c r="K157" s="27">
        <f t="shared" ref="K157:O157" si="89">+K156*($H$157)</f>
        <v>2.291891891891892</v>
      </c>
      <c r="L157" s="27">
        <f t="shared" si="89"/>
        <v>2.4294054054054053</v>
      </c>
      <c r="M157" s="27">
        <f t="shared" si="89"/>
        <v>2.5751697297297298</v>
      </c>
      <c r="N157" s="27">
        <f t="shared" si="89"/>
        <v>2.7296799135135137</v>
      </c>
      <c r="O157" s="29">
        <f t="shared" si="89"/>
        <v>2.8934607083243242</v>
      </c>
    </row>
    <row r="158" spans="2:15" x14ac:dyDescent="0.2">
      <c r="B158" s="26"/>
      <c r="C158" s="27" t="s">
        <v>158</v>
      </c>
      <c r="D158" s="27"/>
      <c r="E158" s="27"/>
      <c r="F158" s="27"/>
      <c r="G158" s="27"/>
      <c r="H158" s="27"/>
      <c r="I158" s="54">
        <f>+I76</f>
        <v>36.036036036036037</v>
      </c>
      <c r="J158" s="23">
        <f>+J157+J156</f>
        <v>38.198198198198199</v>
      </c>
      <c r="K158" s="23">
        <f t="shared" ref="K158:O158" si="90">+K157+K156</f>
        <v>40.490090090090092</v>
      </c>
      <c r="L158" s="23">
        <f t="shared" si="90"/>
        <v>42.919495495495497</v>
      </c>
      <c r="M158" s="23">
        <f t="shared" si="90"/>
        <v>45.494665225225226</v>
      </c>
      <c r="N158" s="23">
        <f t="shared" si="90"/>
        <v>48.224345138738741</v>
      </c>
      <c r="O158" s="25">
        <f t="shared" si="90"/>
        <v>51.117805847063067</v>
      </c>
    </row>
    <row r="159" spans="2:15" x14ac:dyDescent="0.2">
      <c r="B159" s="26"/>
      <c r="C159" s="56" t="s">
        <v>82</v>
      </c>
      <c r="D159" s="27"/>
      <c r="E159" s="27"/>
      <c r="F159" s="39" t="s">
        <v>151</v>
      </c>
      <c r="G159" s="40"/>
      <c r="H159" s="45">
        <f>+K16</f>
        <v>0.06</v>
      </c>
      <c r="I159" s="27"/>
      <c r="J159" s="27">
        <f>+AVERAGE(J158,J156)*$H$159*-1</f>
        <v>-2.2270270270270269</v>
      </c>
      <c r="K159" s="27">
        <f t="shared" ref="K159:O159" si="91">+AVERAGE(K158,K156)*$H$159*-1</f>
        <v>-2.3606486486486484</v>
      </c>
      <c r="L159" s="27">
        <f t="shared" si="91"/>
        <v>-2.5022875675675675</v>
      </c>
      <c r="M159" s="27">
        <f t="shared" si="91"/>
        <v>-2.6524248216216217</v>
      </c>
      <c r="N159" s="27">
        <f t="shared" si="91"/>
        <v>-2.8115703109189192</v>
      </c>
      <c r="O159" s="29">
        <f t="shared" si="91"/>
        <v>-2.980264529574054</v>
      </c>
    </row>
    <row r="160" spans="2:15" x14ac:dyDescent="0.2">
      <c r="B160" s="26"/>
      <c r="C160" s="56" t="s">
        <v>160</v>
      </c>
      <c r="D160" s="27"/>
      <c r="E160" s="27"/>
      <c r="F160" s="27"/>
      <c r="G160" s="27"/>
      <c r="H160" s="46"/>
      <c r="I160" s="27"/>
      <c r="J160" s="27">
        <f>+J157*-1</f>
        <v>-2.1621621621621623</v>
      </c>
      <c r="K160" s="27">
        <f t="shared" ref="K160:O160" si="92">+K157*-1</f>
        <v>-2.291891891891892</v>
      </c>
      <c r="L160" s="27">
        <f t="shared" si="92"/>
        <v>-2.4294054054054053</v>
      </c>
      <c r="M160" s="27">
        <f t="shared" si="92"/>
        <v>-2.5751697297297298</v>
      </c>
      <c r="N160" s="27">
        <f t="shared" si="92"/>
        <v>-2.7296799135135137</v>
      </c>
      <c r="O160" s="29">
        <f t="shared" si="92"/>
        <v>-2.8934607083243242</v>
      </c>
    </row>
    <row r="161" spans="1:15" x14ac:dyDescent="0.2"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9"/>
    </row>
    <row r="162" spans="1:15" x14ac:dyDescent="0.2">
      <c r="B162" s="26"/>
      <c r="C162" s="27" t="s">
        <v>144</v>
      </c>
      <c r="D162" s="27"/>
      <c r="E162" s="27"/>
      <c r="F162" s="27"/>
      <c r="G162" s="27"/>
      <c r="H162" s="27"/>
      <c r="I162" s="27"/>
      <c r="J162" s="27">
        <f>+I59</f>
        <v>15</v>
      </c>
      <c r="K162" s="27">
        <f t="shared" ref="K162:O162" ca="1" si="93">+J59</f>
        <v>16.375537594216411</v>
      </c>
      <c r="L162" s="27">
        <f t="shared" ca="1" si="93"/>
        <v>19.15598009563795</v>
      </c>
      <c r="M162" s="27">
        <f t="shared" ca="1" si="93"/>
        <v>22.95599213226668</v>
      </c>
      <c r="N162" s="27">
        <f t="shared" ca="1" si="93"/>
        <v>27.634401351204012</v>
      </c>
      <c r="O162" s="29">
        <f t="shared" ca="1" si="93"/>
        <v>33.173410758551412</v>
      </c>
    </row>
    <row r="163" spans="1:15" x14ac:dyDescent="0.2">
      <c r="B163" s="26"/>
      <c r="C163" s="27" t="s">
        <v>161</v>
      </c>
      <c r="D163" s="27"/>
      <c r="E163" s="27"/>
      <c r="F163" s="27"/>
      <c r="G163" s="27"/>
      <c r="H163" s="27"/>
      <c r="I163" s="27"/>
      <c r="J163" s="27">
        <f ca="1">+J152+J151+J145+J135</f>
        <v>1.375537594216409</v>
      </c>
      <c r="K163" s="27">
        <f t="shared" ref="K163:O163" ca="1" si="94">+K152+K151+K145+K135</f>
        <v>2.7804425014215362</v>
      </c>
      <c r="L163" s="27">
        <f t="shared" ca="1" si="94"/>
        <v>3.8000120366287362</v>
      </c>
      <c r="M163" s="27">
        <f t="shared" ca="1" si="94"/>
        <v>4.6784092189373325</v>
      </c>
      <c r="N163" s="27">
        <f t="shared" ca="1" si="94"/>
        <v>5.5390094073473968</v>
      </c>
      <c r="O163" s="29">
        <f t="shared" ca="1" si="94"/>
        <v>6.4474746721197249</v>
      </c>
    </row>
    <row r="164" spans="1:15" x14ac:dyDescent="0.2">
      <c r="B164" s="26"/>
      <c r="C164" s="27" t="s">
        <v>162</v>
      </c>
      <c r="D164" s="27"/>
      <c r="E164" s="27"/>
      <c r="F164" s="27"/>
      <c r="G164" s="27"/>
      <c r="H164" s="27"/>
      <c r="I164" s="54">
        <f>+I59</f>
        <v>15</v>
      </c>
      <c r="J164" s="23">
        <f ca="1">SUM(J162:J163)</f>
        <v>16.375537594216411</v>
      </c>
      <c r="K164" s="23">
        <f t="shared" ref="K164:O164" ca="1" si="95">SUM(K162:K163)</f>
        <v>19.155980095637947</v>
      </c>
      <c r="L164" s="23">
        <f t="shared" ca="1" si="95"/>
        <v>22.955992132266687</v>
      </c>
      <c r="M164" s="23">
        <f t="shared" ca="1" si="95"/>
        <v>27.634401351204012</v>
      </c>
      <c r="N164" s="23">
        <f t="shared" ca="1" si="95"/>
        <v>33.173410758551412</v>
      </c>
      <c r="O164" s="25">
        <f t="shared" ca="1" si="95"/>
        <v>39.620885430671137</v>
      </c>
    </row>
    <row r="165" spans="1:15" x14ac:dyDescent="0.2"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9"/>
    </row>
    <row r="166" spans="1:15" x14ac:dyDescent="0.2">
      <c r="B166" s="26"/>
      <c r="C166" s="27" t="s">
        <v>204</v>
      </c>
      <c r="D166" s="27"/>
      <c r="E166" s="27"/>
      <c r="F166" s="27"/>
      <c r="G166" s="27"/>
      <c r="H166" s="27"/>
      <c r="I166" s="27">
        <f>+I158+I153+I146</f>
        <v>216.2162162162162</v>
      </c>
      <c r="J166" s="27">
        <f ca="1">+J158+J153+J146</f>
        <v>207.99383177515296</v>
      </c>
      <c r="K166" s="27">
        <f t="shared" ref="K166:O166" ca="1" si="96">+K158+K153+K146</f>
        <v>197.12073456239787</v>
      </c>
      <c r="L166" s="27">
        <f t="shared" ca="1" si="96"/>
        <v>182.58513882652755</v>
      </c>
      <c r="M166" s="27">
        <f t="shared" ca="1" si="96"/>
        <v>163.51689819604428</v>
      </c>
      <c r="N166" s="27">
        <f t="shared" ca="1" si="96"/>
        <v>139.06415834199737</v>
      </c>
      <c r="O166" s="29">
        <f t="shared" ca="1" si="96"/>
        <v>108.32772461064155</v>
      </c>
    </row>
    <row r="167" spans="1:15" x14ac:dyDescent="0.2">
      <c r="B167" s="32"/>
      <c r="C167" s="33" t="s">
        <v>168</v>
      </c>
      <c r="D167" s="33"/>
      <c r="E167" s="33"/>
      <c r="F167" s="33"/>
      <c r="G167" s="33"/>
      <c r="H167" s="33"/>
      <c r="I167" s="33">
        <f>+I166-I164</f>
        <v>201.2162162162162</v>
      </c>
      <c r="J167" s="33">
        <f ca="1">+J166-J164</f>
        <v>191.61829418093654</v>
      </c>
      <c r="K167" s="33">
        <f t="shared" ref="K167:O167" ca="1" si="97">+K166-K164</f>
        <v>177.96475446675993</v>
      </c>
      <c r="L167" s="33">
        <f t="shared" ca="1" si="97"/>
        <v>159.62914669426087</v>
      </c>
      <c r="M167" s="33">
        <f t="shared" ca="1" si="97"/>
        <v>135.88249684484026</v>
      </c>
      <c r="N167" s="33">
        <f t="shared" ca="1" si="97"/>
        <v>105.89074758344596</v>
      </c>
      <c r="O167" s="35">
        <f t="shared" ca="1" si="97"/>
        <v>68.706839179970416</v>
      </c>
    </row>
    <row r="169" spans="1:15" ht="15" x14ac:dyDescent="0.25">
      <c r="A169" t="s">
        <v>51</v>
      </c>
      <c r="B169" s="24" t="s">
        <v>164</v>
      </c>
      <c r="C169" s="23"/>
      <c r="D169" s="23"/>
      <c r="E169" s="23"/>
      <c r="F169" s="23"/>
      <c r="G169" s="23"/>
      <c r="H169" s="23"/>
      <c r="I169" s="51">
        <f>+I$20</f>
        <v>0</v>
      </c>
      <c r="J169" s="51">
        <f t="shared" ref="J169:O169" si="98">+J$20</f>
        <v>1</v>
      </c>
      <c r="K169" s="51">
        <f t="shared" si="98"/>
        <v>2</v>
      </c>
      <c r="L169" s="51">
        <f t="shared" si="98"/>
        <v>3</v>
      </c>
      <c r="M169" s="51">
        <f t="shared" si="98"/>
        <v>4</v>
      </c>
      <c r="N169" s="51">
        <f t="shared" si="98"/>
        <v>5</v>
      </c>
      <c r="O169" s="53">
        <f t="shared" si="98"/>
        <v>6</v>
      </c>
    </row>
    <row r="170" spans="1:15" x14ac:dyDescent="0.2">
      <c r="B170" s="26"/>
      <c r="C170" s="27" t="s">
        <v>61</v>
      </c>
      <c r="D170" s="27"/>
      <c r="E170" s="27"/>
      <c r="F170" s="27"/>
      <c r="G170" s="27"/>
      <c r="H170" s="27"/>
      <c r="I170" s="27"/>
      <c r="J170" s="27"/>
      <c r="K170" s="27"/>
      <c r="L170" s="27">
        <f>+M40</f>
        <v>61.186768000000029</v>
      </c>
      <c r="M170" s="27">
        <f>+N40</f>
        <v>70.090490000000031</v>
      </c>
      <c r="N170" s="27">
        <f>+O40</f>
        <v>80.097960846400042</v>
      </c>
      <c r="O170" s="29"/>
    </row>
    <row r="171" spans="1:15" x14ac:dyDescent="0.2">
      <c r="B171" s="26"/>
      <c r="C171" s="27" t="s">
        <v>65</v>
      </c>
      <c r="D171" s="27"/>
      <c r="E171" s="27"/>
      <c r="F171" s="27"/>
      <c r="G171" s="27"/>
      <c r="H171" s="27"/>
      <c r="I171" s="27"/>
      <c r="J171" s="27"/>
      <c r="K171" s="27"/>
      <c r="L171" s="77">
        <f>+$E$13</f>
        <v>11</v>
      </c>
      <c r="M171" s="77">
        <f t="shared" ref="M171:N171" si="99">+$E$13</f>
        <v>11</v>
      </c>
      <c r="N171" s="77">
        <f t="shared" si="99"/>
        <v>11</v>
      </c>
      <c r="O171" s="29"/>
    </row>
    <row r="172" spans="1:15" x14ac:dyDescent="0.2">
      <c r="B172" s="26"/>
      <c r="C172" s="27" t="s">
        <v>165</v>
      </c>
      <c r="D172" s="27"/>
      <c r="E172" s="27"/>
      <c r="F172" s="27"/>
      <c r="G172" s="27"/>
      <c r="H172" s="27"/>
      <c r="I172" s="27"/>
      <c r="J172" s="27"/>
      <c r="K172" s="27"/>
      <c r="L172" s="23">
        <f>+L171*L170</f>
        <v>673.05444800000032</v>
      </c>
      <c r="M172" s="23">
        <f t="shared" ref="M172:N172" si="100">+M171*M170</f>
        <v>770.99539000000038</v>
      </c>
      <c r="N172" s="23">
        <f t="shared" si="100"/>
        <v>881.07756931040046</v>
      </c>
      <c r="O172" s="29"/>
    </row>
    <row r="173" spans="1:15" x14ac:dyDescent="0.2"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9"/>
    </row>
    <row r="174" spans="1:15" x14ac:dyDescent="0.2">
      <c r="B174" s="26"/>
      <c r="C174" s="27" t="s">
        <v>166</v>
      </c>
      <c r="D174" s="27"/>
      <c r="E174" s="27"/>
      <c r="F174" s="27"/>
      <c r="G174" s="27"/>
      <c r="H174" s="27"/>
      <c r="I174" s="27"/>
      <c r="J174" s="27"/>
      <c r="K174" s="27"/>
      <c r="L174" s="27">
        <f ca="1">+L166*-1</f>
        <v>-182.58513882652755</v>
      </c>
      <c r="M174" s="27">
        <f t="shared" ref="M174:N174" ca="1" si="101">+M166*-1</f>
        <v>-163.51689819604428</v>
      </c>
      <c r="N174" s="27">
        <f t="shared" ca="1" si="101"/>
        <v>-139.06415834199737</v>
      </c>
      <c r="O174" s="29"/>
    </row>
    <row r="175" spans="1:15" x14ac:dyDescent="0.2">
      <c r="B175" s="26"/>
      <c r="C175" s="27" t="s">
        <v>167</v>
      </c>
      <c r="D175" s="27"/>
      <c r="E175" s="27"/>
      <c r="F175" s="27"/>
      <c r="G175" s="27"/>
      <c r="H175" s="27"/>
      <c r="I175" s="27"/>
      <c r="J175" s="27"/>
      <c r="K175" s="27"/>
      <c r="L175" s="27">
        <f ca="1">+L164</f>
        <v>22.955992132266687</v>
      </c>
      <c r="M175" s="27">
        <f t="shared" ref="M175:N175" ca="1" si="102">+M164</f>
        <v>27.634401351204012</v>
      </c>
      <c r="N175" s="27">
        <f t="shared" ca="1" si="102"/>
        <v>33.173410758551412</v>
      </c>
      <c r="O175" s="29"/>
    </row>
    <row r="176" spans="1:15" x14ac:dyDescent="0.2">
      <c r="B176" s="26"/>
      <c r="C176" s="27" t="s">
        <v>169</v>
      </c>
      <c r="D176" s="27"/>
      <c r="E176" s="27"/>
      <c r="F176" s="27"/>
      <c r="G176" s="27"/>
      <c r="H176" s="27"/>
      <c r="I176" s="27"/>
      <c r="J176" s="27"/>
      <c r="K176" s="27"/>
      <c r="L176" s="23">
        <f ca="1">+L175+L174+L172</f>
        <v>513.42530130573948</v>
      </c>
      <c r="M176" s="23">
        <f t="shared" ref="M176:N176" ca="1" si="103">+M175+M174+M172</f>
        <v>635.11289315516012</v>
      </c>
      <c r="N176" s="23">
        <f t="shared" ca="1" si="103"/>
        <v>775.18682172695446</v>
      </c>
      <c r="O176" s="29"/>
    </row>
    <row r="177" spans="1:15" x14ac:dyDescent="0.2"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9"/>
    </row>
    <row r="178" spans="1:15" x14ac:dyDescent="0.2">
      <c r="B178" s="26"/>
      <c r="C178" s="27" t="s">
        <v>171</v>
      </c>
      <c r="D178" s="27"/>
      <c r="E178" s="27"/>
      <c r="F178" s="39" t="s">
        <v>170</v>
      </c>
      <c r="G178" s="40"/>
      <c r="H178" s="45">
        <f>+E14</f>
        <v>0.05</v>
      </c>
      <c r="I178" s="27"/>
      <c r="J178" s="27"/>
      <c r="K178" s="27"/>
      <c r="L178" s="27">
        <f ca="1">+IF(L176&gt;$K$5, L176*$H$178)*-1</f>
        <v>-25.671265065286974</v>
      </c>
      <c r="M178" s="27">
        <f ca="1">+IF(M176&gt;$K$5, M176*$H$178)*-1</f>
        <v>-31.755644657758008</v>
      </c>
      <c r="N178" s="27">
        <f ca="1">+IF(N176&gt;$K$5, N176*$H$178)*-1</f>
        <v>-38.759341086347725</v>
      </c>
      <c r="O178" s="29"/>
    </row>
    <row r="179" spans="1:15" ht="15" x14ac:dyDescent="0.25">
      <c r="B179" s="26"/>
      <c r="C179" s="78" t="s">
        <v>208</v>
      </c>
      <c r="D179" s="27"/>
      <c r="E179" s="27"/>
      <c r="F179" s="27"/>
      <c r="G179" s="27"/>
      <c r="H179" s="46"/>
      <c r="I179" s="27"/>
      <c r="J179" s="27"/>
      <c r="K179" s="27"/>
      <c r="L179" s="27"/>
      <c r="M179" s="27"/>
      <c r="N179" s="27"/>
      <c r="O179" s="29"/>
    </row>
    <row r="180" spans="1:15" x14ac:dyDescent="0.2"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9"/>
    </row>
    <row r="181" spans="1:15" x14ac:dyDescent="0.2">
      <c r="B181" s="26"/>
      <c r="C181" s="27" t="s">
        <v>172</v>
      </c>
      <c r="D181" s="27"/>
      <c r="E181" s="27"/>
      <c r="F181" s="27"/>
      <c r="G181" s="27"/>
      <c r="H181" s="27"/>
      <c r="I181" s="27"/>
      <c r="J181" s="27"/>
      <c r="K181" s="27"/>
      <c r="L181" s="27">
        <f ca="1">+L178+L176</f>
        <v>487.75403624045248</v>
      </c>
      <c r="M181" s="27">
        <f t="shared" ref="M181:N181" ca="1" si="104">+M178+M176</f>
        <v>603.35724849740211</v>
      </c>
      <c r="N181" s="27">
        <f t="shared" ca="1" si="104"/>
        <v>736.42748064060675</v>
      </c>
      <c r="O181" s="29"/>
    </row>
    <row r="182" spans="1:15" x14ac:dyDescent="0.2">
      <c r="B182" s="26"/>
      <c r="C182" s="27" t="s">
        <v>173</v>
      </c>
      <c r="D182" s="27"/>
      <c r="E182" s="27"/>
      <c r="F182" s="27"/>
      <c r="G182" s="27"/>
      <c r="H182" s="27"/>
      <c r="I182" s="27"/>
      <c r="J182" s="27"/>
      <c r="K182" s="27"/>
      <c r="L182" s="27">
        <f>+$K$5</f>
        <v>293.18378378378384</v>
      </c>
      <c r="M182" s="27">
        <f t="shared" ref="M182:N182" si="105">+$K$5</f>
        <v>293.18378378378384</v>
      </c>
      <c r="N182" s="27">
        <f t="shared" si="105"/>
        <v>293.18378378378384</v>
      </c>
      <c r="O182" s="29"/>
    </row>
    <row r="183" spans="1:15" x14ac:dyDescent="0.2"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9"/>
    </row>
    <row r="184" spans="1:15" ht="15" x14ac:dyDescent="0.25">
      <c r="B184" s="26"/>
      <c r="C184" s="24" t="s">
        <v>174</v>
      </c>
      <c r="D184" s="74"/>
      <c r="E184" s="74"/>
      <c r="F184" s="74"/>
      <c r="G184" s="74"/>
      <c r="H184" s="74"/>
      <c r="I184" s="74"/>
      <c r="J184" s="74"/>
      <c r="K184" s="74"/>
      <c r="L184" s="79">
        <f ca="1">+L181/L182</f>
        <v>1.6636460241612805</v>
      </c>
      <c r="M184" s="79">
        <f t="shared" ref="M184:N184" ca="1" si="106">+M181/M182</f>
        <v>2.0579489107841105</v>
      </c>
      <c r="N184" s="80">
        <f t="shared" ca="1" si="106"/>
        <v>2.5118288301501175</v>
      </c>
      <c r="O184" s="29"/>
    </row>
    <row r="185" spans="1:15" ht="15" x14ac:dyDescent="0.25">
      <c r="B185" s="26"/>
      <c r="C185" s="81" t="s">
        <v>175</v>
      </c>
      <c r="D185" s="82"/>
      <c r="E185" s="82"/>
      <c r="F185" s="82"/>
      <c r="G185" s="82"/>
      <c r="H185" s="82"/>
      <c r="I185" s="82"/>
      <c r="J185" s="82"/>
      <c r="K185" s="82"/>
      <c r="L185" s="83">
        <f ca="1">+L184^(1/L169)-1</f>
        <v>0.18491439479902372</v>
      </c>
      <c r="M185" s="83">
        <f ca="1">+M184^(1/M169)-1</f>
        <v>0.19772922678965688</v>
      </c>
      <c r="N185" s="84">
        <f ca="1">+N184^(1/N169)-1</f>
        <v>0.20225892061803541</v>
      </c>
      <c r="O185" s="29"/>
    </row>
    <row r="186" spans="1:15" x14ac:dyDescent="0.2">
      <c r="B186" s="32"/>
      <c r="C186" s="33" t="s">
        <v>176</v>
      </c>
      <c r="D186" s="33"/>
      <c r="E186" s="33"/>
      <c r="F186" s="33"/>
      <c r="G186" s="33"/>
      <c r="H186" s="33"/>
      <c r="I186" s="33"/>
      <c r="J186" s="33"/>
      <c r="K186" s="33"/>
      <c r="L186" s="33">
        <f ca="1">+L181-L182</f>
        <v>194.57025245666864</v>
      </c>
      <c r="M186" s="33">
        <f t="shared" ref="M186:N186" ca="1" si="107">+M181-M182</f>
        <v>310.17346471361827</v>
      </c>
      <c r="N186" s="33">
        <f t="shared" ca="1" si="107"/>
        <v>443.24369685682291</v>
      </c>
      <c r="O186" s="35"/>
    </row>
    <row r="188" spans="1:15" ht="15" x14ac:dyDescent="0.25">
      <c r="A188" t="s">
        <v>51</v>
      </c>
      <c r="B188" s="24" t="s">
        <v>177</v>
      </c>
      <c r="C188" s="23"/>
      <c r="D188" s="23"/>
      <c r="E188" s="23"/>
      <c r="F188" s="23"/>
      <c r="G188" s="23"/>
      <c r="H188" s="23"/>
      <c r="I188" s="51">
        <f>+I$20</f>
        <v>0</v>
      </c>
      <c r="J188" s="51">
        <f t="shared" ref="J188:N188" si="108">+J$20</f>
        <v>1</v>
      </c>
      <c r="K188" s="51">
        <f t="shared" si="108"/>
        <v>2</v>
      </c>
      <c r="L188" s="51">
        <f t="shared" si="108"/>
        <v>3</v>
      </c>
      <c r="M188" s="51">
        <f t="shared" si="108"/>
        <v>4</v>
      </c>
      <c r="N188" s="51">
        <f t="shared" si="108"/>
        <v>5</v>
      </c>
      <c r="O188" s="25"/>
    </row>
    <row r="189" spans="1:15" ht="15" x14ac:dyDescent="0.25">
      <c r="B189" s="72"/>
      <c r="C189" s="27" t="s">
        <v>60</v>
      </c>
      <c r="D189" s="27"/>
      <c r="E189" s="27"/>
      <c r="F189" s="27"/>
      <c r="G189" s="27"/>
      <c r="H189" s="27"/>
      <c r="I189" s="27"/>
      <c r="J189" s="27"/>
      <c r="K189" s="27"/>
      <c r="L189" s="77">
        <f>+$E$3</f>
        <v>12</v>
      </c>
      <c r="M189" s="77">
        <f t="shared" ref="M189:N189" si="109">+$E$3</f>
        <v>12</v>
      </c>
      <c r="N189" s="77">
        <f t="shared" si="109"/>
        <v>12</v>
      </c>
      <c r="O189" s="29"/>
    </row>
    <row r="190" spans="1:15" ht="15" x14ac:dyDescent="0.25">
      <c r="B190" s="72"/>
      <c r="C190" s="27" t="s">
        <v>65</v>
      </c>
      <c r="D190" s="27"/>
      <c r="E190" s="27"/>
      <c r="F190" s="27"/>
      <c r="G190" s="27"/>
      <c r="H190" s="27"/>
      <c r="I190" s="27"/>
      <c r="J190" s="27"/>
      <c r="K190" s="27"/>
      <c r="L190" s="77">
        <f>+L171</f>
        <v>11</v>
      </c>
      <c r="M190" s="77">
        <f t="shared" ref="M190:N190" si="110">+M171</f>
        <v>11</v>
      </c>
      <c r="N190" s="77">
        <f t="shared" si="110"/>
        <v>11</v>
      </c>
      <c r="O190" s="29"/>
    </row>
    <row r="191" spans="1:15" ht="15" x14ac:dyDescent="0.25">
      <c r="B191" s="72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9"/>
    </row>
    <row r="192" spans="1:15" ht="15" x14ac:dyDescent="0.25">
      <c r="B192" s="72"/>
      <c r="C192" s="27" t="s">
        <v>178</v>
      </c>
      <c r="D192" s="27"/>
      <c r="E192" s="27"/>
      <c r="F192" s="27"/>
      <c r="G192" s="27"/>
      <c r="H192" s="27"/>
      <c r="I192" s="27"/>
      <c r="J192" s="27"/>
      <c r="K192" s="27"/>
      <c r="L192" s="27">
        <f>+L190-L189</f>
        <v>-1</v>
      </c>
      <c r="M192" s="27">
        <f t="shared" ref="M192:N192" si="111">+M190-M189</f>
        <v>-1</v>
      </c>
      <c r="N192" s="27">
        <f t="shared" si="111"/>
        <v>-1</v>
      </c>
      <c r="O192" s="29"/>
    </row>
    <row r="193" spans="2:15" ht="15" x14ac:dyDescent="0.25">
      <c r="B193" s="72"/>
      <c r="C193" s="27" t="s">
        <v>180</v>
      </c>
      <c r="D193" s="27"/>
      <c r="E193" s="27"/>
      <c r="F193" s="27"/>
      <c r="G193" s="27"/>
      <c r="H193" s="27"/>
      <c r="I193" s="27"/>
      <c r="J193" s="27"/>
      <c r="K193" s="27"/>
      <c r="L193" s="27">
        <f>+L170</f>
        <v>61.186768000000029</v>
      </c>
      <c r="M193" s="27">
        <f t="shared" ref="M193:N193" si="112">+M170</f>
        <v>70.090490000000031</v>
      </c>
      <c r="N193" s="27">
        <f t="shared" si="112"/>
        <v>80.097960846400042</v>
      </c>
      <c r="O193" s="29"/>
    </row>
    <row r="194" spans="2:15" ht="15" x14ac:dyDescent="0.25">
      <c r="B194" s="72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9"/>
    </row>
    <row r="195" spans="2:15" ht="15" x14ac:dyDescent="0.25">
      <c r="B195" s="72"/>
      <c r="C195" s="39" t="s">
        <v>182</v>
      </c>
      <c r="D195" s="40"/>
      <c r="E195" s="40"/>
      <c r="F195" s="40"/>
      <c r="G195" s="40"/>
      <c r="H195" s="40"/>
      <c r="I195" s="40"/>
      <c r="J195" s="40"/>
      <c r="K195" s="40"/>
      <c r="L195" s="40">
        <f>+L193*L192</f>
        <v>-61.186768000000029</v>
      </c>
      <c r="M195" s="40">
        <f t="shared" ref="M195:N195" si="113">+M193*M192</f>
        <v>-70.090490000000031</v>
      </c>
      <c r="N195" s="41">
        <f t="shared" si="113"/>
        <v>-80.097960846400042</v>
      </c>
      <c r="O195" s="29"/>
    </row>
    <row r="196" spans="2:15" ht="15" x14ac:dyDescent="0.25">
      <c r="B196" s="72"/>
      <c r="C196" s="56" t="s">
        <v>206</v>
      </c>
      <c r="D196" s="27"/>
      <c r="E196" s="27"/>
      <c r="F196" s="27"/>
      <c r="G196" s="27"/>
      <c r="H196" s="27"/>
      <c r="I196" s="27"/>
      <c r="J196" s="27"/>
      <c r="K196" s="27"/>
      <c r="L196" s="58">
        <f ca="1">+L195/L$218</f>
        <v>-0.3144713399270862</v>
      </c>
      <c r="M196" s="58">
        <f t="shared" ref="M196:N196" ca="1" si="114">+M195/M$218</f>
        <v>-0.22597190918544324</v>
      </c>
      <c r="N196" s="58">
        <f t="shared" ca="1" si="114"/>
        <v>-0.18070862916810604</v>
      </c>
      <c r="O196" s="29"/>
    </row>
    <row r="197" spans="2:15" ht="15" x14ac:dyDescent="0.25">
      <c r="B197" s="72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9"/>
    </row>
    <row r="198" spans="2:15" ht="15" x14ac:dyDescent="0.25">
      <c r="B198" s="72"/>
      <c r="C198" s="27" t="s">
        <v>183</v>
      </c>
      <c r="D198" s="27"/>
      <c r="E198" s="27"/>
      <c r="F198" s="27"/>
      <c r="G198" s="27"/>
      <c r="H198" s="27"/>
      <c r="I198" s="27"/>
      <c r="J198" s="27"/>
      <c r="K198" s="27"/>
      <c r="L198" s="27">
        <f>+$I$166</f>
        <v>216.2162162162162</v>
      </c>
      <c r="M198" s="27">
        <f t="shared" ref="M198:N198" si="115">+$I$166</f>
        <v>216.2162162162162</v>
      </c>
      <c r="N198" s="27">
        <f t="shared" si="115"/>
        <v>216.2162162162162</v>
      </c>
      <c r="O198" s="29"/>
    </row>
    <row r="199" spans="2:15" ht="15" x14ac:dyDescent="0.25">
      <c r="B199" s="72"/>
      <c r="C199" s="27" t="s">
        <v>184</v>
      </c>
      <c r="D199" s="27"/>
      <c r="E199" s="27"/>
      <c r="F199" s="27"/>
      <c r="G199" s="27"/>
      <c r="H199" s="27"/>
      <c r="I199" s="27"/>
      <c r="J199" s="27"/>
      <c r="K199" s="27"/>
      <c r="L199" s="27">
        <f ca="1">+L166</f>
        <v>182.58513882652755</v>
      </c>
      <c r="M199" s="27">
        <f t="shared" ref="M199:N199" ca="1" si="116">+M166</f>
        <v>163.51689819604428</v>
      </c>
      <c r="N199" s="27">
        <f t="shared" ca="1" si="116"/>
        <v>139.06415834199737</v>
      </c>
      <c r="O199" s="29"/>
    </row>
    <row r="200" spans="2:15" ht="15" x14ac:dyDescent="0.25">
      <c r="B200" s="72"/>
      <c r="C200" s="27" t="s">
        <v>185</v>
      </c>
      <c r="D200" s="27"/>
      <c r="E200" s="27"/>
      <c r="F200" s="27"/>
      <c r="G200" s="27"/>
      <c r="H200" s="27"/>
      <c r="I200" s="27"/>
      <c r="J200" s="27"/>
      <c r="K200" s="27"/>
      <c r="L200" s="27">
        <f>+$I$164</f>
        <v>15</v>
      </c>
      <c r="M200" s="27">
        <f t="shared" ref="M200:N200" si="117">+$I$164</f>
        <v>15</v>
      </c>
      <c r="N200" s="27">
        <f t="shared" si="117"/>
        <v>15</v>
      </c>
      <c r="O200" s="29"/>
    </row>
    <row r="201" spans="2:15" ht="15" x14ac:dyDescent="0.25">
      <c r="B201" s="72"/>
      <c r="C201" s="27" t="s">
        <v>186</v>
      </c>
      <c r="D201" s="27"/>
      <c r="E201" s="27"/>
      <c r="F201" s="27"/>
      <c r="G201" s="27"/>
      <c r="H201" s="27"/>
      <c r="I201" s="27"/>
      <c r="J201" s="27"/>
      <c r="K201" s="27"/>
      <c r="L201" s="27">
        <f ca="1">+L164</f>
        <v>22.955992132266687</v>
      </c>
      <c r="M201" s="27">
        <f t="shared" ref="M201:N201" ca="1" si="118">+M164</f>
        <v>27.634401351204012</v>
      </c>
      <c r="N201" s="27">
        <f t="shared" ca="1" si="118"/>
        <v>33.173410758551412</v>
      </c>
      <c r="O201" s="29"/>
    </row>
    <row r="202" spans="2:15" ht="15" x14ac:dyDescent="0.25">
      <c r="B202" s="72"/>
      <c r="C202" s="27" t="s">
        <v>31</v>
      </c>
      <c r="D202" s="27"/>
      <c r="E202" s="27"/>
      <c r="F202" s="27"/>
      <c r="G202" s="27"/>
      <c r="H202" s="27"/>
      <c r="I202" s="27"/>
      <c r="J202" s="27"/>
      <c r="K202" s="27"/>
      <c r="L202" s="27">
        <f>+$O$5+$O$4</f>
        <v>14.399999999999997</v>
      </c>
      <c r="M202" s="27">
        <f t="shared" ref="M202:N202" si="119">+$O$5+$O$4</f>
        <v>14.399999999999997</v>
      </c>
      <c r="N202" s="27">
        <f t="shared" si="119"/>
        <v>14.399999999999997</v>
      </c>
      <c r="O202" s="29"/>
    </row>
    <row r="203" spans="2:15" ht="15" x14ac:dyDescent="0.25">
      <c r="B203" s="72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9"/>
    </row>
    <row r="204" spans="2:15" ht="15" x14ac:dyDescent="0.25">
      <c r="B204" s="72"/>
      <c r="C204" s="39" t="s">
        <v>187</v>
      </c>
      <c r="D204" s="40"/>
      <c r="E204" s="40"/>
      <c r="F204" s="40"/>
      <c r="G204" s="40"/>
      <c r="H204" s="40"/>
      <c r="I204" s="40"/>
      <c r="J204" s="40"/>
      <c r="K204" s="40"/>
      <c r="L204" s="40">
        <f ca="1">+L198-L199+L201-L200-L202</f>
        <v>27.18706952195533</v>
      </c>
      <c r="M204" s="40">
        <f t="shared" ref="M204:N204" ca="1" si="120">+M198-M199+M201-M200-M202</f>
        <v>50.933719371375936</v>
      </c>
      <c r="N204" s="41">
        <f t="shared" ca="1" si="120"/>
        <v>80.925468632770247</v>
      </c>
      <c r="O204" s="29"/>
    </row>
    <row r="205" spans="2:15" ht="15" x14ac:dyDescent="0.25">
      <c r="B205" s="72"/>
      <c r="C205" s="56" t="s">
        <v>206</v>
      </c>
      <c r="D205" s="27"/>
      <c r="E205" s="27"/>
      <c r="F205" s="27"/>
      <c r="G205" s="27"/>
      <c r="H205" s="27"/>
      <c r="I205" s="27"/>
      <c r="J205" s="27"/>
      <c r="K205" s="27"/>
      <c r="L205" s="58">
        <f ca="1">+L204/L$218</f>
        <v>0.13972880837994475</v>
      </c>
      <c r="M205" s="58">
        <f t="shared" ref="M205" ca="1" si="121">+M204/M$218</f>
        <v>0.16421043437227231</v>
      </c>
      <c r="N205" s="58">
        <f t="shared" ref="N205" ca="1" si="122">+N204/N$218</f>
        <v>0.18257556555600804</v>
      </c>
      <c r="O205" s="29"/>
    </row>
    <row r="206" spans="2:15" ht="15" x14ac:dyDescent="0.25">
      <c r="B206" s="72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9"/>
    </row>
    <row r="207" spans="2:15" x14ac:dyDescent="0.2">
      <c r="B207" s="26"/>
      <c r="C207" s="27" t="s">
        <v>179</v>
      </c>
      <c r="D207" s="27"/>
      <c r="E207" s="27"/>
      <c r="F207" s="27"/>
      <c r="G207" s="27"/>
      <c r="H207" s="27"/>
      <c r="I207" s="27"/>
      <c r="J207" s="27"/>
      <c r="K207" s="27"/>
      <c r="L207" s="27">
        <f>+$J$40</f>
        <v>40</v>
      </c>
      <c r="M207" s="27">
        <f t="shared" ref="M207:N207" si="123">+$J$40</f>
        <v>40</v>
      </c>
      <c r="N207" s="27">
        <f t="shared" si="123"/>
        <v>40</v>
      </c>
      <c r="O207" s="29"/>
    </row>
    <row r="208" spans="2:15" x14ac:dyDescent="0.2">
      <c r="B208" s="26"/>
      <c r="C208" s="27" t="s">
        <v>180</v>
      </c>
      <c r="D208" s="27"/>
      <c r="E208" s="27"/>
      <c r="F208" s="27"/>
      <c r="G208" s="27"/>
      <c r="H208" s="27"/>
      <c r="I208" s="27"/>
      <c r="J208" s="27"/>
      <c r="K208" s="27"/>
      <c r="L208" s="27">
        <f>+L170</f>
        <v>61.186768000000029</v>
      </c>
      <c r="M208" s="27">
        <f>+M170</f>
        <v>70.090490000000031</v>
      </c>
      <c r="N208" s="27">
        <f>+N170</f>
        <v>80.097960846400042</v>
      </c>
      <c r="O208" s="29"/>
    </row>
    <row r="209" spans="2:15" x14ac:dyDescent="0.2"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9"/>
    </row>
    <row r="210" spans="2:15" x14ac:dyDescent="0.2">
      <c r="B210" s="26"/>
      <c r="C210" s="27" t="s">
        <v>178</v>
      </c>
      <c r="D210" s="27"/>
      <c r="E210" s="27"/>
      <c r="F210" s="27"/>
      <c r="G210" s="27"/>
      <c r="H210" s="27"/>
      <c r="I210" s="27"/>
      <c r="J210" s="27"/>
      <c r="K210" s="27"/>
      <c r="L210" s="27">
        <f>+L208-L207</f>
        <v>21.186768000000029</v>
      </c>
      <c r="M210" s="27">
        <f t="shared" ref="M210:N210" si="124">+M208-M207</f>
        <v>30.090490000000031</v>
      </c>
      <c r="N210" s="27">
        <f t="shared" si="124"/>
        <v>40.097960846400042</v>
      </c>
      <c r="O210" s="29"/>
    </row>
    <row r="211" spans="2:15" x14ac:dyDescent="0.2">
      <c r="B211" s="26"/>
      <c r="C211" s="27" t="s">
        <v>60</v>
      </c>
      <c r="D211" s="27"/>
      <c r="E211" s="27"/>
      <c r="F211" s="27"/>
      <c r="G211" s="27"/>
      <c r="H211" s="27"/>
      <c r="I211" s="27"/>
      <c r="J211" s="27"/>
      <c r="K211" s="27"/>
      <c r="L211" s="77">
        <f>+$E$3</f>
        <v>12</v>
      </c>
      <c r="M211" s="77">
        <f t="shared" ref="M211:N211" si="125">+$E$3</f>
        <v>12</v>
      </c>
      <c r="N211" s="77">
        <f t="shared" si="125"/>
        <v>12</v>
      </c>
      <c r="O211" s="29"/>
    </row>
    <row r="212" spans="2:15" x14ac:dyDescent="0.2"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9"/>
    </row>
    <row r="213" spans="2:15" x14ac:dyDescent="0.2">
      <c r="B213" s="26"/>
      <c r="C213" s="39" t="s">
        <v>181</v>
      </c>
      <c r="D213" s="40"/>
      <c r="E213" s="40"/>
      <c r="F213" s="40"/>
      <c r="G213" s="40"/>
      <c r="H213" s="40"/>
      <c r="I213" s="40"/>
      <c r="J213" s="40"/>
      <c r="K213" s="40"/>
      <c r="L213" s="40">
        <f>+L211*L210</f>
        <v>254.24121600000035</v>
      </c>
      <c r="M213" s="40">
        <f t="shared" ref="M213:N213" si="126">+M211*M210</f>
        <v>361.08588000000037</v>
      </c>
      <c r="N213" s="41">
        <f t="shared" si="126"/>
        <v>481.17553015680051</v>
      </c>
      <c r="O213" s="29"/>
    </row>
    <row r="214" spans="2:15" x14ac:dyDescent="0.2">
      <c r="B214" s="26"/>
      <c r="C214" s="56" t="s">
        <v>206</v>
      </c>
      <c r="D214" s="27"/>
      <c r="E214" s="27"/>
      <c r="F214" s="27"/>
      <c r="G214" s="27"/>
      <c r="H214" s="27"/>
      <c r="I214" s="27"/>
      <c r="J214" s="27"/>
      <c r="K214" s="27"/>
      <c r="L214" s="58">
        <f ca="1">+L213/L$218</f>
        <v>1.3066808147181725</v>
      </c>
      <c r="M214" s="58">
        <f t="shared" ref="M214:N214" ca="1" si="127">+M213/M$218</f>
        <v>1.1641417499507551</v>
      </c>
      <c r="N214" s="58">
        <f t="shared" ca="1" si="127"/>
        <v>1.0855778290113627</v>
      </c>
      <c r="O214" s="29"/>
    </row>
    <row r="215" spans="2:15" x14ac:dyDescent="0.2"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9"/>
    </row>
    <row r="216" spans="2:15" x14ac:dyDescent="0.2">
      <c r="B216" s="26"/>
      <c r="C216" s="27" t="s">
        <v>189</v>
      </c>
      <c r="D216" s="27"/>
      <c r="E216" s="27"/>
      <c r="F216" s="27"/>
      <c r="G216" s="27"/>
      <c r="H216" s="27"/>
      <c r="I216" s="27"/>
      <c r="J216" s="27"/>
      <c r="K216" s="27"/>
      <c r="L216" s="27">
        <f ca="1">+L178</f>
        <v>-25.671265065286974</v>
      </c>
      <c r="M216" s="27">
        <f t="shared" ref="M216:N216" ca="1" si="128">+M178</f>
        <v>-31.755644657758008</v>
      </c>
      <c r="N216" s="27">
        <f t="shared" ca="1" si="128"/>
        <v>-38.759341086347725</v>
      </c>
      <c r="O216" s="29"/>
    </row>
    <row r="217" spans="2:15" x14ac:dyDescent="0.2"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9"/>
    </row>
    <row r="218" spans="2:15" x14ac:dyDescent="0.2">
      <c r="B218" s="26"/>
      <c r="C218" s="27" t="s">
        <v>190</v>
      </c>
      <c r="D218" s="27"/>
      <c r="E218" s="27"/>
      <c r="F218" s="27"/>
      <c r="G218" s="27"/>
      <c r="H218" s="27"/>
      <c r="I218" s="27"/>
      <c r="J218" s="27"/>
      <c r="K218" s="27"/>
      <c r="L218" s="27">
        <f ca="1">+L216+L213+L204+L195</f>
        <v>194.57025245666867</v>
      </c>
      <c r="M218" s="27">
        <f t="shared" ref="M218:N218" ca="1" si="129">+M216+M213+M204+M195</f>
        <v>310.17346471361827</v>
      </c>
      <c r="N218" s="27">
        <f t="shared" ca="1" si="129"/>
        <v>443.24369685682302</v>
      </c>
      <c r="O218" s="29"/>
    </row>
    <row r="219" spans="2:15" x14ac:dyDescent="0.2"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9"/>
    </row>
    <row r="220" spans="2:15" x14ac:dyDescent="0.2">
      <c r="B220" s="26"/>
      <c r="C220" s="27" t="s">
        <v>188</v>
      </c>
      <c r="D220" s="27"/>
      <c r="E220" s="27"/>
      <c r="F220" s="27"/>
      <c r="G220" s="27"/>
      <c r="H220" s="27"/>
      <c r="I220" s="27"/>
      <c r="J220" s="27"/>
      <c r="K220" s="27"/>
      <c r="L220" s="27">
        <f ca="1">+L186</f>
        <v>194.57025245666864</v>
      </c>
      <c r="M220" s="27">
        <f t="shared" ref="M220:N220" ca="1" si="130">+M186</f>
        <v>310.17346471361827</v>
      </c>
      <c r="N220" s="27">
        <f t="shared" ca="1" si="130"/>
        <v>443.24369685682291</v>
      </c>
      <c r="O220" s="29"/>
    </row>
    <row r="221" spans="2:15" x14ac:dyDescent="0.2">
      <c r="B221" s="26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9"/>
    </row>
    <row r="222" spans="2:15" x14ac:dyDescent="0.2">
      <c r="B222" s="26"/>
      <c r="C222" s="27" t="s">
        <v>207</v>
      </c>
      <c r="D222" s="27"/>
      <c r="E222" s="27"/>
      <c r="F222" s="27"/>
      <c r="G222" s="27"/>
      <c r="H222" s="27"/>
      <c r="I222" s="27"/>
      <c r="J222" s="27"/>
      <c r="K222" s="27"/>
      <c r="L222" s="27">
        <f ca="1">+L220-L218</f>
        <v>0</v>
      </c>
      <c r="M222" s="27">
        <f t="shared" ref="M222:N222" ca="1" si="131">+M220-M218</f>
        <v>0</v>
      </c>
      <c r="N222" s="27">
        <f t="shared" ca="1" si="131"/>
        <v>0</v>
      </c>
      <c r="O222" s="29"/>
    </row>
    <row r="223" spans="2:15" x14ac:dyDescent="0.2">
      <c r="B223" s="26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9"/>
    </row>
    <row r="224" spans="2:15" ht="15" x14ac:dyDescent="0.25">
      <c r="B224" s="26"/>
      <c r="C224" s="78" t="s">
        <v>209</v>
      </c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9"/>
    </row>
    <row r="225" spans="2:15" x14ac:dyDescent="0.2">
      <c r="B225" s="26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9"/>
    </row>
    <row r="226" spans="2:15" x14ac:dyDescent="0.2">
      <c r="B226" s="26"/>
      <c r="C226" s="27" t="s">
        <v>212</v>
      </c>
      <c r="D226" s="27"/>
      <c r="E226" s="27"/>
      <c r="F226" s="27"/>
      <c r="G226" s="27"/>
      <c r="H226" s="27"/>
      <c r="I226" s="27"/>
      <c r="J226" s="27"/>
      <c r="K226" s="27"/>
      <c r="L226" s="27">
        <f>+$J$22</f>
        <v>200</v>
      </c>
      <c r="M226" s="27">
        <f t="shared" ref="M226:N226" si="132">+$J$22</f>
        <v>200</v>
      </c>
      <c r="N226" s="27">
        <f t="shared" si="132"/>
        <v>200</v>
      </c>
      <c r="O226" s="29"/>
    </row>
    <row r="227" spans="2:15" x14ac:dyDescent="0.2">
      <c r="B227" s="26"/>
      <c r="C227" s="27" t="s">
        <v>213</v>
      </c>
      <c r="D227" s="27"/>
      <c r="E227" s="27"/>
      <c r="F227" s="27"/>
      <c r="G227" s="27"/>
      <c r="H227" s="27"/>
      <c r="I227" s="27"/>
      <c r="J227" s="27"/>
      <c r="K227" s="27"/>
      <c r="L227" s="27">
        <f>+M22</f>
        <v>273.52620000000007</v>
      </c>
      <c r="M227" s="27">
        <f t="shared" ref="M227:N227" si="133">+N22</f>
        <v>303.61408200000011</v>
      </c>
      <c r="N227" s="27">
        <f t="shared" si="133"/>
        <v>337.01163102000015</v>
      </c>
      <c r="O227" s="29"/>
    </row>
    <row r="228" spans="2:15" x14ac:dyDescent="0.2">
      <c r="B228" s="26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9"/>
    </row>
    <row r="229" spans="2:15" x14ac:dyDescent="0.2">
      <c r="B229" s="26"/>
      <c r="C229" s="27" t="s">
        <v>178</v>
      </c>
      <c r="D229" s="27"/>
      <c r="E229" s="27"/>
      <c r="F229" s="27"/>
      <c r="G229" s="27"/>
      <c r="H229" s="27"/>
      <c r="I229" s="27"/>
      <c r="J229" s="27"/>
      <c r="K229" s="27"/>
      <c r="L229" s="27">
        <f>+L227-L226</f>
        <v>73.526200000000074</v>
      </c>
      <c r="M229" s="27">
        <f t="shared" ref="M229:N229" si="134">+M227-M226</f>
        <v>103.61408200000011</v>
      </c>
      <c r="N229" s="27">
        <f t="shared" si="134"/>
        <v>137.01163102000015</v>
      </c>
      <c r="O229" s="29"/>
    </row>
    <row r="230" spans="2:15" x14ac:dyDescent="0.2">
      <c r="B230" s="26"/>
      <c r="C230" s="27" t="s">
        <v>214</v>
      </c>
      <c r="D230" s="27"/>
      <c r="E230" s="27"/>
      <c r="F230" s="27"/>
      <c r="G230" s="27"/>
      <c r="H230" s="27"/>
      <c r="I230" s="27"/>
      <c r="J230" s="27"/>
      <c r="K230" s="27"/>
      <c r="L230" s="46">
        <f>+$I$41</f>
        <v>0.2</v>
      </c>
      <c r="M230" s="46">
        <f t="shared" ref="M230:N230" si="135">+$I$41</f>
        <v>0.2</v>
      </c>
      <c r="N230" s="46">
        <f t="shared" si="135"/>
        <v>0.2</v>
      </c>
      <c r="O230" s="29"/>
    </row>
    <row r="231" spans="2:15" x14ac:dyDescent="0.2">
      <c r="B231" s="26"/>
      <c r="C231" s="27" t="s">
        <v>60</v>
      </c>
      <c r="D231" s="27"/>
      <c r="E231" s="27"/>
      <c r="F231" s="27"/>
      <c r="G231" s="27"/>
      <c r="H231" s="27"/>
      <c r="I231" s="27"/>
      <c r="J231" s="27"/>
      <c r="K231" s="27"/>
      <c r="L231" s="77">
        <f>+L189</f>
        <v>12</v>
      </c>
      <c r="M231" s="77">
        <f t="shared" ref="M231:N231" si="136">+M189</f>
        <v>12</v>
      </c>
      <c r="N231" s="77">
        <f t="shared" si="136"/>
        <v>12</v>
      </c>
      <c r="O231" s="29"/>
    </row>
    <row r="232" spans="2:15" x14ac:dyDescent="0.2">
      <c r="B232" s="2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9"/>
    </row>
    <row r="233" spans="2:15" x14ac:dyDescent="0.2">
      <c r="B233" s="26"/>
      <c r="C233" s="39" t="s">
        <v>215</v>
      </c>
      <c r="D233" s="40"/>
      <c r="E233" s="40"/>
      <c r="F233" s="40"/>
      <c r="G233" s="40"/>
      <c r="H233" s="40"/>
      <c r="I233" s="40"/>
      <c r="J233" s="40"/>
      <c r="K233" s="40"/>
      <c r="L233" s="40">
        <f>+L231*L230*L229</f>
        <v>176.46288000000021</v>
      </c>
      <c r="M233" s="40">
        <f t="shared" ref="M233:N233" si="137">+M231*M230*M229</f>
        <v>248.6737968000003</v>
      </c>
      <c r="N233" s="41">
        <f t="shared" si="137"/>
        <v>328.8279144480004</v>
      </c>
      <c r="O233" s="29"/>
    </row>
    <row r="234" spans="2:15" x14ac:dyDescent="0.2">
      <c r="B234" s="26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9"/>
    </row>
    <row r="235" spans="2:15" x14ac:dyDescent="0.2">
      <c r="B235" s="26"/>
      <c r="C235" s="27" t="s">
        <v>216</v>
      </c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9"/>
    </row>
    <row r="236" spans="2:15" x14ac:dyDescent="0.2">
      <c r="B236" s="26"/>
      <c r="C236" s="27" t="s">
        <v>214</v>
      </c>
      <c r="D236" s="27"/>
      <c r="E236" s="27"/>
      <c r="F236" s="27"/>
      <c r="G236" s="27"/>
      <c r="H236" s="27"/>
      <c r="I236" s="27"/>
      <c r="J236" s="27"/>
      <c r="K236" s="27"/>
      <c r="L236" s="46">
        <f>+$J$29</f>
        <v>0.12</v>
      </c>
      <c r="M236" s="46">
        <f t="shared" ref="M236:N236" si="138">+$J$29</f>
        <v>0.12</v>
      </c>
      <c r="N236" s="46">
        <f t="shared" si="138"/>
        <v>0.12</v>
      </c>
      <c r="O236" s="29"/>
    </row>
    <row r="237" spans="2:15" x14ac:dyDescent="0.2">
      <c r="B237" s="26"/>
      <c r="C237" s="27" t="s">
        <v>217</v>
      </c>
      <c r="D237" s="27"/>
      <c r="E237" s="27"/>
      <c r="F237" s="27"/>
      <c r="G237" s="27"/>
      <c r="H237" s="27"/>
      <c r="I237" s="27"/>
      <c r="J237" s="27"/>
      <c r="K237" s="27"/>
      <c r="L237" s="46">
        <f>+M29</f>
        <v>0.12</v>
      </c>
      <c r="M237" s="46">
        <f t="shared" ref="M237:N237" si="139">+N29</f>
        <v>0.12</v>
      </c>
      <c r="N237" s="46">
        <f t="shared" si="139"/>
        <v>0.12</v>
      </c>
      <c r="O237" s="29"/>
    </row>
    <row r="238" spans="2:15" x14ac:dyDescent="0.2">
      <c r="B238" s="26"/>
      <c r="C238" s="27" t="s">
        <v>178</v>
      </c>
      <c r="D238" s="27"/>
      <c r="E238" s="27"/>
      <c r="F238" s="27"/>
      <c r="G238" s="27"/>
      <c r="H238" s="27"/>
      <c r="I238" s="27"/>
      <c r="J238" s="27"/>
      <c r="K238" s="27"/>
      <c r="L238" s="27">
        <f>+L236-L237</f>
        <v>0</v>
      </c>
      <c r="M238" s="27">
        <f t="shared" ref="M238:N238" si="140">+M236-M237</f>
        <v>0</v>
      </c>
      <c r="N238" s="27">
        <f t="shared" si="140"/>
        <v>0</v>
      </c>
      <c r="O238" s="29"/>
    </row>
    <row r="239" spans="2:15" x14ac:dyDescent="0.2">
      <c r="B239" s="26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9"/>
    </row>
    <row r="240" spans="2:15" x14ac:dyDescent="0.2">
      <c r="B240" s="26"/>
      <c r="C240" s="27" t="s">
        <v>218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9"/>
    </row>
    <row r="241" spans="2:15" x14ac:dyDescent="0.2">
      <c r="B241" s="26"/>
      <c r="C241" s="27" t="s">
        <v>214</v>
      </c>
      <c r="D241" s="27"/>
      <c r="E241" s="27"/>
      <c r="F241" s="27"/>
      <c r="G241" s="27"/>
      <c r="H241" s="27"/>
      <c r="I241" s="27"/>
      <c r="J241" s="27"/>
      <c r="K241" s="27"/>
      <c r="L241" s="46">
        <f>+$J$33</f>
        <v>0.08</v>
      </c>
      <c r="M241" s="46">
        <f t="shared" ref="M241:N241" si="141">+$J$33</f>
        <v>0.08</v>
      </c>
      <c r="N241" s="46">
        <f t="shared" si="141"/>
        <v>0.08</v>
      </c>
      <c r="O241" s="29"/>
    </row>
    <row r="242" spans="2:15" x14ac:dyDescent="0.2">
      <c r="B242" s="26"/>
      <c r="C242" s="27" t="s">
        <v>217</v>
      </c>
      <c r="D242" s="27"/>
      <c r="E242" s="27"/>
      <c r="F242" s="27"/>
      <c r="G242" s="27"/>
      <c r="H242" s="27"/>
      <c r="I242" s="27"/>
      <c r="J242" s="27"/>
      <c r="K242" s="27"/>
      <c r="L242" s="46">
        <f>+M33</f>
        <v>7.1659270665844793E-2</v>
      </c>
      <c r="M242" s="46">
        <f t="shared" ref="M242:N242" si="142">+N33</f>
        <v>6.9076954605814353E-2</v>
      </c>
      <c r="N242" s="46">
        <f t="shared" si="142"/>
        <v>6.65876949803796E-2</v>
      </c>
      <c r="O242" s="29"/>
    </row>
    <row r="243" spans="2:15" x14ac:dyDescent="0.2">
      <c r="B243" s="26"/>
      <c r="C243" s="27" t="s">
        <v>178</v>
      </c>
      <c r="D243" s="27"/>
      <c r="E243" s="27"/>
      <c r="F243" s="27"/>
      <c r="G243" s="27"/>
      <c r="H243" s="27"/>
      <c r="I243" s="27"/>
      <c r="J243" s="27"/>
      <c r="K243" s="27"/>
      <c r="L243" s="46">
        <f>+L241-L242</f>
        <v>8.3407293341552086E-3</v>
      </c>
      <c r="M243" s="46">
        <f t="shared" ref="M243:N243" si="143">+M241-M242</f>
        <v>1.0923045394185649E-2</v>
      </c>
      <c r="N243" s="46">
        <f t="shared" si="143"/>
        <v>1.3412305019620402E-2</v>
      </c>
      <c r="O243" s="29"/>
    </row>
    <row r="244" spans="2:15" x14ac:dyDescent="0.2">
      <c r="B244" s="26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9"/>
    </row>
    <row r="245" spans="2:15" x14ac:dyDescent="0.2">
      <c r="B245" s="26"/>
      <c r="C245" s="27" t="s">
        <v>219</v>
      </c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9"/>
    </row>
    <row r="246" spans="2:15" x14ac:dyDescent="0.2">
      <c r="B246" s="26"/>
      <c r="C246" s="27" t="s">
        <v>214</v>
      </c>
      <c r="D246" s="27"/>
      <c r="E246" s="27"/>
      <c r="F246" s="27"/>
      <c r="G246" s="27"/>
      <c r="H246" s="27"/>
      <c r="I246" s="27"/>
      <c r="J246" s="27"/>
      <c r="K246" s="27"/>
      <c r="L246" s="46">
        <f>+$J$37</f>
        <v>9.9999999999999992E-2</v>
      </c>
      <c r="M246" s="46">
        <f t="shared" ref="M246:N246" si="144">+$J$37</f>
        <v>9.9999999999999992E-2</v>
      </c>
      <c r="N246" s="46">
        <f t="shared" si="144"/>
        <v>9.9999999999999992E-2</v>
      </c>
      <c r="O246" s="29"/>
    </row>
    <row r="247" spans="2:15" x14ac:dyDescent="0.2">
      <c r="B247" s="26"/>
      <c r="C247" s="27" t="s">
        <v>217</v>
      </c>
      <c r="D247" s="27"/>
      <c r="E247" s="27"/>
      <c r="F247" s="27"/>
      <c r="G247" s="27"/>
      <c r="H247" s="27"/>
      <c r="I247" s="27"/>
      <c r="J247" s="27"/>
      <c r="K247" s="27"/>
      <c r="L247" s="46">
        <f>+M37</f>
        <v>8.4644542277851245E-2</v>
      </c>
      <c r="M247" s="46">
        <f t="shared" ref="M247:N247" si="145">+N37</f>
        <v>8.0069161614183607E-2</v>
      </c>
      <c r="N247" s="46">
        <f t="shared" si="145"/>
        <v>7.5741098824227734E-2</v>
      </c>
      <c r="O247" s="29"/>
    </row>
    <row r="248" spans="2:15" x14ac:dyDescent="0.2">
      <c r="B248" s="26"/>
      <c r="C248" s="27" t="s">
        <v>178</v>
      </c>
      <c r="D248" s="27"/>
      <c r="E248" s="27"/>
      <c r="F248" s="27"/>
      <c r="G248" s="27"/>
      <c r="H248" s="27"/>
      <c r="I248" s="27"/>
      <c r="J248" s="27"/>
      <c r="K248" s="27"/>
      <c r="L248" s="46">
        <f>+L246-L247</f>
        <v>1.5355457722148746E-2</v>
      </c>
      <c r="M248" s="46">
        <f t="shared" ref="M248:N248" si="146">+M246-M247</f>
        <v>1.9930838385816385E-2</v>
      </c>
      <c r="N248" s="46">
        <f t="shared" si="146"/>
        <v>2.4258901175772257E-2</v>
      </c>
      <c r="O248" s="29"/>
    </row>
    <row r="249" spans="2:15" x14ac:dyDescent="0.2">
      <c r="B249" s="26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9"/>
    </row>
    <row r="250" spans="2:15" x14ac:dyDescent="0.2">
      <c r="B250" s="26"/>
      <c r="C250" s="27" t="s">
        <v>220</v>
      </c>
      <c r="D250" s="27"/>
      <c r="E250" s="27"/>
      <c r="F250" s="27"/>
      <c r="G250" s="27"/>
      <c r="H250" s="27"/>
      <c r="I250" s="27"/>
      <c r="J250" s="27"/>
      <c r="K250" s="27"/>
      <c r="L250" s="77">
        <f>+L231</f>
        <v>12</v>
      </c>
      <c r="M250" s="77">
        <f t="shared" ref="M250:N250" si="147">+M231</f>
        <v>12</v>
      </c>
      <c r="N250" s="77">
        <f t="shared" si="147"/>
        <v>12</v>
      </c>
      <c r="O250" s="29"/>
    </row>
    <row r="251" spans="2:15" x14ac:dyDescent="0.2">
      <c r="B251" s="26"/>
      <c r="C251" s="27" t="s">
        <v>213</v>
      </c>
      <c r="D251" s="27"/>
      <c r="E251" s="27"/>
      <c r="F251" s="27"/>
      <c r="G251" s="27"/>
      <c r="H251" s="27"/>
      <c r="I251" s="27"/>
      <c r="J251" s="27"/>
      <c r="K251" s="27"/>
      <c r="L251" s="27">
        <f>+M22</f>
        <v>273.52620000000007</v>
      </c>
      <c r="M251" s="27">
        <f t="shared" ref="M251:N251" si="148">+N22</f>
        <v>303.61408200000011</v>
      </c>
      <c r="N251" s="27">
        <f t="shared" si="148"/>
        <v>337.01163102000015</v>
      </c>
      <c r="O251" s="29"/>
    </row>
    <row r="252" spans="2:15" x14ac:dyDescent="0.2">
      <c r="B252" s="26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9"/>
    </row>
    <row r="253" spans="2:15" x14ac:dyDescent="0.2">
      <c r="B253" s="26"/>
      <c r="C253" s="39" t="s">
        <v>221</v>
      </c>
      <c r="D253" s="40"/>
      <c r="E253" s="40"/>
      <c r="F253" s="40"/>
      <c r="G253" s="40"/>
      <c r="H253" s="40"/>
      <c r="I253" s="40"/>
      <c r="J253" s="40"/>
      <c r="K253" s="40"/>
      <c r="L253" s="40">
        <f>+L254+L255+L256</f>
        <v>77.77833600000011</v>
      </c>
      <c r="M253" s="40">
        <f t="shared" ref="M253:N253" si="149">+M254+M255+M256</f>
        <v>112.41208320000013</v>
      </c>
      <c r="N253" s="41">
        <f t="shared" si="149"/>
        <v>152.34761570880019</v>
      </c>
      <c r="O253" s="29"/>
    </row>
    <row r="254" spans="2:15" x14ac:dyDescent="0.2">
      <c r="B254" s="26"/>
      <c r="C254" s="27" t="s">
        <v>222</v>
      </c>
      <c r="D254" s="27"/>
      <c r="E254" s="27"/>
      <c r="F254" s="27"/>
      <c r="G254" s="27"/>
      <c r="H254" s="27"/>
      <c r="I254" s="27"/>
      <c r="J254" s="27"/>
      <c r="K254" s="27"/>
      <c r="L254" s="27">
        <f>+L250*L238*L251</f>
        <v>0</v>
      </c>
      <c r="M254" s="27">
        <f t="shared" ref="M254:N254" si="150">+M250*M238*M251</f>
        <v>0</v>
      </c>
      <c r="N254" s="27">
        <f t="shared" si="150"/>
        <v>0</v>
      </c>
      <c r="O254" s="29"/>
    </row>
    <row r="255" spans="2:15" x14ac:dyDescent="0.2">
      <c r="B255" s="26"/>
      <c r="C255" s="27" t="s">
        <v>223</v>
      </c>
      <c r="D255" s="27"/>
      <c r="E255" s="27"/>
      <c r="F255" s="27"/>
      <c r="G255" s="27"/>
      <c r="H255" s="27"/>
      <c r="I255" s="27"/>
      <c r="J255" s="27"/>
      <c r="K255" s="27"/>
      <c r="L255" s="27">
        <f>+L250*L243*L251</f>
        <v>27.376896000000059</v>
      </c>
      <c r="M255" s="27">
        <f t="shared" ref="M255:N255" si="151">+M250*M243*M251</f>
        <v>39.796684800000058</v>
      </c>
      <c r="N255" s="27">
        <f t="shared" si="151"/>
        <v>54.241233484800084</v>
      </c>
      <c r="O255" s="29"/>
    </row>
    <row r="256" spans="2:15" x14ac:dyDescent="0.2">
      <c r="B256" s="26"/>
      <c r="C256" s="27" t="s">
        <v>224</v>
      </c>
      <c r="D256" s="27"/>
      <c r="E256" s="27"/>
      <c r="F256" s="27"/>
      <c r="G256" s="27"/>
      <c r="H256" s="27"/>
      <c r="I256" s="27"/>
      <c r="J256" s="27"/>
      <c r="K256" s="27"/>
      <c r="L256" s="27">
        <f>+L251*L250*L248</f>
        <v>50.401440000000044</v>
      </c>
      <c r="M256" s="27">
        <f t="shared" ref="M256:N256" si="152">+M251*M250*M248</f>
        <v>72.615398400000075</v>
      </c>
      <c r="N256" s="27">
        <f t="shared" si="152"/>
        <v>98.1063822240001</v>
      </c>
      <c r="O256" s="29"/>
    </row>
    <row r="257" spans="2:15" x14ac:dyDescent="0.2">
      <c r="B257" s="26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9"/>
    </row>
    <row r="258" spans="2:15" ht="15" x14ac:dyDescent="0.25">
      <c r="B258" s="26"/>
      <c r="C258" s="24" t="s">
        <v>229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5"/>
      <c r="O258" s="29"/>
    </row>
    <row r="259" spans="2:15" x14ac:dyDescent="0.2">
      <c r="B259" s="26"/>
      <c r="C259" s="26" t="s">
        <v>230</v>
      </c>
      <c r="D259" s="27"/>
      <c r="E259" s="27"/>
      <c r="F259" s="27"/>
      <c r="G259" s="27"/>
      <c r="H259" s="27"/>
      <c r="I259" s="27"/>
      <c r="J259" s="27"/>
      <c r="K259" s="27"/>
      <c r="L259" s="27">
        <f ca="1">+L186</f>
        <v>194.57025245666864</v>
      </c>
      <c r="M259" s="27">
        <f t="shared" ref="M259:N259" ca="1" si="153">+M186</f>
        <v>310.17346471361827</v>
      </c>
      <c r="N259" s="29">
        <f t="shared" ca="1" si="153"/>
        <v>443.24369685682291</v>
      </c>
      <c r="O259" s="29"/>
    </row>
    <row r="260" spans="2:15" x14ac:dyDescent="0.2">
      <c r="B260" s="26"/>
      <c r="C260" s="26" t="s">
        <v>225</v>
      </c>
      <c r="D260" s="27"/>
      <c r="E260" s="27"/>
      <c r="F260" s="27"/>
      <c r="G260" s="27"/>
      <c r="H260" s="27"/>
      <c r="I260" s="27"/>
      <c r="J260" s="27"/>
      <c r="K260" s="27"/>
      <c r="L260" s="27">
        <f>+L195</f>
        <v>-61.186768000000029</v>
      </c>
      <c r="M260" s="27">
        <f t="shared" ref="M260:N260" si="154">+M195</f>
        <v>-70.090490000000031</v>
      </c>
      <c r="N260" s="29">
        <f t="shared" si="154"/>
        <v>-80.097960846400042</v>
      </c>
      <c r="O260" s="29"/>
    </row>
    <row r="261" spans="2:15" x14ac:dyDescent="0.2">
      <c r="B261" s="26"/>
      <c r="C261" s="26" t="s">
        <v>226</v>
      </c>
      <c r="D261" s="27"/>
      <c r="E261" s="27"/>
      <c r="F261" s="27"/>
      <c r="G261" s="27"/>
      <c r="H261" s="27"/>
      <c r="I261" s="27"/>
      <c r="J261" s="27"/>
      <c r="K261" s="27"/>
      <c r="L261" s="27">
        <f>+L233</f>
        <v>176.46288000000021</v>
      </c>
      <c r="M261" s="27">
        <f t="shared" ref="M261:N261" si="155">+M233</f>
        <v>248.6737968000003</v>
      </c>
      <c r="N261" s="29">
        <f t="shared" si="155"/>
        <v>328.8279144480004</v>
      </c>
      <c r="O261" s="29"/>
    </row>
    <row r="262" spans="2:15" x14ac:dyDescent="0.2">
      <c r="B262" s="26"/>
      <c r="C262" s="26" t="s">
        <v>227</v>
      </c>
      <c r="D262" s="27"/>
      <c r="E262" s="27"/>
      <c r="F262" s="27"/>
      <c r="G262" s="27"/>
      <c r="H262" s="27"/>
      <c r="I262" s="27"/>
      <c r="J262" s="27"/>
      <c r="K262" s="27"/>
      <c r="L262" s="27">
        <f>+L253</f>
        <v>77.77833600000011</v>
      </c>
      <c r="M262" s="27">
        <f t="shared" ref="M262:N262" si="156">+M253</f>
        <v>112.41208320000013</v>
      </c>
      <c r="N262" s="29">
        <f t="shared" si="156"/>
        <v>152.34761570880019</v>
      </c>
      <c r="O262" s="29"/>
    </row>
    <row r="263" spans="2:15" x14ac:dyDescent="0.2">
      <c r="B263" s="26"/>
      <c r="C263" s="26" t="s">
        <v>228</v>
      </c>
      <c r="D263" s="27"/>
      <c r="E263" s="27"/>
      <c r="F263" s="27"/>
      <c r="G263" s="27"/>
      <c r="H263" s="27"/>
      <c r="I263" s="27"/>
      <c r="J263" s="27"/>
      <c r="K263" s="27"/>
      <c r="L263" s="27">
        <f ca="1">+L204</f>
        <v>27.18706952195533</v>
      </c>
      <c r="M263" s="27">
        <f t="shared" ref="M263:N263" ca="1" si="157">+M204</f>
        <v>50.933719371375936</v>
      </c>
      <c r="N263" s="29">
        <f t="shared" ca="1" si="157"/>
        <v>80.925468632770247</v>
      </c>
      <c r="O263" s="29"/>
    </row>
    <row r="264" spans="2:15" x14ac:dyDescent="0.2">
      <c r="B264" s="26"/>
      <c r="C264" s="26" t="s">
        <v>231</v>
      </c>
      <c r="D264" s="27"/>
      <c r="E264" s="27"/>
      <c r="F264" s="27"/>
      <c r="G264" s="27"/>
      <c r="H264" s="27"/>
      <c r="I264" s="27"/>
      <c r="J264" s="27"/>
      <c r="K264" s="27"/>
      <c r="L264" s="27">
        <f ca="1">+L178</f>
        <v>-25.671265065286974</v>
      </c>
      <c r="M264" s="27">
        <f t="shared" ref="M264:N264" ca="1" si="158">+M178</f>
        <v>-31.755644657758008</v>
      </c>
      <c r="N264" s="29">
        <f t="shared" ca="1" si="158"/>
        <v>-38.759341086347725</v>
      </c>
      <c r="O264" s="29"/>
    </row>
    <row r="265" spans="2:15" x14ac:dyDescent="0.2"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9"/>
      <c r="O265" s="29"/>
    </row>
    <row r="266" spans="2:15" x14ac:dyDescent="0.2">
      <c r="B266" s="26"/>
      <c r="C266" s="32" t="s">
        <v>207</v>
      </c>
      <c r="D266" s="33"/>
      <c r="E266" s="33"/>
      <c r="F266" s="33"/>
      <c r="G266" s="33"/>
      <c r="H266" s="33"/>
      <c r="I266" s="33"/>
      <c r="J266" s="33"/>
      <c r="K266" s="33"/>
      <c r="L266" s="33">
        <f ca="1">+SUM(L260:L264)-L259</f>
        <v>0</v>
      </c>
      <c r="M266" s="33">
        <f t="shared" ref="M266:N266" ca="1" si="159">+SUM(M260:M264)-M259</f>
        <v>0</v>
      </c>
      <c r="N266" s="35">
        <f t="shared" ca="1" si="159"/>
        <v>0</v>
      </c>
      <c r="O266" s="29"/>
    </row>
    <row r="267" spans="2:15" x14ac:dyDescent="0.2">
      <c r="B267" s="32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5"/>
    </row>
  </sheetData>
  <dataValidations disablePrompts="1" count="1">
    <dataValidation type="list" allowBlank="1" showInputMessage="1" showErrorMessage="1" sqref="E16" xr:uid="{B37247C9-D446-43F0-9A1A-281D9E6F86FE}">
      <formula1>"0,1"</formula1>
    </dataValidation>
  </dataValidation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Input</vt:lpstr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Tan, Daniel</dc:creator>
  <cp:lastModifiedBy>Danial AZMI</cp:lastModifiedBy>
  <dcterms:created xsi:type="dcterms:W3CDTF">2011-10-11T10:05:13Z</dcterms:created>
  <dcterms:modified xsi:type="dcterms:W3CDTF">2022-02-02T15:49:28Z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{FD3A516F-5FD5-49E7-B11E-C9328A413595}</vt:lpwstr>
  </property>
</Properties>
</file>