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lient\H$\Downloads\"/>
    </mc:Choice>
  </mc:AlternateContent>
  <bookViews>
    <workbookView xWindow="-120" yWindow="255" windowWidth="29040" windowHeight="15720" firstSheet="1" activeTab="1"/>
  </bookViews>
  <sheets>
    <sheet name="BBPTACShadowWks0001" sheetId="5" state="veryHidden" r:id="rId1"/>
    <sheet name="Memo" sheetId="2" r:id="rId2"/>
    <sheet name="Model Shell" sheetId="1" r:id="rId3"/>
    <sheet name="BBPTACShadowWks0002" sheetId="10" state="veryHidden" r:id="rId4"/>
    <sheet name="Marine DCF" sheetId="9" r:id="rId5"/>
  </sheets>
  <externalReferences>
    <externalReference r:id="rId6"/>
    <externalReference r:id="rId7"/>
  </externalReferences>
  <definedNames>
    <definedName name="__FDS_HYPERLINK_TOGGLE_STATE__" hidden="1">"ON"</definedName>
    <definedName name="__FDS_UNIQUE_RANGE_ID_GENERATOR_COUNTER" hidden="1">1</definedName>
    <definedName name="_bdm.37E89C6F8EB84A6588A4721AAA3AF7F7.edm" hidden="1">#REF!</definedName>
    <definedName name="_Key2"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ort" hidden="1">#REF!</definedName>
    <definedName name="_Table1_In1" hidden="1">#REF!</definedName>
    <definedName name="_Table1_Out" hidden="1">#REF!</definedName>
    <definedName name="anscount" hidden="1">1</definedName>
    <definedName name="bb_OTZCOTgxQUY0ODA1NDBENk" hidden="1">#REF!</definedName>
    <definedName name="bb_RDBCNzlFRTIzQTRDNDY5ND" hidden="1">'[1]Key Assumptions'!#REF!</definedName>
    <definedName name="BBPTAutoColor_Changed" localSheetId="4" hidden="1">TRUE</definedName>
    <definedName name="BBPTAutoColor_Changed" localSheetId="1" hidden="1">TRUE</definedName>
    <definedName name="BBPTAutoColor_ShadowWksName" localSheetId="4" hidden="1">"BBPTACShadowWks0002"</definedName>
    <definedName name="BBPTAutoColor_ShadowWksName" localSheetId="1" hidden="1">"BBPTACShadowWks0001"</definedName>
    <definedName name="BLPH1" hidden="1">#REF!</definedName>
    <definedName name="BLPH2" hidden="1">#REF!</definedName>
    <definedName name="BLPH3" hidden="1">#REF!</definedName>
    <definedName name="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Img_12_Mo_Mkt_Vac_Chng" hidden="1">"IMG_12"</definedName>
    <definedName name="Img_24_Mo_Mkt_Vac_Chng" hidden="1">"IMG_12"</definedName>
    <definedName name="Img_24_Mo_Mkt_Vac_Chng_Est" hidden="1">"IMG_12"</definedName>
    <definedName name="Img_AFFO_Mult" hidden="1">"IMG_10"</definedName>
    <definedName name="Img_AFFO_Mult__2_" hidden="1">"IMG_12"</definedName>
    <definedName name="Img_AFFO_Mult__3_" hidden="1">"IMG_17"</definedName>
    <definedName name="Img_Annual_Net_Absorption" hidden="1">"IMG_12"</definedName>
    <definedName name="Img_Apartment_" hidden="1">"IMG_10"</definedName>
    <definedName name="Img_Avg_Rent_Chart" hidden="1">"IMG_12"</definedName>
    <definedName name="Img_BBB_Chart__for_L_" hidden="1">"IMG_17"</definedName>
    <definedName name="Img_cbd_vs_sub" hidden="1">"IMG_12"</definedName>
    <definedName name="Img_Chart1" hidden="1">"IMG_11"</definedName>
    <definedName name="Img_Chart2" hidden="1">"IMG_13"</definedName>
    <definedName name="Img_Chart4" hidden="1">"IMG_10"</definedName>
    <definedName name="Img_Debt_Exp" hidden="1">"IMG_12"</definedName>
    <definedName name="Img_Diversified" hidden="1">"IMG_10"</definedName>
    <definedName name="Img_EE_Trends" hidden="1">"IMG_12"</definedName>
    <definedName name="Img_Empl._Chart_2006E" hidden="1">"IMG_12"</definedName>
    <definedName name="Img_GDP_Growth" hidden="1">"IMG_12"</definedName>
    <definedName name="Img_Global_Div_Yld" hidden="1">"IMG_12"</definedName>
    <definedName name="Img_Global_Div_Yld_Cht" hidden="1">"IMG_12"</definedName>
    <definedName name="Img_Impl_Cap_Chart" hidden="1">"IMG_13"</definedName>
    <definedName name="Img_Impl_Cap_Chart__2_" hidden="1">"IMG_17"</definedName>
    <definedName name="Img_Industrial" hidden="1">"IMG_10"</definedName>
    <definedName name="Img_Manufactured_Homes" hidden="1">"IMG_10"</definedName>
    <definedName name="Img_Mkt_Vac_Rate" hidden="1">"IMG_12"</definedName>
    <definedName name="Img_ML_1y7a6c1t" hidden="1">"IMG_12"</definedName>
    <definedName name="Img_ML_2e1r5p2m" hidden="1">"IMG_17"</definedName>
    <definedName name="Img_ML_2v6s9i5c" hidden="1">"IMG_12"</definedName>
    <definedName name="Img_ML_2x1b8j5c" hidden="1">"IMG_11"</definedName>
    <definedName name="Img_ML_3b3j3x9k" hidden="1">"IMG_10"</definedName>
    <definedName name="Img_ML_3c7g1a7g" hidden="1">"IMG_3"</definedName>
    <definedName name="Img_ML_3d6s8l7p" hidden="1">"IMG_11"</definedName>
    <definedName name="Img_ML_3e2q4k7i" hidden="1">"IMG_10"</definedName>
    <definedName name="Img_ML_5h6q3g8u" hidden="1">"IMG_12"</definedName>
    <definedName name="Img_ML_6f2p1m9g" hidden="1">"IMG_10"</definedName>
    <definedName name="Img_ML_6y9f7y3n" hidden="1">"IMG_12"</definedName>
    <definedName name="Img_ML_7g5e5e2b" hidden="1">"IMG_3"</definedName>
    <definedName name="Img_ML_7n6h3t1t" hidden="1">"IMG_10"</definedName>
    <definedName name="Img_ML_8b9j5t1p" hidden="1">"IMG_12"</definedName>
    <definedName name="Img_ML_8h3m3i1m" hidden="1">"IMG_12"</definedName>
    <definedName name="Img_ML_8h7g4d4d" hidden="1">"IMG_3"</definedName>
    <definedName name="Img_ML_8j3w6p4c" hidden="1">"IMG_10"</definedName>
    <definedName name="Img_ML_8r1k8t4y" hidden="1">"IMG_10"</definedName>
    <definedName name="Img_ML_8s3q3c1i" hidden="1">"IMG_10"</definedName>
    <definedName name="Img_ML_9j3t2m3v" hidden="1">"IMG_11"</definedName>
    <definedName name="Img_ML_9u8u6t5w" hidden="1">"IMG_18"</definedName>
    <definedName name="Img_Newly_Delivered_Space" hidden="1">"IMG_12"</definedName>
    <definedName name="Img_Occupancy" hidden="1">"IMG_6"</definedName>
    <definedName name="Img_Office" hidden="1">"IMG_10"</definedName>
    <definedName name="Img_Production_Breakdown" hidden="1">"IMG_3"</definedName>
    <definedName name="Img_Qtr_Net_Abs" hidden="1">"IMG_12"</definedName>
    <definedName name="Img_Regional_Malls" hidden="1">"IMG_10"</definedName>
    <definedName name="Img_REIT_Div_Yld" hidden="1">"IMG_12"</definedName>
    <definedName name="Img_Self_Storage" hidden="1">"IMG_10"</definedName>
    <definedName name="Img_Shopping_Centers" hidden="1">"IMG_10"</definedName>
    <definedName name="Img_Space_UC" hidden="1">"IMG_12"</definedName>
    <definedName name="Img_Total_Reits" hidden="1">"IMG_10"</definedName>
    <definedName name="Img_TTl_Return" hidden="1">"IMG_12"</definedName>
    <definedName name="Img_US_Vac_Rate" hidden="1">"IMG_12"</definedName>
    <definedName name="Img_Utility_Chart" hidden="1">"IMG_17"</definedName>
    <definedName name="Img_Weekly_Chart" hidden="1">"IMG_10"</definedName>
    <definedName name="Img_YA1" hidden="1">"IMG_12"</definedName>
    <definedName name="Img_YIELD_Chart" hidden="1">"IMG_10"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"c252"</definedName>
    <definedName name="IQ_EBITDA_HIGH_EST" hidden="1">"c265"</definedName>
    <definedName name="IQ_EBITDA_INT" hidden="1">"c373"</definedName>
    <definedName name="IQ_EBITDA_LOW_EST" hidden="1">"c266"</definedName>
    <definedName name="IQ_EBITDA_MARGIN" hidden="1">"c372"</definedName>
    <definedName name="IQ_EBITDA_NUM_EST" hidden="1">"c267"</definedName>
    <definedName name="IQ_EBITDA_OVER_TOTAL_IE" hidden="1">"c1371"</definedName>
    <definedName name="IQ_EBITDA_STDDEV_EST" hidden="1">"c268"</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"c273"</definedName>
    <definedName name="IQ_FFO_HIGH_EST" hidden="1">"c274"</definedName>
    <definedName name="IQ_FFO_LOW_EST" hidden="1">"c275"</definedName>
    <definedName name="IQ_FFO_NUM_EST" hidden="1">"c276"</definedName>
    <definedName name="IQ_FFO_STDDEV_EST" hidden="1">"c277"</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PARENT" hidden="1">"c2144"</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"c264"</definedName>
    <definedName name="IQ_REV_UTI" hidden="1">"c1125"</definedName>
    <definedName name="IQ_REVENUE" hidden="1">"c1422"</definedName>
    <definedName name="IQ_REVENUE_EST" hidden="1">"c188"</definedName>
    <definedName name="IQ_REVENUE_HIGH_EST" hidden="1">"c261"</definedName>
    <definedName name="IQ_REVENUE_LOW_EST" hidden="1">"c262"</definedName>
    <definedName name="IQ_REVENUE_NUM_EST" hidden="1">"c263"</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limcount" hidden="1">2</definedName>
    <definedName name="M_PlaceofPath" hidden="1">"F:\danders\COMPANY\HET\HET_VDF.XLS"</definedName>
    <definedName name="nsv" hidden="1">{"Exist1",#N/A,FALSE,"Exist";"exist2",#N/A,FALSE,"Exist"}</definedName>
    <definedName name="_xlnm.Print_Area" localSheetId="1">Memo!$B$2:$X$175</definedName>
    <definedName name="s" hidden="1">{"Exist1",#N/A,FALSE,"Exist";"exist2",#N/A,FALSE,"Exist"}</definedName>
    <definedName name="sencount" hidden="1">1</definedName>
    <definedName name="solver_cvg" hidden="1">0.0001</definedName>
    <definedName name="solver_drv" hidden="1">2</definedName>
    <definedName name="solver_eng" hidden="1">1</definedName>
    <definedName name="solver_est" hidden="1">1</definedName>
    <definedName name="solver_itr" hidden="1">2147483647</definedName>
    <definedName name="solver_mip" hidden="1">2147483647</definedName>
    <definedName name="solver_mni" hidden="1">30</definedName>
    <definedName name="solver_mrt" hidden="1">0.075</definedName>
    <definedName name="solver_msl" hidden="1">2</definedName>
    <definedName name="solver_neg" hidden="1">1</definedName>
    <definedName name="solver_nod" hidden="1">2147483647</definedName>
    <definedName name="solver_num" hidden="1">0</definedName>
    <definedName name="solver_nwt" hidden="1">1</definedName>
    <definedName name="solver_opt" hidden="1">#REF!</definedName>
    <definedName name="solver_pre" hidden="1">0.000001</definedName>
    <definedName name="solver_rbv" hidden="1">2</definedName>
    <definedName name="solver_rlx" hidden="1">2</definedName>
    <definedName name="solver_rsd" hidden="1">0</definedName>
    <definedName name="solver_scl" hidden="1">2</definedName>
    <definedName name="solver_sho" hidden="1">2</definedName>
    <definedName name="solver_ssz" hidden="1">100</definedName>
    <definedName name="solver_tim" hidden="1">2147483647</definedName>
    <definedName name="solver_tol" hidden="1">0.01</definedName>
    <definedName name="solver_typ" hidden="1">3</definedName>
    <definedName name="solver_val" hidden="1">-232.5</definedName>
    <definedName name="solver_ver" hidden="1">3</definedName>
    <definedName name="sw.ShowDisc" hidden="1">"Yes"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detail." hidden="1">{"detail1",#N/A,FALSE,"Sheet1";"detail2",#N/A,FALSE,"Sheet1";"detail3",#N/A,FALSE,"Sheet1";"detail4",#N/A,FALSE,"Sheet1";"detail5",#N/A,FALSE,"Sheet1";"detail6",#N/A,FALSE,"Sheet1";"detail7",#N/A,FALSE,"Sheet1";"detail8",#N/A,FALSE,"Sheet1";"detail9",#N/A,FALSE,"Sheet1"}</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xist." hidden="1">{"Exist1",#N/A,FALSE,"Exist";"exist2",#N/A,FALSE,"Exist"}</definedName>
    <definedName name="wrn.FOschedules." hidden="1">{"FOschedule1",#N/A,FALSE,"Sheet1";"FOschedule2",#N/A,FALSE,"Sheet1";"FOschedule3",#N/A,FALSE,"Sheet1"}</definedName>
    <definedName name="wrn.Full._.Report." hidden="1">{#N/A,#N/A,TRUE,"Income Statement";#N/A,#N/A,TRUE,"Gas Assumptions";#N/A,#N/A,TRUE,"DCF";#N/A,#N/A,TRUE,"Depreciation Matrix";#N/A,#N/A,TRUE,"Matrix";#N/A,#N/A,TRUE,"Matrix_Perpetuity"}</definedName>
    <definedName name="wrn.schedules." hidden="1">{"schedule1",#N/A,FALSE,"Sheet1";"schedule2",#N/A,FALSE,"Sheet1";"schedule3",#N/A,FALSE,"Sheet1";"schedule4",#N/A,FALSE,"Sheet1";"schedule5",#N/A,FALSE,"Sheet1";"schedule6",#N/A,FALSE,"Sheet1"}</definedName>
  </definedNames>
  <calcPr calcId="162913" calcMode="autoNoTable"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7" i="2" l="1"/>
  <c r="AB29" i="2"/>
  <c r="AB25" i="2"/>
  <c r="AB28" i="2"/>
  <c r="J29" i="2"/>
  <c r="J28" i="2"/>
  <c r="K25" i="2"/>
  <c r="T27" i="2"/>
  <c r="T28" i="2"/>
  <c r="T29" i="2"/>
  <c r="K29" i="2"/>
  <c r="K28" i="2"/>
  <c r="S6" i="2"/>
  <c r="X8" i="2"/>
  <c r="X9" i="2"/>
  <c r="T25" i="2"/>
  <c r="X7" i="2"/>
  <c r="AC5" i="2"/>
  <c r="X6" i="2"/>
  <c r="X5" i="2"/>
  <c r="J25" i="2"/>
  <c r="S26" i="10" l="1"/>
  <c r="K24" i="10"/>
  <c r="L24" i="10"/>
  <c r="M24" i="10"/>
  <c r="N24" i="10"/>
  <c r="O24" i="10"/>
  <c r="P24" i="10"/>
  <c r="Q24" i="10"/>
  <c r="R24" i="10"/>
  <c r="S24" i="10"/>
  <c r="E19" i="10"/>
  <c r="F19" i="10"/>
  <c r="G19" i="10"/>
  <c r="H19" i="10"/>
  <c r="I19" i="10"/>
  <c r="J19" i="10"/>
  <c r="K19" i="10"/>
  <c r="L19" i="10"/>
  <c r="M19" i="10"/>
  <c r="E20" i="10"/>
  <c r="F20" i="10"/>
  <c r="G20" i="10"/>
  <c r="H20" i="10"/>
  <c r="I20" i="10"/>
  <c r="J20" i="10"/>
  <c r="K20" i="10"/>
  <c r="L20" i="10"/>
  <c r="M20" i="10"/>
  <c r="N20" i="10"/>
  <c r="O20" i="10"/>
  <c r="P20" i="10"/>
  <c r="Q20" i="10"/>
  <c r="R20" i="10"/>
  <c r="K17" i="10"/>
  <c r="L17" i="10"/>
  <c r="M17" i="10"/>
  <c r="N17" i="10"/>
  <c r="O17" i="10"/>
  <c r="P17" i="10"/>
  <c r="Q17" i="10"/>
  <c r="K15" i="10"/>
  <c r="L15" i="10"/>
  <c r="M15" i="10"/>
  <c r="N15" i="10"/>
  <c r="O15" i="10"/>
  <c r="P15" i="10"/>
  <c r="Q15" i="10"/>
  <c r="R15" i="10"/>
  <c r="R10" i="10"/>
  <c r="K11" i="10"/>
  <c r="L11" i="10"/>
  <c r="M11" i="10"/>
  <c r="N11" i="10"/>
  <c r="O11" i="10"/>
  <c r="P11" i="10"/>
  <c r="Q11" i="10"/>
  <c r="K7" i="10"/>
  <c r="L7" i="10"/>
  <c r="M7" i="10"/>
  <c r="N7" i="10"/>
  <c r="O7" i="10"/>
  <c r="P7" i="10"/>
  <c r="Q7" i="10"/>
  <c r="K5" i="10"/>
  <c r="L5" i="10"/>
  <c r="M5" i="10"/>
  <c r="N5" i="10"/>
  <c r="O5" i="10"/>
  <c r="P5" i="10"/>
  <c r="Q5" i="10"/>
  <c r="E3" i="10"/>
  <c r="F3" i="10"/>
  <c r="G3" i="10"/>
  <c r="H3" i="10"/>
  <c r="I3" i="10"/>
  <c r="J3" i="10"/>
  <c r="K3" i="10"/>
  <c r="L3" i="10"/>
  <c r="M3" i="10"/>
  <c r="N3" i="10"/>
  <c r="O3" i="10"/>
  <c r="P3" i="10"/>
  <c r="Q3" i="10"/>
  <c r="K2" i="10"/>
  <c r="L2" i="10"/>
  <c r="M2" i="10"/>
  <c r="N2" i="10"/>
  <c r="O2" i="10"/>
  <c r="P2" i="10"/>
  <c r="Q2" i="10"/>
  <c r="R2" i="10"/>
  <c r="S19" i="10"/>
  <c r="L24" i="9"/>
  <c r="M24" i="9"/>
  <c r="N24" i="9"/>
  <c r="O24" i="9"/>
  <c r="P24" i="9"/>
  <c r="Q24" i="9"/>
  <c r="R24" i="9"/>
  <c r="K24" i="9"/>
  <c r="R2" i="9"/>
  <c r="M2" i="9"/>
  <c r="N2" i="9"/>
  <c r="O2" i="9" s="1"/>
  <c r="P2" i="9" s="1"/>
  <c r="Q2" i="9" s="1"/>
  <c r="L2" i="9"/>
  <c r="R10" i="9"/>
  <c r="G3" i="9"/>
  <c r="H3" i="9"/>
  <c r="I3" i="9" s="1"/>
  <c r="J3" i="9" s="1"/>
  <c r="K3" i="9" s="1"/>
  <c r="L3" i="9" s="1"/>
  <c r="M3" i="9" s="1"/>
  <c r="N3" i="9" s="1"/>
  <c r="O3" i="9" s="1"/>
  <c r="P3" i="9" s="1"/>
  <c r="Q3" i="9" s="1"/>
  <c r="F3" i="9"/>
  <c r="AO114" i="1"/>
  <c r="AN114" i="1"/>
  <c r="AM114" i="1"/>
  <c r="AL114" i="1"/>
  <c r="AK114" i="1"/>
  <c r="AJ114" i="1"/>
  <c r="AI114" i="1"/>
  <c r="AH114" i="1"/>
  <c r="N114" i="1" s="1"/>
  <c r="AG114" i="1"/>
  <c r="AF114" i="1"/>
  <c r="AE114" i="1"/>
  <c r="AD114" i="1"/>
  <c r="M114" i="1" s="1"/>
  <c r="AC114" i="1"/>
  <c r="AB114" i="1"/>
  <c r="AA114" i="1"/>
  <c r="Z114" i="1"/>
  <c r="L114" i="1" s="1"/>
  <c r="Y114" i="1"/>
  <c r="X114" i="1"/>
  <c r="W114" i="1"/>
  <c r="V114" i="1"/>
  <c r="K114" i="1" s="1"/>
  <c r="U114" i="1"/>
  <c r="T114" i="1"/>
  <c r="S114" i="1"/>
  <c r="R114" i="1"/>
  <c r="J114" i="1" s="1"/>
  <c r="O114" i="1"/>
  <c r="AP114" i="1"/>
  <c r="O27" i="2"/>
  <c r="O28" i="2"/>
  <c r="O29" i="2"/>
  <c r="O112" i="1" l="1"/>
  <c r="N112" i="1"/>
  <c r="M112" i="1"/>
  <c r="L112" i="1"/>
  <c r="K112" i="1"/>
  <c r="J112" i="1"/>
  <c r="K101" i="2"/>
  <c r="L101" i="2"/>
  <c r="J101" i="2"/>
  <c r="V27" i="5"/>
  <c r="W27" i="5"/>
  <c r="X27" i="5"/>
  <c r="V28" i="5"/>
  <c r="W28" i="5"/>
  <c r="X28" i="5"/>
  <c r="V29" i="5"/>
  <c r="W29" i="5"/>
  <c r="X29" i="5"/>
  <c r="E4" i="9" l="1"/>
  <c r="J113" i="1"/>
  <c r="E6" i="9" s="1"/>
  <c r="F4" i="9"/>
  <c r="F4" i="10" s="1"/>
  <c r="K113" i="1"/>
  <c r="F6" i="9" s="1"/>
  <c r="G4" i="9"/>
  <c r="L113" i="1"/>
  <c r="G6" i="9" s="1"/>
  <c r="H4" i="9"/>
  <c r="M113" i="1"/>
  <c r="H6" i="9" s="1"/>
  <c r="I4" i="9"/>
  <c r="N113" i="1"/>
  <c r="I6" i="9" s="1"/>
  <c r="J4" i="9"/>
  <c r="O113" i="1"/>
  <c r="J6" i="9" s="1"/>
  <c r="G128" i="5"/>
  <c r="I128" i="5"/>
  <c r="G129" i="5"/>
  <c r="I129" i="5"/>
  <c r="G130" i="5"/>
  <c r="I130" i="5"/>
  <c r="F8" i="9" l="1"/>
  <c r="F6" i="10"/>
  <c r="F7" i="9"/>
  <c r="F7" i="10" s="1"/>
  <c r="G6" i="10"/>
  <c r="G8" i="9"/>
  <c r="G7" i="9"/>
  <c r="G7" i="10" s="1"/>
  <c r="J7" i="9"/>
  <c r="J7" i="10" s="1"/>
  <c r="J6" i="10"/>
  <c r="K6" i="9"/>
  <c r="J8" i="9"/>
  <c r="K4" i="9"/>
  <c r="J4" i="10"/>
  <c r="J5" i="9"/>
  <c r="J5" i="10" s="1"/>
  <c r="H7" i="9"/>
  <c r="H7" i="10" s="1"/>
  <c r="H6" i="10"/>
  <c r="H8" i="9"/>
  <c r="H4" i="10"/>
  <c r="H5" i="9"/>
  <c r="H5" i="10" s="1"/>
  <c r="G4" i="10"/>
  <c r="G5" i="9"/>
  <c r="G5" i="10" s="1"/>
  <c r="I7" i="9"/>
  <c r="I7" i="10" s="1"/>
  <c r="I6" i="10"/>
  <c r="I8" i="9"/>
  <c r="E6" i="10"/>
  <c r="E8" i="9"/>
  <c r="I5" i="9"/>
  <c r="I5" i="10" s="1"/>
  <c r="I4" i="10"/>
  <c r="F5" i="9"/>
  <c r="F5" i="10" s="1"/>
  <c r="E4" i="10"/>
  <c r="O25" i="2"/>
  <c r="F119" i="2"/>
  <c r="I39" i="2"/>
  <c r="K34" i="2"/>
  <c r="J34" i="2"/>
  <c r="I34" i="2"/>
  <c r="J122" i="1"/>
  <c r="J148" i="1" s="1"/>
  <c r="K122" i="1"/>
  <c r="K148" i="1" s="1"/>
  <c r="L122" i="1"/>
  <c r="L148" i="1"/>
  <c r="M148" i="1"/>
  <c r="M147" i="1"/>
  <c r="N148" i="1"/>
  <c r="N147" i="1"/>
  <c r="O148" i="1"/>
  <c r="O147" i="1"/>
  <c r="H8" i="10" l="1"/>
  <c r="H9" i="9"/>
  <c r="H9" i="10" s="1"/>
  <c r="I8" i="10"/>
  <c r="I9" i="9"/>
  <c r="I9" i="10" s="1"/>
  <c r="L4" i="9"/>
  <c r="K4" i="10"/>
  <c r="J8" i="10"/>
  <c r="J9" i="9"/>
  <c r="J9" i="10" s="1"/>
  <c r="G8" i="10"/>
  <c r="G9" i="9"/>
  <c r="G9" i="10" s="1"/>
  <c r="E8" i="10"/>
  <c r="L6" i="9"/>
  <c r="K6" i="10"/>
  <c r="K8" i="9"/>
  <c r="F8" i="10"/>
  <c r="F9" i="9"/>
  <c r="F9" i="10" s="1"/>
  <c r="F125" i="2"/>
  <c r="H119" i="2"/>
  <c r="H128" i="5" s="1"/>
  <c r="K33" i="2"/>
  <c r="J33" i="2"/>
  <c r="AP147" i="1"/>
  <c r="AP150" i="1" s="1"/>
  <c r="AP148" i="1"/>
  <c r="AO149" i="1"/>
  <c r="AP149" i="1"/>
  <c r="S149" i="1"/>
  <c r="T149" i="1"/>
  <c r="U149" i="1"/>
  <c r="V149" i="1"/>
  <c r="W149" i="1"/>
  <c r="X149" i="1"/>
  <c r="Y149" i="1"/>
  <c r="Z149" i="1"/>
  <c r="AA149" i="1"/>
  <c r="AB149" i="1"/>
  <c r="AC149" i="1"/>
  <c r="AD149" i="1"/>
  <c r="AE149" i="1"/>
  <c r="AF149" i="1"/>
  <c r="AG149" i="1"/>
  <c r="AH149" i="1"/>
  <c r="AI149" i="1"/>
  <c r="AJ149" i="1"/>
  <c r="AK149" i="1"/>
  <c r="AL149" i="1"/>
  <c r="AM149" i="1"/>
  <c r="AN149" i="1"/>
  <c r="R149" i="1"/>
  <c r="AM77" i="1"/>
  <c r="AL77" i="1"/>
  <c r="AK77" i="1"/>
  <c r="AJ77" i="1"/>
  <c r="AI77" i="1"/>
  <c r="AH77" i="1"/>
  <c r="AG77" i="1"/>
  <c r="AF77" i="1"/>
  <c r="AE77" i="1"/>
  <c r="AD77" i="1"/>
  <c r="AC77" i="1"/>
  <c r="AB77" i="1"/>
  <c r="AA77" i="1"/>
  <c r="Z77" i="1"/>
  <c r="Y77" i="1"/>
  <c r="X77" i="1"/>
  <c r="W77" i="1"/>
  <c r="V77" i="1"/>
  <c r="U77" i="1"/>
  <c r="T77" i="1"/>
  <c r="S77" i="1"/>
  <c r="R77" i="1"/>
  <c r="AO77" i="1"/>
  <c r="AP77" i="1"/>
  <c r="AN77" i="1"/>
  <c r="G2" i="1"/>
  <c r="AO103" i="1"/>
  <c r="AP103" i="1"/>
  <c r="AP107" i="1" s="1"/>
  <c r="O102" i="1"/>
  <c r="O101" i="1"/>
  <c r="O103" i="1" s="1"/>
  <c r="N101" i="1"/>
  <c r="M101" i="1"/>
  <c r="L101" i="1"/>
  <c r="K101" i="1"/>
  <c r="J101" i="1"/>
  <c r="O97" i="1"/>
  <c r="J16" i="9" s="1"/>
  <c r="N97" i="1"/>
  <c r="I16" i="9" s="1"/>
  <c r="M97" i="1"/>
  <c r="H16" i="9" s="1"/>
  <c r="L97" i="1"/>
  <c r="G16" i="9" s="1"/>
  <c r="K97" i="1"/>
  <c r="F16" i="9" s="1"/>
  <c r="J97" i="1"/>
  <c r="E16" i="9" s="1"/>
  <c r="O96" i="1"/>
  <c r="N96" i="1"/>
  <c r="M96" i="1"/>
  <c r="L96" i="1"/>
  <c r="K96" i="1"/>
  <c r="J96" i="1"/>
  <c r="AO98" i="1"/>
  <c r="AO106" i="1" s="1"/>
  <c r="AP98" i="1"/>
  <c r="AP106" i="1" s="1"/>
  <c r="S91" i="1"/>
  <c r="S115" i="1" s="1"/>
  <c r="T91" i="1"/>
  <c r="T115" i="1" s="1"/>
  <c r="U91" i="1"/>
  <c r="U115" i="1" s="1"/>
  <c r="V91" i="1"/>
  <c r="V115" i="1" s="1"/>
  <c r="W91" i="1"/>
  <c r="W115" i="1" s="1"/>
  <c r="X91" i="1"/>
  <c r="X115" i="1" s="1"/>
  <c r="Y91" i="1"/>
  <c r="Y115" i="1" s="1"/>
  <c r="Z91" i="1"/>
  <c r="Z115" i="1" s="1"/>
  <c r="AA91" i="1"/>
  <c r="AA115" i="1" s="1"/>
  <c r="AB91" i="1"/>
  <c r="AB115" i="1" s="1"/>
  <c r="AC91" i="1"/>
  <c r="AC115" i="1" s="1"/>
  <c r="AD91" i="1"/>
  <c r="AD115" i="1" s="1"/>
  <c r="AE91" i="1"/>
  <c r="AE115" i="1" s="1"/>
  <c r="AF91" i="1"/>
  <c r="AF115" i="1" s="1"/>
  <c r="AG91" i="1"/>
  <c r="AG115" i="1" s="1"/>
  <c r="AH91" i="1"/>
  <c r="AH115" i="1" s="1"/>
  <c r="AI91" i="1"/>
  <c r="AI115" i="1" s="1"/>
  <c r="AJ91" i="1"/>
  <c r="AJ115" i="1" s="1"/>
  <c r="AK91" i="1"/>
  <c r="AK115" i="1" s="1"/>
  <c r="AL91" i="1"/>
  <c r="AL115" i="1" s="1"/>
  <c r="AM91" i="1"/>
  <c r="AM115" i="1" s="1"/>
  <c r="AN91" i="1"/>
  <c r="AN115" i="1" s="1"/>
  <c r="AO91" i="1"/>
  <c r="AP91" i="1"/>
  <c r="AP115" i="1" s="1"/>
  <c r="S92" i="1"/>
  <c r="T92" i="1"/>
  <c r="U92" i="1"/>
  <c r="V92" i="1"/>
  <c r="W92" i="1"/>
  <c r="X92" i="1"/>
  <c r="Y92" i="1"/>
  <c r="Z92" i="1"/>
  <c r="AA92" i="1"/>
  <c r="AB92" i="1"/>
  <c r="AC92" i="1"/>
  <c r="AD92" i="1"/>
  <c r="AE92" i="1"/>
  <c r="AF92" i="1"/>
  <c r="AG92" i="1"/>
  <c r="AH92" i="1"/>
  <c r="AI92" i="1"/>
  <c r="AJ92" i="1"/>
  <c r="AK92" i="1"/>
  <c r="AL92" i="1"/>
  <c r="AM92" i="1"/>
  <c r="AN92" i="1"/>
  <c r="AO92" i="1"/>
  <c r="AP92" i="1"/>
  <c r="AP93" i="1" s="1"/>
  <c r="R92" i="1"/>
  <c r="R91" i="1"/>
  <c r="R115" i="1" s="1"/>
  <c r="J129" i="1"/>
  <c r="J147" i="1" s="1"/>
  <c r="K129" i="1"/>
  <c r="K147" i="1" s="1"/>
  <c r="L129" i="1"/>
  <c r="L147" i="1" s="1"/>
  <c r="H16" i="10" l="1"/>
  <c r="H17" i="9"/>
  <c r="H17" i="10" s="1"/>
  <c r="I15" i="9"/>
  <c r="I15" i="10" s="1"/>
  <c r="O98" i="1"/>
  <c r="K8" i="10"/>
  <c r="K9" i="9"/>
  <c r="K9" i="10" s="1"/>
  <c r="F15" i="9"/>
  <c r="F15" i="10" s="1"/>
  <c r="L4" i="10"/>
  <c r="M4" i="9"/>
  <c r="J16" i="10"/>
  <c r="J17" i="9"/>
  <c r="J17" i="10" s="1"/>
  <c r="E16" i="10"/>
  <c r="G15" i="9"/>
  <c r="G15" i="10" s="1"/>
  <c r="AO93" i="1"/>
  <c r="AO115" i="1"/>
  <c r="F16" i="10"/>
  <c r="F17" i="9"/>
  <c r="F17" i="10" s="1"/>
  <c r="H102" i="1"/>
  <c r="G114" i="1"/>
  <c r="H114" i="1"/>
  <c r="H112" i="1"/>
  <c r="G112" i="1"/>
  <c r="G113" i="1" s="1"/>
  <c r="M6" i="9"/>
  <c r="L6" i="10"/>
  <c r="L8" i="9"/>
  <c r="I17" i="9"/>
  <c r="I17" i="10" s="1"/>
  <c r="I16" i="10"/>
  <c r="K92" i="1"/>
  <c r="E15" i="9"/>
  <c r="E15" i="10" s="1"/>
  <c r="G16" i="10"/>
  <c r="G17" i="9"/>
  <c r="G17" i="10" s="1"/>
  <c r="J98" i="1"/>
  <c r="J119" i="2"/>
  <c r="F131" i="2"/>
  <c r="H125" i="2"/>
  <c r="J128" i="5"/>
  <c r="K98" i="1"/>
  <c r="L98" i="1"/>
  <c r="M98" i="1"/>
  <c r="M99" i="1" s="1"/>
  <c r="N98" i="1"/>
  <c r="N99" i="1" s="1"/>
  <c r="H96" i="1"/>
  <c r="H97" i="1"/>
  <c r="G101" i="1"/>
  <c r="G102" i="1"/>
  <c r="AO107" i="1"/>
  <c r="G96" i="1"/>
  <c r="G97" i="1"/>
  <c r="H101" i="1"/>
  <c r="H103" i="1" s="1"/>
  <c r="J92" i="1"/>
  <c r="L92" i="1"/>
  <c r="N92" i="1"/>
  <c r="N91" i="1"/>
  <c r="L91" i="1"/>
  <c r="L115" i="1" s="1"/>
  <c r="G10" i="9" s="1"/>
  <c r="O92" i="1"/>
  <c r="M92" i="1"/>
  <c r="O91" i="1"/>
  <c r="O115" i="1" s="1"/>
  <c r="J10" i="9" s="1"/>
  <c r="M91" i="1"/>
  <c r="M115" i="1" s="1"/>
  <c r="H10" i="9" s="1"/>
  <c r="K91" i="1"/>
  <c r="J91" i="1"/>
  <c r="J115" i="1" s="1"/>
  <c r="E10" i="9" s="1"/>
  <c r="K121" i="2" l="1"/>
  <c r="K130" i="5" s="1"/>
  <c r="K133" i="2"/>
  <c r="H113" i="1"/>
  <c r="H15" i="9"/>
  <c r="H15" i="10" s="1"/>
  <c r="K10" i="9"/>
  <c r="J10" i="10"/>
  <c r="J11" i="9"/>
  <c r="J11" i="10" s="1"/>
  <c r="J12" i="9"/>
  <c r="H11" i="9"/>
  <c r="H11" i="10" s="1"/>
  <c r="H10" i="10"/>
  <c r="H12" i="9"/>
  <c r="N4" i="9"/>
  <c r="M4" i="10"/>
  <c r="L99" i="1"/>
  <c r="G11" i="9"/>
  <c r="G11" i="10" s="1"/>
  <c r="G10" i="10"/>
  <c r="G12" i="9"/>
  <c r="K99" i="1"/>
  <c r="N93" i="1"/>
  <c r="N115" i="1"/>
  <c r="I10" i="9" s="1"/>
  <c r="L8" i="10"/>
  <c r="L9" i="9"/>
  <c r="L9" i="10" s="1"/>
  <c r="E10" i="10"/>
  <c r="E12" i="9"/>
  <c r="J15" i="9"/>
  <c r="J15" i="10" s="1"/>
  <c r="K93" i="1"/>
  <c r="K115" i="1"/>
  <c r="F10" i="9" s="1"/>
  <c r="L93" i="1"/>
  <c r="N6" i="9"/>
  <c r="M6" i="10"/>
  <c r="M8" i="9"/>
  <c r="J125" i="2"/>
  <c r="H131" i="2"/>
  <c r="M93" i="1"/>
  <c r="O93" i="1"/>
  <c r="J93" i="1"/>
  <c r="O99" i="1"/>
  <c r="G98" i="1"/>
  <c r="H98" i="1"/>
  <c r="G103" i="1"/>
  <c r="E14" i="9" l="1"/>
  <c r="E12" i="10"/>
  <c r="G12" i="10"/>
  <c r="G14" i="9"/>
  <c r="J12" i="10"/>
  <c r="J14" i="9"/>
  <c r="M9" i="9"/>
  <c r="M9" i="10" s="1"/>
  <c r="M8" i="10"/>
  <c r="O6" i="9"/>
  <c r="N6" i="10"/>
  <c r="N8" i="9"/>
  <c r="K10" i="10"/>
  <c r="L10" i="9"/>
  <c r="K12" i="9"/>
  <c r="I10" i="10"/>
  <c r="I11" i="9"/>
  <c r="I11" i="10" s="1"/>
  <c r="I12" i="9"/>
  <c r="N4" i="10"/>
  <c r="O4" i="9"/>
  <c r="F10" i="10"/>
  <c r="F11" i="9"/>
  <c r="F11" i="10" s="1"/>
  <c r="F12" i="9"/>
  <c r="H12" i="10"/>
  <c r="H14" i="9"/>
  <c r="J131" i="2"/>
  <c r="F14" i="9" l="1"/>
  <c r="F12" i="10"/>
  <c r="L10" i="10"/>
  <c r="L12" i="9"/>
  <c r="M10" i="9"/>
  <c r="G14" i="10"/>
  <c r="G18" i="9"/>
  <c r="O4" i="10"/>
  <c r="P4" i="9"/>
  <c r="K14" i="9"/>
  <c r="K14" i="10" s="1"/>
  <c r="K12" i="10"/>
  <c r="J14" i="10"/>
  <c r="J18" i="9"/>
  <c r="N8" i="10"/>
  <c r="N9" i="9"/>
  <c r="N9" i="10" s="1"/>
  <c r="H14" i="10"/>
  <c r="H18" i="9"/>
  <c r="I12" i="10"/>
  <c r="I14" i="9"/>
  <c r="P6" i="9"/>
  <c r="O6" i="10"/>
  <c r="O8" i="9"/>
  <c r="E14" i="10"/>
  <c r="E18" i="9"/>
  <c r="AP126" i="1"/>
  <c r="AL126" i="1"/>
  <c r="E18" i="10" l="1"/>
  <c r="E21" i="9"/>
  <c r="G21" i="9"/>
  <c r="G18" i="10"/>
  <c r="O9" i="9"/>
  <c r="O9" i="10" s="1"/>
  <c r="O8" i="10"/>
  <c r="J21" i="9"/>
  <c r="J18" i="10"/>
  <c r="M10" i="10"/>
  <c r="M12" i="9"/>
  <c r="N10" i="9"/>
  <c r="Q6" i="9"/>
  <c r="P6" i="10"/>
  <c r="P8" i="9"/>
  <c r="L12" i="10"/>
  <c r="L14" i="9"/>
  <c r="L14" i="10" s="1"/>
  <c r="I14" i="10"/>
  <c r="I18" i="9"/>
  <c r="H21" i="9"/>
  <c r="H18" i="10"/>
  <c r="P4" i="10"/>
  <c r="Q4" i="9"/>
  <c r="F14" i="10"/>
  <c r="F18" i="9"/>
  <c r="O132" i="1"/>
  <c r="O133" i="1"/>
  <c r="O131" i="1"/>
  <c r="O149" i="1" s="1"/>
  <c r="O150" i="1" s="1"/>
  <c r="I33" i="2" s="1"/>
  <c r="AP142" i="1"/>
  <c r="AG139" i="1"/>
  <c r="AC139" i="1"/>
  <c r="AC141" i="1"/>
  <c r="Y137" i="1"/>
  <c r="Y139" i="1"/>
  <c r="O141" i="1"/>
  <c r="O140" i="1"/>
  <c r="O139" i="1"/>
  <c r="O138" i="1"/>
  <c r="O137" i="1"/>
  <c r="O136" i="1"/>
  <c r="N141" i="1"/>
  <c r="N140" i="1"/>
  <c r="N139" i="1"/>
  <c r="N138" i="1"/>
  <c r="N137" i="1"/>
  <c r="N136" i="1"/>
  <c r="M136" i="1"/>
  <c r="L136" i="1"/>
  <c r="K136" i="1"/>
  <c r="J136" i="1"/>
  <c r="AM141" i="1"/>
  <c r="AN141" i="1" s="1"/>
  <c r="AM140" i="1"/>
  <c r="AN140" i="1" s="1"/>
  <c r="AM139" i="1"/>
  <c r="AN139" i="1" s="1"/>
  <c r="AM138" i="1"/>
  <c r="AN138" i="1" s="1"/>
  <c r="AM137" i="1"/>
  <c r="AN137" i="1" s="1"/>
  <c r="AL136" i="1"/>
  <c r="AM136" i="1" s="1"/>
  <c r="AN136" i="1" s="1"/>
  <c r="AJ141" i="1"/>
  <c r="AI140" i="1"/>
  <c r="AJ140" i="1" s="1"/>
  <c r="AI139" i="1"/>
  <c r="AJ139" i="1" s="1"/>
  <c r="AI138" i="1"/>
  <c r="AJ138" i="1" s="1"/>
  <c r="AH137" i="1"/>
  <c r="AI137" i="1" s="1"/>
  <c r="AH136" i="1"/>
  <c r="AI136" i="1" s="1"/>
  <c r="AJ136" i="1" s="1"/>
  <c r="AE141" i="1"/>
  <c r="AD141" i="1"/>
  <c r="AE140" i="1"/>
  <c r="AF140" i="1" s="1"/>
  <c r="AE138" i="1"/>
  <c r="AF138" i="1" s="1"/>
  <c r="AE137" i="1"/>
  <c r="AF137" i="1" s="1"/>
  <c r="AE136" i="1"/>
  <c r="AF136" i="1" s="1"/>
  <c r="AA140" i="1"/>
  <c r="AB140" i="1" s="1"/>
  <c r="AA138" i="1"/>
  <c r="AB138" i="1" s="1"/>
  <c r="AA137" i="1"/>
  <c r="AB137" i="1" s="1"/>
  <c r="Z136" i="1"/>
  <c r="AA136" i="1" s="1"/>
  <c r="AB136" i="1" s="1"/>
  <c r="V141" i="1"/>
  <c r="W141" i="1" s="1"/>
  <c r="X141" i="1" s="1"/>
  <c r="W140" i="1"/>
  <c r="X140" i="1" s="1"/>
  <c r="W138" i="1"/>
  <c r="X138" i="1" s="1"/>
  <c r="V136" i="1"/>
  <c r="W136" i="1" s="1"/>
  <c r="X136" i="1" s="1"/>
  <c r="R141" i="1"/>
  <c r="S141" i="1" s="1"/>
  <c r="T141" i="1" s="1"/>
  <c r="S140" i="1"/>
  <c r="T140" i="1" s="1"/>
  <c r="T139" i="1"/>
  <c r="U139" i="1" s="1"/>
  <c r="S138" i="1"/>
  <c r="T138" i="1" s="1"/>
  <c r="T137" i="1"/>
  <c r="U137" i="1" s="1"/>
  <c r="S136" i="1"/>
  <c r="T136" i="1" s="1"/>
  <c r="AO134" i="1"/>
  <c r="AP134" i="1"/>
  <c r="M126" i="1"/>
  <c r="N126" i="1"/>
  <c r="O126" i="1"/>
  <c r="O127" i="1"/>
  <c r="AM123" i="1"/>
  <c r="AN123" i="1" s="1"/>
  <c r="AI121" i="1"/>
  <c r="AI122" i="1"/>
  <c r="AI127" i="1"/>
  <c r="AI125" i="1"/>
  <c r="AI124" i="1"/>
  <c r="AI129" i="1"/>
  <c r="AM122" i="1"/>
  <c r="AM129" i="1"/>
  <c r="AM127" i="1"/>
  <c r="AN127" i="1" s="1"/>
  <c r="AM125" i="1"/>
  <c r="AM124" i="1"/>
  <c r="AH123" i="1"/>
  <c r="AI123" i="1" s="1"/>
  <c r="AJ123" i="1" s="1"/>
  <c r="AK121" i="1"/>
  <c r="AJ121" i="1"/>
  <c r="AH121" i="1"/>
  <c r="AG121" i="1"/>
  <c r="AF121" i="1"/>
  <c r="AE121" i="1"/>
  <c r="AD121" i="1"/>
  <c r="AC121" i="1"/>
  <c r="AB121" i="1"/>
  <c r="AA121" i="1"/>
  <c r="Z121" i="1"/>
  <c r="Y121" i="1"/>
  <c r="X121" i="1"/>
  <c r="W121" i="1"/>
  <c r="V121" i="1"/>
  <c r="U121" i="1"/>
  <c r="T121" i="1"/>
  <c r="S121" i="1"/>
  <c r="R121" i="1"/>
  <c r="AM121" i="1"/>
  <c r="AN121" i="1"/>
  <c r="AO121" i="1"/>
  <c r="AP121" i="1"/>
  <c r="AL121" i="1"/>
  <c r="J127" i="1"/>
  <c r="K127" i="1"/>
  <c r="L127" i="1"/>
  <c r="J125" i="1"/>
  <c r="K125" i="1"/>
  <c r="L125" i="1"/>
  <c r="U26" i="1"/>
  <c r="Y9" i="1"/>
  <c r="X9" i="1"/>
  <c r="W9" i="1"/>
  <c r="V9" i="1"/>
  <c r="U9" i="1"/>
  <c r="T9" i="1"/>
  <c r="S9" i="1"/>
  <c r="R9" i="1"/>
  <c r="O80" i="1"/>
  <c r="O79" i="1"/>
  <c r="O73" i="1"/>
  <c r="O72" i="1"/>
  <c r="O71" i="1"/>
  <c r="O70" i="1"/>
  <c r="O67" i="1"/>
  <c r="O66" i="1"/>
  <c r="O65" i="1"/>
  <c r="O64" i="1"/>
  <c r="O63" i="1"/>
  <c r="O62" i="1"/>
  <c r="O59" i="1"/>
  <c r="O58" i="1"/>
  <c r="O57" i="1"/>
  <c r="O56" i="1"/>
  <c r="O55" i="1"/>
  <c r="O52" i="1"/>
  <c r="O51" i="1"/>
  <c r="O50" i="1"/>
  <c r="O49" i="1"/>
  <c r="O48" i="1"/>
  <c r="J21" i="10" l="1"/>
  <c r="J22" i="9"/>
  <c r="J22" i="10" s="1"/>
  <c r="Q4" i="10"/>
  <c r="R4" i="9"/>
  <c r="R6" i="9"/>
  <c r="R6" i="10" s="1"/>
  <c r="Q6" i="10"/>
  <c r="Q8" i="9"/>
  <c r="F18" i="10"/>
  <c r="F21" i="9"/>
  <c r="P9" i="9"/>
  <c r="P9" i="10" s="1"/>
  <c r="P8" i="10"/>
  <c r="G21" i="10"/>
  <c r="G22" i="9"/>
  <c r="G22" i="10" s="1"/>
  <c r="I21" i="9"/>
  <c r="I18" i="10"/>
  <c r="M14" i="9"/>
  <c r="M14" i="10" s="1"/>
  <c r="M12" i="10"/>
  <c r="E22" i="9"/>
  <c r="E22" i="10" s="1"/>
  <c r="E21" i="10"/>
  <c r="H21" i="10"/>
  <c r="H22" i="9"/>
  <c r="H22" i="10" s="1"/>
  <c r="N10" i="10"/>
  <c r="O10" i="9"/>
  <c r="N12" i="9"/>
  <c r="O77" i="1"/>
  <c r="AO138" i="1"/>
  <c r="AG141" i="1"/>
  <c r="AK138" i="1"/>
  <c r="U136" i="1"/>
  <c r="Y140" i="1"/>
  <c r="Y136" i="1"/>
  <c r="Y138" i="1"/>
  <c r="AO137" i="1"/>
  <c r="AK140" i="1"/>
  <c r="Y141" i="1"/>
  <c r="AK141" i="1"/>
  <c r="AC136" i="1"/>
  <c r="AO136" i="1"/>
  <c r="AK136" i="1"/>
  <c r="AO139" i="1"/>
  <c r="AG136" i="1"/>
  <c r="AO140" i="1"/>
  <c r="J121" i="1"/>
  <c r="L121" i="1"/>
  <c r="AK139" i="1"/>
  <c r="AO141" i="1"/>
  <c r="AC138" i="1"/>
  <c r="AJ127" i="1"/>
  <c r="AK127" i="1" s="1"/>
  <c r="AO127" i="1"/>
  <c r="AJ122" i="1"/>
  <c r="AK122" i="1" s="1"/>
  <c r="U141" i="1"/>
  <c r="AC137" i="1"/>
  <c r="AP144" i="1"/>
  <c r="AP145" i="1" s="1"/>
  <c r="AN129" i="1"/>
  <c r="AO129" i="1" s="1"/>
  <c r="AO147" i="1" s="1"/>
  <c r="U140" i="1"/>
  <c r="AG140" i="1"/>
  <c r="AN122" i="1"/>
  <c r="AO122" i="1" s="1"/>
  <c r="AO148" i="1" s="1"/>
  <c r="AN124" i="1"/>
  <c r="AO124" i="1" s="1"/>
  <c r="AJ129" i="1"/>
  <c r="AK129" i="1" s="1"/>
  <c r="AN125" i="1"/>
  <c r="AO125" i="1" s="1"/>
  <c r="U138" i="1"/>
  <c r="AG138" i="1"/>
  <c r="AJ124" i="1"/>
  <c r="AK124" i="1" s="1"/>
  <c r="AG137" i="1"/>
  <c r="AH126" i="1"/>
  <c r="AI126" i="1" s="1"/>
  <c r="AJ126" i="1" s="1"/>
  <c r="AK126" i="1" s="1"/>
  <c r="AK123" i="1"/>
  <c r="AJ125" i="1"/>
  <c r="AK125" i="1"/>
  <c r="AO123" i="1"/>
  <c r="AC140" i="1"/>
  <c r="AM126" i="1"/>
  <c r="AN126" i="1" s="1"/>
  <c r="AO126" i="1" s="1"/>
  <c r="AJ137" i="1"/>
  <c r="AK137" i="1" s="1"/>
  <c r="K121" i="1"/>
  <c r="N14" i="9" l="1"/>
  <c r="N14" i="10" s="1"/>
  <c r="N12" i="10"/>
  <c r="O10" i="10"/>
  <c r="P10" i="9"/>
  <c r="O12" i="9"/>
  <c r="Q9" i="9"/>
  <c r="Q9" i="10" s="1"/>
  <c r="Q8" i="10"/>
  <c r="I21" i="10"/>
  <c r="I22" i="9"/>
  <c r="I22" i="10" s="1"/>
  <c r="R8" i="9"/>
  <c r="R4" i="10"/>
  <c r="AO150" i="1"/>
  <c r="F22" i="9"/>
  <c r="F22" i="10" s="1"/>
  <c r="F21" i="10"/>
  <c r="AO142" i="1"/>
  <c r="AO144" i="1" s="1"/>
  <c r="AO145" i="1" s="1"/>
  <c r="AO81" i="1"/>
  <c r="AP81" i="1"/>
  <c r="AO76" i="1"/>
  <c r="AN76" i="1"/>
  <c r="AM76" i="1"/>
  <c r="AL76" i="1"/>
  <c r="AK76" i="1"/>
  <c r="AJ76" i="1"/>
  <c r="AI76" i="1"/>
  <c r="AH76" i="1"/>
  <c r="AG76" i="1"/>
  <c r="AF76" i="1"/>
  <c r="AE76" i="1"/>
  <c r="AD76" i="1"/>
  <c r="AC76" i="1"/>
  <c r="AB76" i="1"/>
  <c r="AA76" i="1"/>
  <c r="Z76" i="1"/>
  <c r="Y76" i="1"/>
  <c r="X76" i="1"/>
  <c r="W76" i="1"/>
  <c r="V76" i="1"/>
  <c r="U76" i="1"/>
  <c r="T76" i="1"/>
  <c r="S76" i="1"/>
  <c r="R76" i="1"/>
  <c r="AP76" i="1"/>
  <c r="AO68" i="1"/>
  <c r="AO74" i="1" s="1"/>
  <c r="AP68" i="1"/>
  <c r="AP74" i="1" s="1"/>
  <c r="J63" i="1"/>
  <c r="K63" i="1"/>
  <c r="L63" i="1"/>
  <c r="M63" i="1"/>
  <c r="N63" i="1"/>
  <c r="J64" i="1"/>
  <c r="K64" i="1"/>
  <c r="L64" i="1"/>
  <c r="M64" i="1"/>
  <c r="N64" i="1"/>
  <c r="J59" i="1"/>
  <c r="K59" i="1"/>
  <c r="L59" i="1"/>
  <c r="M59" i="1"/>
  <c r="N59" i="1"/>
  <c r="AO53" i="1"/>
  <c r="AO60" i="1" s="1"/>
  <c r="AP53" i="1"/>
  <c r="AP60" i="1" s="1"/>
  <c r="AO29" i="1"/>
  <c r="AP29" i="1"/>
  <c r="AO22" i="1"/>
  <c r="AP22" i="1"/>
  <c r="AO9" i="1"/>
  <c r="AP9" i="1"/>
  <c r="O7" i="1"/>
  <c r="F120" i="2" s="1"/>
  <c r="O8" i="1"/>
  <c r="F121" i="2" s="1"/>
  <c r="J7" i="1"/>
  <c r="K7" i="1"/>
  <c r="L7" i="1"/>
  <c r="M7" i="1"/>
  <c r="N7" i="1"/>
  <c r="J8" i="1"/>
  <c r="K8" i="1"/>
  <c r="L8" i="1"/>
  <c r="M8" i="1"/>
  <c r="N8" i="1"/>
  <c r="H121" i="2" l="1"/>
  <c r="F127" i="2"/>
  <c r="F126" i="2"/>
  <c r="F122" i="2"/>
  <c r="H120" i="2"/>
  <c r="O12" i="10"/>
  <c r="O14" i="9"/>
  <c r="O14" i="10" s="1"/>
  <c r="P10" i="10"/>
  <c r="Q10" i="9"/>
  <c r="P12" i="9"/>
  <c r="R8" i="10"/>
  <c r="R12" i="9"/>
  <c r="R9" i="9"/>
  <c r="R9" i="10" s="1"/>
  <c r="AP14" i="1"/>
  <c r="AP15" i="1" s="1"/>
  <c r="AP94" i="1"/>
  <c r="AO14" i="1"/>
  <c r="AO15" i="1" s="1"/>
  <c r="AO94" i="1"/>
  <c r="AP83" i="1"/>
  <c r="AP84" i="1" s="1"/>
  <c r="AO83" i="1"/>
  <c r="AO84" i="1" s="1"/>
  <c r="AO20" i="1"/>
  <c r="AO21" i="1" s="1"/>
  <c r="AO30" i="1"/>
  <c r="AO31" i="1" s="1"/>
  <c r="AP20" i="1"/>
  <c r="AP11" i="1"/>
  <c r="H129" i="5" l="1"/>
  <c r="H122" i="2"/>
  <c r="J120" i="2"/>
  <c r="F132" i="2"/>
  <c r="H126" i="2"/>
  <c r="F128" i="2"/>
  <c r="P12" i="10"/>
  <c r="P14" i="9"/>
  <c r="P14" i="10" s="1"/>
  <c r="R12" i="10"/>
  <c r="R14" i="9"/>
  <c r="R14" i="10" s="1"/>
  <c r="F133" i="2"/>
  <c r="H133" i="2" s="1"/>
  <c r="J133" i="2" s="1"/>
  <c r="L133" i="2" s="1"/>
  <c r="H127" i="2"/>
  <c r="J127" i="2" s="1"/>
  <c r="Q10" i="10"/>
  <c r="Q12" i="9"/>
  <c r="R11" i="9"/>
  <c r="R11" i="10" s="1"/>
  <c r="J121" i="2"/>
  <c r="H130" i="5"/>
  <c r="AO23" i="1"/>
  <c r="AP21" i="1"/>
  <c r="AP30" i="1"/>
  <c r="AP31" i="1" s="1"/>
  <c r="AP23" i="1"/>
  <c r="AP109" i="1" s="1"/>
  <c r="AO32" i="1"/>
  <c r="AO36" i="1"/>
  <c r="AO38" i="1" s="1"/>
  <c r="AO40" i="1" s="1"/>
  <c r="AO43" i="1" s="1"/>
  <c r="Q12" i="10" l="1"/>
  <c r="Q14" i="9"/>
  <c r="Q14" i="10" s="1"/>
  <c r="J126" i="2"/>
  <c r="H128" i="2"/>
  <c r="G128" i="2" s="1"/>
  <c r="H132" i="2"/>
  <c r="F134" i="2"/>
  <c r="M133" i="2"/>
  <c r="O103" i="2"/>
  <c r="J129" i="5"/>
  <c r="K120" i="2"/>
  <c r="K125" i="2"/>
  <c r="L125" i="2" s="1"/>
  <c r="J122" i="2"/>
  <c r="K119" i="2"/>
  <c r="K131" i="2"/>
  <c r="H131" i="5"/>
  <c r="G122" i="2"/>
  <c r="G131" i="5" s="1"/>
  <c r="J130" i="5"/>
  <c r="L121" i="2"/>
  <c r="AP108" i="1"/>
  <c r="AO120" i="1"/>
  <c r="AO128" i="1" s="1"/>
  <c r="AO109" i="1"/>
  <c r="AO24" i="1"/>
  <c r="AP24" i="1"/>
  <c r="AP120" i="1"/>
  <c r="AP128" i="1" s="1"/>
  <c r="AP32" i="1"/>
  <c r="AP36" i="1"/>
  <c r="AP38" i="1" s="1"/>
  <c r="AP40" i="1" s="1"/>
  <c r="AP43" i="1" s="1"/>
  <c r="K128" i="5" l="1"/>
  <c r="K122" i="2"/>
  <c r="L119" i="2"/>
  <c r="J132" i="2"/>
  <c r="H134" i="2"/>
  <c r="G134" i="2" s="1"/>
  <c r="I122" i="2"/>
  <c r="I131" i="5" s="1"/>
  <c r="J131" i="5"/>
  <c r="K126" i="2"/>
  <c r="L126" i="2" s="1"/>
  <c r="J128" i="2"/>
  <c r="I128" i="2" s="1"/>
  <c r="L131" i="2"/>
  <c r="M101" i="2"/>
  <c r="M125" i="2"/>
  <c r="L130" i="5"/>
  <c r="M121" i="2"/>
  <c r="M130" i="5" s="1"/>
  <c r="N103" i="2"/>
  <c r="L120" i="2"/>
  <c r="K129" i="5"/>
  <c r="AO108" i="1"/>
  <c r="O39" i="1"/>
  <c r="O37" i="1"/>
  <c r="O34" i="1"/>
  <c r="O28" i="1"/>
  <c r="O121" i="1" s="1"/>
  <c r="O27" i="1"/>
  <c r="O26" i="1"/>
  <c r="O19" i="1"/>
  <c r="O18" i="1"/>
  <c r="O17" i="1"/>
  <c r="O13" i="1"/>
  <c r="O9" i="1"/>
  <c r="M131" i="2" l="1"/>
  <c r="O101" i="2"/>
  <c r="L129" i="5"/>
  <c r="M120" i="2"/>
  <c r="M129" i="5" s="1"/>
  <c r="N102" i="2"/>
  <c r="O94" i="1"/>
  <c r="I25" i="2"/>
  <c r="K132" i="2"/>
  <c r="J134" i="2"/>
  <c r="I134" i="2" s="1"/>
  <c r="L128" i="5"/>
  <c r="N101" i="2"/>
  <c r="M119" i="2"/>
  <c r="M128" i="5" s="1"/>
  <c r="L122" i="2"/>
  <c r="K131" i="5"/>
  <c r="K134" i="5"/>
  <c r="M102" i="2"/>
  <c r="M126" i="2"/>
  <c r="H121" i="1"/>
  <c r="G121" i="1"/>
  <c r="G127" i="1"/>
  <c r="G125" i="1"/>
  <c r="H127" i="1"/>
  <c r="H125" i="1"/>
  <c r="G63" i="1"/>
  <c r="H63" i="1" s="1"/>
  <c r="G64" i="1"/>
  <c r="H64" i="1" s="1"/>
  <c r="G59" i="1"/>
  <c r="H59" i="1" s="1"/>
  <c r="G13" i="1"/>
  <c r="G65" i="1"/>
  <c r="G62" i="1"/>
  <c r="G138" i="1"/>
  <c r="G39" i="1"/>
  <c r="G26" i="1"/>
  <c r="H39" i="1"/>
  <c r="G92" i="1"/>
  <c r="G107" i="1"/>
  <c r="G123" i="1"/>
  <c r="H138" i="1"/>
  <c r="H13" i="1"/>
  <c r="G17" i="1"/>
  <c r="G79" i="1"/>
  <c r="G80" i="1"/>
  <c r="S9" i="2" s="1"/>
  <c r="G43" i="1"/>
  <c r="H92" i="1"/>
  <c r="G131" i="1"/>
  <c r="G22" i="1"/>
  <c r="H131" i="1"/>
  <c r="G55" i="1"/>
  <c r="O81" i="1"/>
  <c r="G149" i="1"/>
  <c r="G150" i="1"/>
  <c r="O76" i="1"/>
  <c r="G66" i="1"/>
  <c r="G132" i="1"/>
  <c r="G139" i="1"/>
  <c r="H17" i="1"/>
  <c r="G49" i="1"/>
  <c r="G126" i="1"/>
  <c r="G136" i="1"/>
  <c r="G140" i="1"/>
  <c r="G147" i="1"/>
  <c r="O53" i="1"/>
  <c r="O60" i="1" s="1"/>
  <c r="G56" i="1"/>
  <c r="G124" i="1"/>
  <c r="H26" i="1"/>
  <c r="H132" i="1"/>
  <c r="H139" i="1"/>
  <c r="G18" i="1"/>
  <c r="G42" i="1"/>
  <c r="S5" i="2" s="1"/>
  <c r="S5" i="5" s="1"/>
  <c r="G70" i="1"/>
  <c r="H34" i="1"/>
  <c r="G57" i="1"/>
  <c r="H124" i="1"/>
  <c r="O142" i="1"/>
  <c r="G7" i="1"/>
  <c r="G34" i="1"/>
  <c r="G50" i="1"/>
  <c r="H18" i="1"/>
  <c r="H27" i="1"/>
  <c r="H42" i="1"/>
  <c r="G71" i="1"/>
  <c r="H126" i="1"/>
  <c r="H133" i="1"/>
  <c r="H136" i="1"/>
  <c r="H140" i="1"/>
  <c r="G8" i="1"/>
  <c r="G28" i="1"/>
  <c r="O68" i="1"/>
  <c r="O74" i="1" s="1"/>
  <c r="G48" i="1"/>
  <c r="G108" i="1"/>
  <c r="K127" i="2" s="1"/>
  <c r="G120" i="1"/>
  <c r="G67" i="1"/>
  <c r="O134" i="1"/>
  <c r="G27" i="1"/>
  <c r="G58" i="1"/>
  <c r="G133" i="1"/>
  <c r="H7" i="1"/>
  <c r="G51" i="1"/>
  <c r="O29" i="1"/>
  <c r="G19" i="1"/>
  <c r="G37" i="1"/>
  <c r="G52" i="1"/>
  <c r="G72" i="1"/>
  <c r="G91" i="1"/>
  <c r="G115" i="1" s="1"/>
  <c r="G106" i="1"/>
  <c r="G122" i="1"/>
  <c r="G128" i="1"/>
  <c r="G137" i="1"/>
  <c r="G141" i="1"/>
  <c r="G148" i="1"/>
  <c r="H8" i="1"/>
  <c r="H19" i="1"/>
  <c r="H28" i="1"/>
  <c r="H37" i="1"/>
  <c r="G73" i="1"/>
  <c r="H91" i="1"/>
  <c r="H115" i="1" s="1"/>
  <c r="H137" i="1"/>
  <c r="H141" i="1"/>
  <c r="O14" i="1"/>
  <c r="M122" i="2" l="1"/>
  <c r="M131" i="5" s="1"/>
  <c r="L131" i="5"/>
  <c r="N104" i="2"/>
  <c r="L132" i="2"/>
  <c r="K134" i="2"/>
  <c r="L127" i="2"/>
  <c r="M103" i="2" s="1"/>
  <c r="M104" i="2" s="1"/>
  <c r="K128" i="2"/>
  <c r="G77" i="1"/>
  <c r="S8" i="2"/>
  <c r="V25" i="2" s="1"/>
  <c r="O144" i="1"/>
  <c r="O83" i="1"/>
  <c r="O84" i="1"/>
  <c r="O15" i="1"/>
  <c r="O20" i="1"/>
  <c r="I27" i="2" s="1"/>
  <c r="J37" i="5"/>
  <c r="K37" i="5"/>
  <c r="L36" i="5"/>
  <c r="M36" i="5"/>
  <c r="O102" i="2" l="1"/>
  <c r="M132" i="2"/>
  <c r="L134" i="2"/>
  <c r="M134" i="2" s="1"/>
  <c r="M127" i="2"/>
  <c r="L128" i="2"/>
  <c r="M128" i="2" s="1"/>
  <c r="O30" i="1"/>
  <c r="O31" i="1" s="1"/>
  <c r="O21" i="1"/>
  <c r="K133" i="1"/>
  <c r="L133" i="1"/>
  <c r="M133" i="1"/>
  <c r="N133" i="1"/>
  <c r="M245" i="5"/>
  <c r="N245" i="5"/>
  <c r="O245" i="5"/>
  <c r="P285" i="5"/>
  <c r="P286" i="5"/>
  <c r="K282" i="5"/>
  <c r="L282" i="5"/>
  <c r="M282" i="5"/>
  <c r="N282" i="5"/>
  <c r="O282" i="5"/>
  <c r="N246" i="5"/>
  <c r="M246" i="5"/>
  <c r="O104" i="2" l="1"/>
  <c r="O32" i="1"/>
  <c r="O36" i="1"/>
  <c r="O38" i="1" s="1"/>
  <c r="O40" i="1" s="1"/>
  <c r="H199" i="5"/>
  <c r="I199" i="5"/>
  <c r="H200" i="5"/>
  <c r="J200" i="5"/>
  <c r="H201" i="5"/>
  <c r="J201" i="5"/>
  <c r="I202" i="5"/>
  <c r="H204" i="5"/>
  <c r="H194" i="5"/>
  <c r="H195" i="5"/>
  <c r="E192" i="5"/>
  <c r="G200" i="5"/>
  <c r="G201" i="5"/>
  <c r="I201" i="5"/>
  <c r="I200" i="5"/>
  <c r="G195" i="5"/>
  <c r="G194" i="5"/>
  <c r="P101" i="2" l="1"/>
  <c r="P103" i="2"/>
  <c r="P244" i="5" s="1"/>
  <c r="P102" i="2"/>
  <c r="P243" i="5" s="1"/>
  <c r="O43" i="1"/>
  <c r="H202" i="5"/>
  <c r="G199" i="5"/>
  <c r="J199" i="5"/>
  <c r="P104" i="2" l="1"/>
  <c r="P242" i="5"/>
  <c r="G202" i="5"/>
  <c r="J202" i="5"/>
  <c r="T29" i="5" l="1"/>
  <c r="K27" i="2" l="1"/>
  <c r="AN103" i="1" l="1"/>
  <c r="AM103" i="1"/>
  <c r="AL103" i="1"/>
  <c r="AJ103" i="1"/>
  <c r="AI103" i="1"/>
  <c r="AH103" i="1"/>
  <c r="AF103" i="1"/>
  <c r="AE103" i="1"/>
  <c r="AD103" i="1"/>
  <c r="AB103" i="1"/>
  <c r="AA103" i="1"/>
  <c r="Z103" i="1"/>
  <c r="X103" i="1"/>
  <c r="W103" i="1"/>
  <c r="V103" i="1"/>
  <c r="T103" i="1"/>
  <c r="T107" i="1" s="1"/>
  <c r="S103" i="1"/>
  <c r="S107" i="1" s="1"/>
  <c r="R103" i="1"/>
  <c r="R107" i="1" s="1"/>
  <c r="AM98" i="1"/>
  <c r="AL98" i="1"/>
  <c r="AJ98" i="1"/>
  <c r="AI98" i="1"/>
  <c r="AH98" i="1"/>
  <c r="AF98" i="1"/>
  <c r="AE98" i="1"/>
  <c r="AD98" i="1"/>
  <c r="AB98" i="1"/>
  <c r="AA98" i="1"/>
  <c r="Z98" i="1"/>
  <c r="X98" i="1"/>
  <c r="W98" i="1"/>
  <c r="V98" i="1"/>
  <c r="T98" i="1"/>
  <c r="T106" i="1" s="1"/>
  <c r="S98" i="1"/>
  <c r="S106" i="1" s="1"/>
  <c r="R98" i="1"/>
  <c r="R106" i="1" s="1"/>
  <c r="AN98" i="1"/>
  <c r="AN93" i="1"/>
  <c r="AM93" i="1"/>
  <c r="AL93" i="1"/>
  <c r="AJ93" i="1"/>
  <c r="AI93" i="1"/>
  <c r="AH93" i="1"/>
  <c r="AF93" i="1"/>
  <c r="AE93" i="1"/>
  <c r="AD93" i="1"/>
  <c r="AB93" i="1"/>
  <c r="AA93" i="1"/>
  <c r="Z93" i="1"/>
  <c r="X93" i="1"/>
  <c r="X94" i="1" s="1"/>
  <c r="W93" i="1"/>
  <c r="W94" i="1" s="1"/>
  <c r="V93" i="1"/>
  <c r="V94" i="1" s="1"/>
  <c r="T93" i="1"/>
  <c r="T94" i="1" s="1"/>
  <c r="S93" i="1"/>
  <c r="S94" i="1" s="1"/>
  <c r="R93" i="1"/>
  <c r="R94" i="1" s="1"/>
  <c r="F39" i="2"/>
  <c r="G39" i="2"/>
  <c r="H39" i="2"/>
  <c r="E39" i="2"/>
  <c r="S147" i="1"/>
  <c r="T147" i="1"/>
  <c r="U147" i="1"/>
  <c r="V147" i="1"/>
  <c r="W147" i="1"/>
  <c r="X147" i="1"/>
  <c r="Y147" i="1"/>
  <c r="Z147" i="1"/>
  <c r="AA147" i="1"/>
  <c r="AB147" i="1"/>
  <c r="AC147" i="1"/>
  <c r="AD147" i="1"/>
  <c r="AE147" i="1"/>
  <c r="AF147" i="1"/>
  <c r="AG147" i="1"/>
  <c r="AH147" i="1"/>
  <c r="AI147" i="1"/>
  <c r="AJ147" i="1"/>
  <c r="AK147" i="1"/>
  <c r="AL147" i="1"/>
  <c r="AM147" i="1"/>
  <c r="AN147" i="1"/>
  <c r="R147" i="1"/>
  <c r="J133" i="1"/>
  <c r="J132" i="1"/>
  <c r="J131" i="1"/>
  <c r="J149" i="1" s="1"/>
  <c r="J150" i="1" s="1"/>
  <c r="J124" i="1"/>
  <c r="J126" i="1"/>
  <c r="S148" i="1"/>
  <c r="T148" i="1"/>
  <c r="U148" i="1"/>
  <c r="V148" i="1"/>
  <c r="W148" i="1"/>
  <c r="X148" i="1"/>
  <c r="Y148" i="1"/>
  <c r="Z148" i="1"/>
  <c r="AA148" i="1"/>
  <c r="AB148" i="1"/>
  <c r="AC148" i="1"/>
  <c r="AD148" i="1"/>
  <c r="AE148" i="1"/>
  <c r="AF148" i="1"/>
  <c r="AG148" i="1"/>
  <c r="AH148" i="1"/>
  <c r="AJ148" i="1"/>
  <c r="AK148" i="1"/>
  <c r="AM148" i="1"/>
  <c r="AN148" i="1"/>
  <c r="S142" i="1"/>
  <c r="T142" i="1"/>
  <c r="U142" i="1"/>
  <c r="V142" i="1"/>
  <c r="W142" i="1"/>
  <c r="X142" i="1"/>
  <c r="Y142" i="1"/>
  <c r="Z142" i="1"/>
  <c r="AA142" i="1"/>
  <c r="AB142" i="1"/>
  <c r="AC142" i="1"/>
  <c r="AD142" i="1"/>
  <c r="AE142" i="1"/>
  <c r="AF142" i="1"/>
  <c r="AG142" i="1"/>
  <c r="AH142" i="1"/>
  <c r="AI142" i="1"/>
  <c r="AJ142" i="1"/>
  <c r="AK142" i="1"/>
  <c r="AL142" i="1"/>
  <c r="AM142" i="1"/>
  <c r="AN142" i="1"/>
  <c r="R142" i="1"/>
  <c r="S134" i="1"/>
  <c r="T134" i="1"/>
  <c r="U134" i="1"/>
  <c r="V134" i="1"/>
  <c r="W134" i="1"/>
  <c r="X134" i="1"/>
  <c r="Y134" i="1"/>
  <c r="Z134" i="1"/>
  <c r="AA134" i="1"/>
  <c r="AB134" i="1"/>
  <c r="AC134" i="1"/>
  <c r="AD134" i="1"/>
  <c r="AE134" i="1"/>
  <c r="AF134" i="1"/>
  <c r="AG134" i="1"/>
  <c r="AH134" i="1"/>
  <c r="AI134" i="1"/>
  <c r="AJ134" i="1"/>
  <c r="AK134" i="1"/>
  <c r="AL134" i="1"/>
  <c r="AM134" i="1"/>
  <c r="AN134" i="1"/>
  <c r="R134" i="1"/>
  <c r="V11" i="1"/>
  <c r="T14" i="1"/>
  <c r="T15" i="1" s="1"/>
  <c r="W10" i="1"/>
  <c r="J39" i="1"/>
  <c r="J37" i="1"/>
  <c r="J34" i="1"/>
  <c r="K27" i="1"/>
  <c r="L27" i="1"/>
  <c r="M27" i="1"/>
  <c r="N27" i="1"/>
  <c r="K28" i="1"/>
  <c r="L28" i="1"/>
  <c r="M28" i="1"/>
  <c r="M121" i="1" s="1"/>
  <c r="N28" i="1"/>
  <c r="N121" i="1" s="1"/>
  <c r="J28" i="1"/>
  <c r="J27" i="1"/>
  <c r="J26" i="1"/>
  <c r="J18" i="1"/>
  <c r="K18" i="1"/>
  <c r="L18" i="1"/>
  <c r="M18" i="1"/>
  <c r="N18" i="1"/>
  <c r="J19" i="1"/>
  <c r="K19" i="1"/>
  <c r="L19" i="1"/>
  <c r="M19" i="1"/>
  <c r="N19" i="1"/>
  <c r="J17" i="1"/>
  <c r="J13" i="1"/>
  <c r="U29" i="1"/>
  <c r="T29" i="1"/>
  <c r="S29" i="1"/>
  <c r="R29" i="1"/>
  <c r="U22" i="1"/>
  <c r="T22" i="1"/>
  <c r="S22" i="1"/>
  <c r="R22" i="1"/>
  <c r="J80" i="1"/>
  <c r="K80" i="1"/>
  <c r="L80" i="1"/>
  <c r="M80" i="1"/>
  <c r="N80" i="1"/>
  <c r="N79" i="1"/>
  <c r="M79" i="1"/>
  <c r="L79" i="1"/>
  <c r="K79" i="1"/>
  <c r="J79" i="1"/>
  <c r="N73" i="1"/>
  <c r="M73" i="1"/>
  <c r="L73" i="1"/>
  <c r="K73" i="1"/>
  <c r="J73" i="1"/>
  <c r="N72" i="1"/>
  <c r="M72" i="1"/>
  <c r="L72" i="1"/>
  <c r="K72" i="1"/>
  <c r="J72" i="1"/>
  <c r="N71" i="1"/>
  <c r="M71" i="1"/>
  <c r="L71" i="1"/>
  <c r="K71" i="1"/>
  <c r="J71" i="1"/>
  <c r="N70" i="1"/>
  <c r="M70" i="1"/>
  <c r="L70" i="1"/>
  <c r="K70" i="1"/>
  <c r="J70" i="1"/>
  <c r="N67" i="1"/>
  <c r="M67" i="1"/>
  <c r="L67" i="1"/>
  <c r="K67" i="1"/>
  <c r="J67" i="1"/>
  <c r="N66" i="1"/>
  <c r="M66" i="1"/>
  <c r="L66" i="1"/>
  <c r="K66" i="1"/>
  <c r="J66" i="1"/>
  <c r="N65" i="1"/>
  <c r="M65" i="1"/>
  <c r="L65" i="1"/>
  <c r="K65" i="1"/>
  <c r="J65" i="1"/>
  <c r="N62" i="1"/>
  <c r="M62" i="1"/>
  <c r="L62" i="1"/>
  <c r="K62" i="1"/>
  <c r="J62" i="1"/>
  <c r="N58" i="1"/>
  <c r="M58" i="1"/>
  <c r="L58" i="1"/>
  <c r="K58" i="1"/>
  <c r="J58" i="1"/>
  <c r="N57" i="1"/>
  <c r="M57" i="1"/>
  <c r="L57" i="1"/>
  <c r="K57" i="1"/>
  <c r="J57" i="1"/>
  <c r="N56" i="1"/>
  <c r="M56" i="1"/>
  <c r="L56" i="1"/>
  <c r="K56" i="1"/>
  <c r="J56" i="1"/>
  <c r="N55" i="1"/>
  <c r="M55" i="1"/>
  <c r="L55" i="1"/>
  <c r="K55" i="1"/>
  <c r="J55" i="1"/>
  <c r="J49" i="1"/>
  <c r="K49" i="1"/>
  <c r="L49" i="1"/>
  <c r="M49" i="1"/>
  <c r="N49" i="1"/>
  <c r="J50" i="1"/>
  <c r="K50" i="1"/>
  <c r="L50" i="1"/>
  <c r="M50" i="1"/>
  <c r="N50" i="1"/>
  <c r="J51" i="1"/>
  <c r="K51" i="1"/>
  <c r="L51" i="1"/>
  <c r="M51" i="1"/>
  <c r="N51" i="1"/>
  <c r="J52" i="1"/>
  <c r="K52" i="1"/>
  <c r="L52" i="1"/>
  <c r="M52" i="1"/>
  <c r="N52" i="1"/>
  <c r="J48" i="1"/>
  <c r="K48" i="1"/>
  <c r="AN68" i="1"/>
  <c r="AN74" i="1" s="1"/>
  <c r="Y68" i="1"/>
  <c r="Y74" i="1" s="1"/>
  <c r="X68" i="1"/>
  <c r="X74" i="1" s="1"/>
  <c r="W68" i="1"/>
  <c r="W74" i="1" s="1"/>
  <c r="V68" i="1"/>
  <c r="V74" i="1" s="1"/>
  <c r="U68" i="1"/>
  <c r="U74" i="1" s="1"/>
  <c r="T68" i="1"/>
  <c r="T74" i="1" s="1"/>
  <c r="S68" i="1"/>
  <c r="S74" i="1" s="1"/>
  <c r="R68" i="1"/>
  <c r="R74" i="1" s="1"/>
  <c r="Y81" i="1"/>
  <c r="X81" i="1"/>
  <c r="W81" i="1"/>
  <c r="V81" i="1"/>
  <c r="U81" i="1"/>
  <c r="T81" i="1"/>
  <c r="S81" i="1"/>
  <c r="R81" i="1"/>
  <c r="AM81" i="1"/>
  <c r="AL81" i="1"/>
  <c r="AK81" i="1"/>
  <c r="AJ81" i="1"/>
  <c r="AI81" i="1"/>
  <c r="AH81" i="1"/>
  <c r="AG81" i="1"/>
  <c r="AF81" i="1"/>
  <c r="AE81" i="1"/>
  <c r="AD81" i="1"/>
  <c r="AC81" i="1"/>
  <c r="AB81" i="1"/>
  <c r="AA81" i="1"/>
  <c r="Z81" i="1"/>
  <c r="AN81" i="1"/>
  <c r="AN53" i="1"/>
  <c r="AN60" i="1" s="1"/>
  <c r="AM53" i="1"/>
  <c r="AM60" i="1" s="1"/>
  <c r="AL53" i="1"/>
  <c r="AL60" i="1" s="1"/>
  <c r="AK53" i="1"/>
  <c r="AK60" i="1" s="1"/>
  <c r="AJ53" i="1"/>
  <c r="AJ60" i="1" s="1"/>
  <c r="AI53" i="1"/>
  <c r="AI60" i="1" s="1"/>
  <c r="AH53" i="1"/>
  <c r="AH60" i="1" s="1"/>
  <c r="AG53" i="1"/>
  <c r="AG60" i="1" s="1"/>
  <c r="AF53" i="1"/>
  <c r="AF60" i="1" s="1"/>
  <c r="AE53" i="1"/>
  <c r="AE60" i="1" s="1"/>
  <c r="AD53" i="1"/>
  <c r="AD60" i="1" s="1"/>
  <c r="AC53" i="1"/>
  <c r="AC60" i="1" s="1"/>
  <c r="AB53" i="1"/>
  <c r="AB60" i="1" s="1"/>
  <c r="AA53" i="1"/>
  <c r="AA60" i="1" s="1"/>
  <c r="Z53" i="1"/>
  <c r="Z60" i="1" s="1"/>
  <c r="Y53" i="1"/>
  <c r="Y60" i="1" s="1"/>
  <c r="X53" i="1"/>
  <c r="X60" i="1" s="1"/>
  <c r="W53" i="1"/>
  <c r="W60" i="1" s="1"/>
  <c r="V53" i="1"/>
  <c r="V60" i="1" s="1"/>
  <c r="U53" i="1"/>
  <c r="U60" i="1" s="1"/>
  <c r="T53" i="1"/>
  <c r="T60" i="1" s="1"/>
  <c r="S53" i="1"/>
  <c r="S60" i="1" s="1"/>
  <c r="R53" i="1"/>
  <c r="R60" i="1" s="1"/>
  <c r="AN29" i="1"/>
  <c r="AM29" i="1"/>
  <c r="AL29" i="1"/>
  <c r="AK29" i="1"/>
  <c r="AJ29" i="1"/>
  <c r="AI29" i="1"/>
  <c r="AH29" i="1"/>
  <c r="AG29" i="1"/>
  <c r="AF29" i="1"/>
  <c r="AE29" i="1"/>
  <c r="AD29" i="1"/>
  <c r="AC29" i="1"/>
  <c r="AB29" i="1"/>
  <c r="AA29" i="1"/>
  <c r="Y29" i="1"/>
  <c r="X29" i="1"/>
  <c r="W29" i="1"/>
  <c r="V29" i="1"/>
  <c r="Z29" i="1"/>
  <c r="AM22" i="1"/>
  <c r="AL22" i="1"/>
  <c r="AK22" i="1"/>
  <c r="AJ22" i="1"/>
  <c r="AI22" i="1"/>
  <c r="AH22" i="1"/>
  <c r="AG22" i="1"/>
  <c r="AF22" i="1"/>
  <c r="AE22" i="1"/>
  <c r="AD22" i="1"/>
  <c r="AC22" i="1"/>
  <c r="AB22" i="1"/>
  <c r="AA22" i="1"/>
  <c r="Z22" i="1"/>
  <c r="Y22" i="1"/>
  <c r="X22" i="1"/>
  <c r="W22" i="1"/>
  <c r="V22" i="1"/>
  <c r="AN22" i="1"/>
  <c r="AN9" i="1"/>
  <c r="L77" i="1" l="1"/>
  <c r="X106" i="1"/>
  <c r="X99" i="1"/>
  <c r="AI99" i="1"/>
  <c r="AI106" i="1"/>
  <c r="W104" i="1"/>
  <c r="W107" i="1"/>
  <c r="AH104" i="1"/>
  <c r="AH107" i="1"/>
  <c r="K77" i="1"/>
  <c r="Z99" i="1"/>
  <c r="Z106" i="1"/>
  <c r="AJ106" i="1"/>
  <c r="AJ99" i="1"/>
  <c r="X104" i="1"/>
  <c r="X107" i="1"/>
  <c r="AI104" i="1"/>
  <c r="AI107" i="1"/>
  <c r="J77" i="1"/>
  <c r="AN106" i="1"/>
  <c r="AN99" i="1"/>
  <c r="AA99" i="1"/>
  <c r="AA106" i="1"/>
  <c r="AL106" i="1"/>
  <c r="O106" i="1" s="1"/>
  <c r="AL99" i="1"/>
  <c r="AP99" i="1"/>
  <c r="Z104" i="1"/>
  <c r="Z107" i="1"/>
  <c r="AJ107" i="1"/>
  <c r="AJ104" i="1"/>
  <c r="AB106" i="1"/>
  <c r="AB99" i="1"/>
  <c r="AM106" i="1"/>
  <c r="AM99" i="1"/>
  <c r="AA107" i="1"/>
  <c r="AA104" i="1"/>
  <c r="AL107" i="1"/>
  <c r="AL104" i="1"/>
  <c r="AP104" i="1"/>
  <c r="AD106" i="1"/>
  <c r="AD99" i="1"/>
  <c r="AB107" i="1"/>
  <c r="AB104" i="1"/>
  <c r="AM107" i="1"/>
  <c r="H107" i="1" s="1"/>
  <c r="AM104" i="1"/>
  <c r="AE106" i="1"/>
  <c r="AE99" i="1"/>
  <c r="AD107" i="1"/>
  <c r="AD104" i="1"/>
  <c r="AN104" i="1"/>
  <c r="AN107" i="1"/>
  <c r="N77" i="1"/>
  <c r="V99" i="1"/>
  <c r="V106" i="1"/>
  <c r="AF106" i="1"/>
  <c r="AF99" i="1"/>
  <c r="AE104" i="1"/>
  <c r="AE107" i="1"/>
  <c r="M77" i="1"/>
  <c r="W106" i="1"/>
  <c r="W99" i="1"/>
  <c r="AH99" i="1"/>
  <c r="AH106" i="1"/>
  <c r="V107" i="1"/>
  <c r="V104" i="1"/>
  <c r="AF104" i="1"/>
  <c r="AF107" i="1"/>
  <c r="AL144" i="1"/>
  <c r="AD144" i="1"/>
  <c r="V144" i="1"/>
  <c r="AN94" i="1"/>
  <c r="AI144" i="1"/>
  <c r="AA144" i="1"/>
  <c r="S144" i="1"/>
  <c r="AN144" i="1"/>
  <c r="AF144" i="1"/>
  <c r="X144" i="1"/>
  <c r="AM144" i="1"/>
  <c r="AE144" i="1"/>
  <c r="W144" i="1"/>
  <c r="AK144" i="1"/>
  <c r="AC144" i="1"/>
  <c r="U144" i="1"/>
  <c r="U145" i="1" s="1"/>
  <c r="AJ144" i="1"/>
  <c r="AB144" i="1"/>
  <c r="T144" i="1"/>
  <c r="T145" i="1" s="1"/>
  <c r="AH144" i="1"/>
  <c r="Z144" i="1"/>
  <c r="R144" i="1"/>
  <c r="AG144" i="1"/>
  <c r="Y144" i="1"/>
  <c r="H123" i="1"/>
  <c r="AN14" i="1"/>
  <c r="AN15" i="1" s="1"/>
  <c r="AO11" i="1"/>
  <c r="H149" i="1"/>
  <c r="H147" i="1"/>
  <c r="AI148" i="1"/>
  <c r="H22" i="1"/>
  <c r="O22" i="1"/>
  <c r="AL148" i="1"/>
  <c r="H148" i="1" s="1"/>
  <c r="H122" i="1"/>
  <c r="AK150" i="1"/>
  <c r="AC150" i="1"/>
  <c r="U150" i="1"/>
  <c r="AK98" i="1"/>
  <c r="AG98" i="1"/>
  <c r="U93" i="1"/>
  <c r="U94" i="1" s="1"/>
  <c r="U98" i="1"/>
  <c r="U106" i="1" s="1"/>
  <c r="J106" i="1" s="1"/>
  <c r="Y98" i="1"/>
  <c r="Y93" i="1"/>
  <c r="Y94" i="1" s="1"/>
  <c r="AC98" i="1"/>
  <c r="AG93" i="1"/>
  <c r="AC93" i="1"/>
  <c r="AK93" i="1"/>
  <c r="AA150" i="1"/>
  <c r="S150" i="1"/>
  <c r="J142" i="1"/>
  <c r="Y150" i="1"/>
  <c r="J123" i="1"/>
  <c r="W150" i="1"/>
  <c r="R148" i="1"/>
  <c r="AF150" i="1"/>
  <c r="X150" i="1"/>
  <c r="AL150" i="1"/>
  <c r="AD150" i="1"/>
  <c r="V150" i="1"/>
  <c r="J134" i="1"/>
  <c r="AJ150" i="1"/>
  <c r="AB150" i="1"/>
  <c r="T150" i="1"/>
  <c r="AG150" i="1"/>
  <c r="AN150" i="1"/>
  <c r="AM150" i="1"/>
  <c r="AE150" i="1"/>
  <c r="Z150" i="1"/>
  <c r="AH150" i="1"/>
  <c r="X10" i="1"/>
  <c r="AN145" i="1"/>
  <c r="U14" i="1"/>
  <c r="U15" i="1" s="1"/>
  <c r="S145" i="1"/>
  <c r="S11" i="1"/>
  <c r="Y10" i="1"/>
  <c r="U11" i="1"/>
  <c r="J9" i="1"/>
  <c r="J94" i="1" s="1"/>
  <c r="AN83" i="1"/>
  <c r="AN84" i="1" s="1"/>
  <c r="J22" i="1"/>
  <c r="T83" i="1"/>
  <c r="T84" i="1" s="1"/>
  <c r="W83" i="1"/>
  <c r="W84" i="1" s="1"/>
  <c r="V10" i="1"/>
  <c r="X83" i="1"/>
  <c r="X84" i="1" s="1"/>
  <c r="J29" i="1"/>
  <c r="R14" i="1"/>
  <c r="R15" i="1" s="1"/>
  <c r="S83" i="1"/>
  <c r="S84" i="1" s="1"/>
  <c r="T11" i="1"/>
  <c r="U83" i="1"/>
  <c r="U84" i="1" s="1"/>
  <c r="S14" i="1"/>
  <c r="S15" i="1" s="1"/>
  <c r="V83" i="1"/>
  <c r="V84" i="1" s="1"/>
  <c r="J81" i="1"/>
  <c r="Y83" i="1"/>
  <c r="Y84" i="1" s="1"/>
  <c r="R83" i="1"/>
  <c r="R84" i="1" s="1"/>
  <c r="J76" i="1"/>
  <c r="J53" i="1"/>
  <c r="J60" i="1" s="1"/>
  <c r="J68" i="1"/>
  <c r="J74" i="1" s="1"/>
  <c r="K81" i="1"/>
  <c r="H49" i="1"/>
  <c r="T20" i="1"/>
  <c r="H57" i="1"/>
  <c r="H52" i="1"/>
  <c r="H51" i="1"/>
  <c r="AN20" i="1"/>
  <c r="O23" i="1" l="1"/>
  <c r="I28" i="2"/>
  <c r="I29" i="2" s="1"/>
  <c r="H106" i="1"/>
  <c r="O107" i="1"/>
  <c r="Y106" i="1"/>
  <c r="K106" i="1" s="1"/>
  <c r="Y99" i="1"/>
  <c r="AC99" i="1"/>
  <c r="AC106" i="1"/>
  <c r="L106" i="1" s="1"/>
  <c r="AG99" i="1"/>
  <c r="AG106" i="1"/>
  <c r="M106" i="1" s="1"/>
  <c r="AK99" i="1"/>
  <c r="AK106" i="1"/>
  <c r="N106" i="1" s="1"/>
  <c r="AO99" i="1"/>
  <c r="AI150" i="1"/>
  <c r="O24" i="1"/>
  <c r="O120" i="1"/>
  <c r="O128" i="1" s="1"/>
  <c r="H150" i="1"/>
  <c r="J14" i="1"/>
  <c r="J15" i="1" s="1"/>
  <c r="G109" i="1"/>
  <c r="G93" i="1"/>
  <c r="H93" i="1"/>
  <c r="R150" i="1"/>
  <c r="U20" i="1"/>
  <c r="U23" i="1" s="1"/>
  <c r="U109" i="1" s="1"/>
  <c r="S20" i="1"/>
  <c r="S30" i="1" s="1"/>
  <c r="S31" i="1" s="1"/>
  <c r="S36" i="1" s="1"/>
  <c r="S38" i="1" s="1"/>
  <c r="R20" i="1"/>
  <c r="R30" i="1" s="1"/>
  <c r="R31" i="1" s="1"/>
  <c r="R32" i="1" s="1"/>
  <c r="J83" i="1"/>
  <c r="J84" i="1" s="1"/>
  <c r="T23" i="1"/>
  <c r="T109" i="1" s="1"/>
  <c r="T108" i="1" s="1"/>
  <c r="T30" i="1"/>
  <c r="T31" i="1" s="1"/>
  <c r="T21" i="1"/>
  <c r="H50" i="1"/>
  <c r="AN23" i="1"/>
  <c r="AN109" i="1" s="1"/>
  <c r="AN30" i="1"/>
  <c r="AN31" i="1" s="1"/>
  <c r="AN21" i="1"/>
  <c r="AN108" i="1" l="1"/>
  <c r="J20" i="1"/>
  <c r="J30" i="1" s="1"/>
  <c r="J31" i="1" s="1"/>
  <c r="J32" i="1" s="1"/>
  <c r="G193" i="5"/>
  <c r="P245" i="5"/>
  <c r="AN120" i="1"/>
  <c r="AN128" i="1" s="1"/>
  <c r="S40" i="1"/>
  <c r="S43" i="1" s="1"/>
  <c r="U21" i="1"/>
  <c r="U30" i="1"/>
  <c r="U31" i="1" s="1"/>
  <c r="U36" i="1" s="1"/>
  <c r="U38" i="1" s="1"/>
  <c r="T24" i="1"/>
  <c r="T120" i="1"/>
  <c r="T128" i="1" s="1"/>
  <c r="U24" i="1"/>
  <c r="U120" i="1"/>
  <c r="U128" i="1" s="1"/>
  <c r="R36" i="1"/>
  <c r="R38" i="1" s="1"/>
  <c r="R23" i="1"/>
  <c r="R109" i="1" s="1"/>
  <c r="R108" i="1" s="1"/>
  <c r="R21" i="1"/>
  <c r="S21" i="1"/>
  <c r="S23" i="1"/>
  <c r="S109" i="1" s="1"/>
  <c r="S108" i="1" s="1"/>
  <c r="S32" i="1"/>
  <c r="J21" i="1"/>
  <c r="T32" i="1"/>
  <c r="T36" i="1"/>
  <c r="T38" i="1" s="1"/>
  <c r="AN36" i="1"/>
  <c r="AN38" i="1" s="1"/>
  <c r="AN32" i="1"/>
  <c r="AN24" i="1"/>
  <c r="N22" i="1"/>
  <c r="H28" i="2" s="1"/>
  <c r="M22" i="1"/>
  <c r="G28" i="2" s="1"/>
  <c r="L22" i="1"/>
  <c r="F28" i="2" s="1"/>
  <c r="K22" i="1"/>
  <c r="E28" i="2" s="1"/>
  <c r="J36" i="1" l="1"/>
  <c r="J38" i="1" s="1"/>
  <c r="J23" i="1"/>
  <c r="J24" i="1" s="1"/>
  <c r="G204" i="5"/>
  <c r="G196" i="5"/>
  <c r="J40" i="1"/>
  <c r="AN40" i="1"/>
  <c r="AN43" i="1" s="1"/>
  <c r="U40" i="1"/>
  <c r="R40" i="1"/>
  <c r="R43" i="1" s="1"/>
  <c r="T40" i="1"/>
  <c r="T43" i="1" s="1"/>
  <c r="U32" i="1"/>
  <c r="S24" i="1"/>
  <c r="S120" i="1"/>
  <c r="S128" i="1" s="1"/>
  <c r="R24" i="1"/>
  <c r="R120" i="1"/>
  <c r="R128" i="1" s="1"/>
  <c r="V30" i="2"/>
  <c r="T30" i="2"/>
  <c r="J43" i="1" l="1"/>
  <c r="U43" i="1"/>
  <c r="J120" i="1"/>
  <c r="J128" i="1" s="1"/>
  <c r="G101" i="2" l="1"/>
  <c r="I103" i="2" l="1"/>
  <c r="I101" i="2"/>
  <c r="G102" i="2"/>
  <c r="G103" i="2"/>
  <c r="K35" i="2"/>
  <c r="G104" i="2" l="1"/>
  <c r="I102" i="2"/>
  <c r="I104" i="2" s="1"/>
  <c r="H102" i="2"/>
  <c r="H103" i="2"/>
  <c r="H101" i="2"/>
  <c r="J35" i="2"/>
  <c r="K26" i="2"/>
  <c r="H104" i="2" l="1"/>
  <c r="J26" i="2"/>
  <c r="I35" i="2" l="1"/>
  <c r="L124" i="1"/>
  <c r="K124" i="1"/>
  <c r="K126" i="1"/>
  <c r="L126" i="1"/>
  <c r="Z145" i="1"/>
  <c r="N132" i="1"/>
  <c r="M132" i="1"/>
  <c r="L132" i="1"/>
  <c r="K132" i="1"/>
  <c r="N131" i="1"/>
  <c r="N149" i="1" s="1"/>
  <c r="N150" i="1" s="1"/>
  <c r="H33" i="2" s="1"/>
  <c r="M131" i="1"/>
  <c r="M149" i="1" s="1"/>
  <c r="M150" i="1" s="1"/>
  <c r="G33" i="2" s="1"/>
  <c r="L131" i="1"/>
  <c r="L149" i="1" s="1"/>
  <c r="L150" i="1" s="1"/>
  <c r="F33" i="2" s="1"/>
  <c r="K131" i="1"/>
  <c r="K149" i="1" s="1"/>
  <c r="K150" i="1" s="1"/>
  <c r="E33" i="2" s="1"/>
  <c r="N13" i="1"/>
  <c r="M13" i="1"/>
  <c r="L13" i="1"/>
  <c r="K13" i="1"/>
  <c r="N26" i="1"/>
  <c r="N29" i="1" s="1"/>
  <c r="M26" i="1"/>
  <c r="M29" i="1" s="1"/>
  <c r="L26" i="1"/>
  <c r="L29" i="1" s="1"/>
  <c r="K26" i="1"/>
  <c r="K29" i="1" s="1"/>
  <c r="Y14" i="1"/>
  <c r="Y15" i="1" s="1"/>
  <c r="W14" i="1"/>
  <c r="W15" i="1" s="1"/>
  <c r="K76" i="1"/>
  <c r="Z68" i="1"/>
  <c r="AA68" i="1"/>
  <c r="AB68" i="1"/>
  <c r="AC68" i="1"/>
  <c r="AD68" i="1"/>
  <c r="AE68" i="1"/>
  <c r="AF68" i="1"/>
  <c r="AG68" i="1"/>
  <c r="AH68" i="1"/>
  <c r="AI68" i="1"/>
  <c r="AJ68" i="1"/>
  <c r="AK68" i="1"/>
  <c r="AL68" i="1"/>
  <c r="AM68" i="1"/>
  <c r="AA145" i="1" l="1"/>
  <c r="V145" i="1"/>
  <c r="Y145" i="1"/>
  <c r="AB145" i="1"/>
  <c r="AC145" i="1"/>
  <c r="W145" i="1"/>
  <c r="X145" i="1"/>
  <c r="AL145" i="1"/>
  <c r="AM145" i="1"/>
  <c r="AI145" i="1"/>
  <c r="AF145" i="1"/>
  <c r="AG145" i="1"/>
  <c r="AH145" i="1"/>
  <c r="AK145" i="1"/>
  <c r="AJ145" i="1"/>
  <c r="AD145" i="1"/>
  <c r="AE145" i="1"/>
  <c r="Y20" i="1"/>
  <c r="W20" i="1"/>
  <c r="X11" i="1"/>
  <c r="W11" i="1"/>
  <c r="Y11" i="1"/>
  <c r="V14" i="1"/>
  <c r="X14" i="1"/>
  <c r="Y30" i="1" l="1"/>
  <c r="Y31" i="1" s="1"/>
  <c r="W30" i="1"/>
  <c r="W31" i="1" s="1"/>
  <c r="W21" i="1"/>
  <c r="W23" i="1"/>
  <c r="W109" i="1" s="1"/>
  <c r="Y23" i="1"/>
  <c r="Y109" i="1" s="1"/>
  <c r="Y21" i="1"/>
  <c r="X15" i="1"/>
  <c r="X20" i="1"/>
  <c r="V15" i="1"/>
  <c r="V20" i="1"/>
  <c r="Y110" i="1" l="1"/>
  <c r="W108" i="1"/>
  <c r="W110" i="1"/>
  <c r="W120" i="1"/>
  <c r="W128" i="1" s="1"/>
  <c r="Y120" i="1"/>
  <c r="Y128" i="1" s="1"/>
  <c r="Y32" i="1"/>
  <c r="Y36" i="1"/>
  <c r="Y38" i="1" s="1"/>
  <c r="W32" i="1"/>
  <c r="W36" i="1"/>
  <c r="W38" i="1" s="1"/>
  <c r="W24" i="1"/>
  <c r="Y24" i="1"/>
  <c r="V30" i="1"/>
  <c r="V31" i="1" s="1"/>
  <c r="X30" i="1"/>
  <c r="X31" i="1" s="1"/>
  <c r="X21" i="1"/>
  <c r="X23" i="1"/>
  <c r="X109" i="1" s="1"/>
  <c r="V21" i="1"/>
  <c r="V23" i="1"/>
  <c r="V109" i="1" s="1"/>
  <c r="X108" i="1" l="1"/>
  <c r="X110" i="1"/>
  <c r="V108" i="1"/>
  <c r="V110" i="1"/>
  <c r="V120" i="1"/>
  <c r="V128" i="1" s="1"/>
  <c r="X120" i="1"/>
  <c r="X128" i="1" s="1"/>
  <c r="W40" i="1"/>
  <c r="Y40" i="1"/>
  <c r="X32" i="1"/>
  <c r="X36" i="1"/>
  <c r="X38" i="1" s="1"/>
  <c r="V32" i="1"/>
  <c r="V36" i="1"/>
  <c r="V38" i="1" s="1"/>
  <c r="X24" i="1"/>
  <c r="V24" i="1"/>
  <c r="X40" i="1" l="1"/>
  <c r="V40" i="1"/>
  <c r="K120" i="1"/>
  <c r="AM9" i="1" l="1"/>
  <c r="AM94" i="1" s="1"/>
  <c r="AM74" i="1"/>
  <c r="G197" i="5" l="1"/>
  <c r="AN11" i="1"/>
  <c r="G29" i="1"/>
  <c r="H29" i="1"/>
  <c r="AM14" i="1"/>
  <c r="H72" i="1"/>
  <c r="H56" i="1"/>
  <c r="H58" i="1"/>
  <c r="H65" i="1"/>
  <c r="H66" i="1"/>
  <c r="AM83" i="1"/>
  <c r="AM84" i="1" s="1"/>
  <c r="G198" i="5" l="1"/>
  <c r="AM15" i="1"/>
  <c r="AM20" i="1"/>
  <c r="G203" i="5" l="1"/>
  <c r="AM30" i="1"/>
  <c r="AM31" i="1" s="1"/>
  <c r="AM21" i="1"/>
  <c r="AM23" i="1"/>
  <c r="AM109" i="1" s="1"/>
  <c r="AM108" i="1" l="1"/>
  <c r="H108" i="1" s="1"/>
  <c r="H109" i="1" s="1"/>
  <c r="G205" i="5"/>
  <c r="AM120" i="1"/>
  <c r="AM128" i="1" s="1"/>
  <c r="AM32" i="1"/>
  <c r="AM36" i="1"/>
  <c r="AM38" i="1" s="1"/>
  <c r="AM24" i="1"/>
  <c r="AM40" i="1" l="1"/>
  <c r="AM43" i="1" l="1"/>
  <c r="P25" i="2" l="1"/>
  <c r="P28" i="2"/>
  <c r="P29" i="2"/>
  <c r="P27" i="2"/>
  <c r="AE24" i="2"/>
  <c r="AD24" i="2"/>
  <c r="AC24" i="2"/>
  <c r="AE25" i="2"/>
  <c r="AE29" i="2"/>
  <c r="AE28" i="2"/>
  <c r="AE27" i="2"/>
  <c r="AD25" i="2"/>
  <c r="AD28" i="2"/>
  <c r="AD29" i="2"/>
  <c r="AD27" i="2"/>
  <c r="AC28" i="2"/>
  <c r="AC25" i="2"/>
  <c r="AC29" i="2"/>
  <c r="AC27" i="2"/>
  <c r="P30" i="2" l="1"/>
  <c r="Q28" i="2"/>
  <c r="Q27" i="2"/>
  <c r="Q29" i="2"/>
  <c r="S27" i="2"/>
  <c r="U27" i="2" s="1"/>
  <c r="S28" i="2"/>
  <c r="U28" i="2" s="1"/>
  <c r="S29" i="2"/>
  <c r="U29" i="2" s="1"/>
  <c r="R28" i="2"/>
  <c r="R27" i="2"/>
  <c r="R29" i="2"/>
  <c r="Q25" i="2"/>
  <c r="R25" i="2"/>
  <c r="S25" i="2"/>
  <c r="U25" i="2" s="1"/>
  <c r="U30" i="2" l="1"/>
  <c r="Q30" i="2"/>
  <c r="R30" i="2"/>
  <c r="S30" i="2"/>
  <c r="L134" i="1" l="1"/>
  <c r="M142" i="1"/>
  <c r="N134" i="1"/>
  <c r="M134" i="1"/>
  <c r="K134" i="1"/>
  <c r="K142" i="1"/>
  <c r="K144" i="1" s="1"/>
  <c r="L142" i="1"/>
  <c r="L144" i="1" s="1"/>
  <c r="M144" i="1" l="1"/>
  <c r="N142" i="1"/>
  <c r="N144" i="1" s="1"/>
  <c r="N48" i="1"/>
  <c r="O145" i="1" s="1"/>
  <c r="M48" i="1"/>
  <c r="L48" i="1"/>
  <c r="L145" i="1" s="1"/>
  <c r="Z74" i="1"/>
  <c r="AA74" i="1"/>
  <c r="AG74" i="1"/>
  <c r="AH74" i="1"/>
  <c r="AI74" i="1"/>
  <c r="N39" i="1"/>
  <c r="M39" i="1"/>
  <c r="L39" i="1"/>
  <c r="K39" i="1"/>
  <c r="N17" i="1"/>
  <c r="M17" i="1"/>
  <c r="L17" i="1"/>
  <c r="K17" i="1"/>
  <c r="N145" i="1" l="1"/>
  <c r="M145" i="1"/>
  <c r="L123" i="1"/>
  <c r="K123" i="1"/>
  <c r="L81" i="1"/>
  <c r="N76" i="1"/>
  <c r="L76" i="1"/>
  <c r="M76" i="1"/>
  <c r="M53" i="1"/>
  <c r="M60" i="1" s="1"/>
  <c r="L53" i="1"/>
  <c r="L60" i="1" s="1"/>
  <c r="AG83" i="1"/>
  <c r="AG84" i="1" s="1"/>
  <c r="M68" i="1"/>
  <c r="M74" i="1" s="1"/>
  <c r="H67" i="1"/>
  <c r="H77" i="1" s="1"/>
  <c r="H73" i="1"/>
  <c r="K53" i="1"/>
  <c r="K60" i="1" s="1"/>
  <c r="L68" i="1"/>
  <c r="L74" i="1" s="1"/>
  <c r="N53" i="1"/>
  <c r="N60" i="1" s="1"/>
  <c r="M81" i="1"/>
  <c r="AL74" i="1"/>
  <c r="AL83" i="1" s="1"/>
  <c r="AL84" i="1" s="1"/>
  <c r="AE74" i="1"/>
  <c r="AE83" i="1" s="1"/>
  <c r="AE84" i="1" s="1"/>
  <c r="AD74" i="1"/>
  <c r="AD83" i="1" s="1"/>
  <c r="AD84" i="1" s="1"/>
  <c r="K68" i="1"/>
  <c r="K74" i="1" s="1"/>
  <c r="AI83" i="1"/>
  <c r="AI84" i="1" s="1"/>
  <c r="AA83" i="1"/>
  <c r="AA84" i="1" s="1"/>
  <c r="AH83" i="1"/>
  <c r="AH84" i="1" s="1"/>
  <c r="Z83" i="1"/>
  <c r="Z84" i="1" s="1"/>
  <c r="AF74" i="1"/>
  <c r="AF83" i="1" s="1"/>
  <c r="AF84" i="1" s="1"/>
  <c r="AK74" i="1"/>
  <c r="AK83" i="1" s="1"/>
  <c r="AK84" i="1" s="1"/>
  <c r="AC74" i="1"/>
  <c r="AC83" i="1" s="1"/>
  <c r="AC84" i="1" s="1"/>
  <c r="AJ74" i="1"/>
  <c r="AJ83" i="1" s="1"/>
  <c r="AJ84" i="1" s="1"/>
  <c r="AB74" i="1"/>
  <c r="AB83" i="1" s="1"/>
  <c r="AB84" i="1" s="1"/>
  <c r="N81" i="1"/>
  <c r="N68" i="1"/>
  <c r="G108" i="2" l="1"/>
  <c r="H108" i="2"/>
  <c r="I108" i="2"/>
  <c r="H80" i="1"/>
  <c r="L83" i="1"/>
  <c r="L84" i="1" s="1"/>
  <c r="J39" i="2"/>
  <c r="K39" i="2"/>
  <c r="G142" i="1"/>
  <c r="H142" i="1"/>
  <c r="G76" i="1"/>
  <c r="H71" i="1"/>
  <c r="G9" i="1"/>
  <c r="G94" i="1" s="1"/>
  <c r="H55" i="1"/>
  <c r="H9" i="1"/>
  <c r="H94" i="1" s="1"/>
  <c r="M83" i="1"/>
  <c r="M84" i="1" s="1"/>
  <c r="H62" i="1"/>
  <c r="H68" i="1" s="1"/>
  <c r="G68" i="1"/>
  <c r="G74" i="1" s="1"/>
  <c r="H79" i="1"/>
  <c r="G81" i="1"/>
  <c r="N74" i="1"/>
  <c r="N83" i="1" s="1"/>
  <c r="N84" i="1" s="1"/>
  <c r="H70" i="1"/>
  <c r="H134" i="1"/>
  <c r="H48" i="1"/>
  <c r="G53" i="1"/>
  <c r="G60" i="1" s="1"/>
  <c r="G134" i="1"/>
  <c r="K83" i="1"/>
  <c r="K84" i="1" s="1"/>
  <c r="N34" i="1"/>
  <c r="M34" i="1"/>
  <c r="L34" i="1"/>
  <c r="K34" i="1"/>
  <c r="N37" i="1"/>
  <c r="M37" i="1"/>
  <c r="L37" i="1"/>
  <c r="K37" i="1"/>
  <c r="AL9" i="1"/>
  <c r="AK9" i="1"/>
  <c r="AJ9" i="1"/>
  <c r="AJ94" i="1" s="1"/>
  <c r="AI9" i="1"/>
  <c r="AI94" i="1" s="1"/>
  <c r="AH9" i="1"/>
  <c r="AH94" i="1" s="1"/>
  <c r="AG9" i="1"/>
  <c r="AG94" i="1" s="1"/>
  <c r="AF9" i="1"/>
  <c r="AF94" i="1" s="1"/>
  <c r="AE9" i="1"/>
  <c r="AE94" i="1" s="1"/>
  <c r="AD9" i="1"/>
  <c r="AD94" i="1" s="1"/>
  <c r="AC9" i="1"/>
  <c r="AC94" i="1" s="1"/>
  <c r="AB9" i="1"/>
  <c r="AB94" i="1" s="1"/>
  <c r="AA9" i="1"/>
  <c r="AA94" i="1" s="1"/>
  <c r="Z9" i="1"/>
  <c r="Z94" i="1" s="1"/>
  <c r="AO10" i="1" l="1"/>
  <c r="AK94" i="1"/>
  <c r="AP10" i="1"/>
  <c r="AL94" i="1"/>
  <c r="H81" i="1"/>
  <c r="AN10" i="1"/>
  <c r="H53" i="1"/>
  <c r="H60" i="1" s="1"/>
  <c r="I105" i="2"/>
  <c r="H105" i="2"/>
  <c r="G105" i="2"/>
  <c r="H10" i="1"/>
  <c r="AD10" i="1"/>
  <c r="AD14" i="1"/>
  <c r="AD11" i="1"/>
  <c r="AL10" i="1"/>
  <c r="AL14" i="1"/>
  <c r="AL11" i="1"/>
  <c r="AM11" i="1"/>
  <c r="AE10" i="1"/>
  <c r="AE14" i="1"/>
  <c r="AE11" i="1"/>
  <c r="AG11" i="1"/>
  <c r="AG14" i="1"/>
  <c r="AG10" i="1"/>
  <c r="Z11" i="1"/>
  <c r="Z10" i="1"/>
  <c r="Z14" i="1"/>
  <c r="AH11" i="1"/>
  <c r="AH10" i="1"/>
  <c r="AH14" i="1"/>
  <c r="AF11" i="1"/>
  <c r="AF10" i="1"/>
  <c r="AF14" i="1"/>
  <c r="AI11" i="1"/>
  <c r="AI10" i="1"/>
  <c r="AI14" i="1"/>
  <c r="AM10" i="1"/>
  <c r="AB11" i="1"/>
  <c r="AB10" i="1"/>
  <c r="AB14" i="1"/>
  <c r="AJ11" i="1"/>
  <c r="AJ10" i="1"/>
  <c r="AJ14" i="1"/>
  <c r="AA11" i="1"/>
  <c r="AA10" i="1"/>
  <c r="AA14" i="1"/>
  <c r="AC10" i="1"/>
  <c r="AC14" i="1"/>
  <c r="AC11" i="1"/>
  <c r="AK10" i="1"/>
  <c r="AK14" i="1"/>
  <c r="AK11" i="1"/>
  <c r="H76" i="1"/>
  <c r="G10" i="1"/>
  <c r="S7" i="2"/>
  <c r="G83" i="1"/>
  <c r="H74" i="1"/>
  <c r="N9" i="1"/>
  <c r="H25" i="2" s="1"/>
  <c r="L9" i="1"/>
  <c r="M9" i="1"/>
  <c r="K9" i="1"/>
  <c r="K94" i="1" l="1"/>
  <c r="E25" i="2"/>
  <c r="M94" i="1"/>
  <c r="G25" i="2"/>
  <c r="L94" i="1"/>
  <c r="F25" i="2"/>
  <c r="O10" i="1"/>
  <c r="N94" i="1"/>
  <c r="E34" i="2"/>
  <c r="K128" i="1"/>
  <c r="H83" i="1"/>
  <c r="H84" i="1" s="1"/>
  <c r="K10" i="1"/>
  <c r="N14" i="1"/>
  <c r="N20" i="1" s="1"/>
  <c r="H27" i="2" s="1"/>
  <c r="F34" i="2"/>
  <c r="L14" i="1"/>
  <c r="L20" i="1" s="1"/>
  <c r="F27" i="2" s="1"/>
  <c r="M14" i="1"/>
  <c r="M15" i="1" s="1"/>
  <c r="G106" i="2"/>
  <c r="H106" i="2"/>
  <c r="I106" i="2"/>
  <c r="K37" i="2"/>
  <c r="I37" i="2"/>
  <c r="J37" i="2"/>
  <c r="H34" i="2"/>
  <c r="G34" i="2"/>
  <c r="K14" i="1"/>
  <c r="AK15" i="1"/>
  <c r="AK20" i="1"/>
  <c r="AJ15" i="1"/>
  <c r="AJ20" i="1"/>
  <c r="Z15" i="1"/>
  <c r="Z20" i="1"/>
  <c r="AF15" i="1"/>
  <c r="AF20" i="1"/>
  <c r="AC15" i="1"/>
  <c r="AC20" i="1"/>
  <c r="AB15" i="1"/>
  <c r="AB20" i="1"/>
  <c r="AL15" i="1"/>
  <c r="AL20" i="1"/>
  <c r="AG15" i="1"/>
  <c r="AG20" i="1"/>
  <c r="AA15" i="1"/>
  <c r="AA20" i="1"/>
  <c r="AH15" i="1"/>
  <c r="AH20" i="1"/>
  <c r="AD15" i="1"/>
  <c r="AD20" i="1"/>
  <c r="AI15" i="1"/>
  <c r="AI20" i="1"/>
  <c r="AE15" i="1"/>
  <c r="AE20" i="1"/>
  <c r="M10" i="1"/>
  <c r="L10" i="1"/>
  <c r="N10" i="1"/>
  <c r="S10" i="2"/>
  <c r="S14" i="2" s="1"/>
  <c r="G84" i="1"/>
  <c r="I38" i="2" l="1"/>
  <c r="J38" i="2"/>
  <c r="K38" i="2"/>
  <c r="F26" i="2"/>
  <c r="N15" i="1"/>
  <c r="L15" i="1"/>
  <c r="G26" i="2"/>
  <c r="M20" i="1"/>
  <c r="G27" i="2" s="1"/>
  <c r="H26" i="2"/>
  <c r="I26" i="2"/>
  <c r="K36" i="2"/>
  <c r="I36" i="2"/>
  <c r="J36" i="2"/>
  <c r="K15" i="1"/>
  <c r="K20" i="1"/>
  <c r="E27" i="2" s="1"/>
  <c r="L21" i="1"/>
  <c r="L23" i="1"/>
  <c r="L24" i="1" s="1"/>
  <c r="L30" i="1"/>
  <c r="L31" i="1" s="1"/>
  <c r="L36" i="1" s="1"/>
  <c r="N21" i="1"/>
  <c r="N23" i="1"/>
  <c r="N30" i="1"/>
  <c r="N31" i="1" s="1"/>
  <c r="N36" i="1" s="1"/>
  <c r="H14" i="1"/>
  <c r="G14" i="1"/>
  <c r="AD30" i="1"/>
  <c r="AD31" i="1" s="1"/>
  <c r="AL30" i="1"/>
  <c r="AL31" i="1" s="1"/>
  <c r="Z30" i="1"/>
  <c r="Z31" i="1" s="1"/>
  <c r="AH30" i="1"/>
  <c r="AH31" i="1" s="1"/>
  <c r="AB30" i="1"/>
  <c r="AB31" i="1" s="1"/>
  <c r="AJ30" i="1"/>
  <c r="AJ31" i="1" s="1"/>
  <c r="AE30" i="1"/>
  <c r="AE31" i="1" s="1"/>
  <c r="AA30" i="1"/>
  <c r="AA31" i="1" s="1"/>
  <c r="AC30" i="1"/>
  <c r="AC31" i="1" s="1"/>
  <c r="AK30" i="1"/>
  <c r="AK31" i="1" s="1"/>
  <c r="AI30" i="1"/>
  <c r="AI31" i="1" s="1"/>
  <c r="AG30" i="1"/>
  <c r="AG31" i="1" s="1"/>
  <c r="AF30" i="1"/>
  <c r="AF31" i="1" s="1"/>
  <c r="AI21" i="1"/>
  <c r="AI23" i="1"/>
  <c r="AI109" i="1" s="1"/>
  <c r="AG23" i="1"/>
  <c r="AG109" i="1" s="1"/>
  <c r="AG21" i="1"/>
  <c r="AF21" i="1"/>
  <c r="AF23" i="1"/>
  <c r="AF109" i="1" s="1"/>
  <c r="AD21" i="1"/>
  <c r="AD23" i="1"/>
  <c r="AD109" i="1" s="1"/>
  <c r="AL21" i="1"/>
  <c r="AL23" i="1"/>
  <c r="AL109" i="1" s="1"/>
  <c r="Z23" i="1"/>
  <c r="Z109" i="1" s="1"/>
  <c r="Z21" i="1"/>
  <c r="AH23" i="1"/>
  <c r="AH109" i="1" s="1"/>
  <c r="AH21" i="1"/>
  <c r="AB21" i="1"/>
  <c r="AB23" i="1"/>
  <c r="AB109" i="1" s="1"/>
  <c r="AJ21" i="1"/>
  <c r="AJ23" i="1"/>
  <c r="AJ109" i="1" s="1"/>
  <c r="AE21" i="1"/>
  <c r="AE23" i="1"/>
  <c r="AE109" i="1" s="1"/>
  <c r="AA23" i="1"/>
  <c r="AA109" i="1" s="1"/>
  <c r="AA21" i="1"/>
  <c r="AC21" i="1"/>
  <c r="AC23" i="1"/>
  <c r="AC109" i="1" s="1"/>
  <c r="AK21" i="1"/>
  <c r="AK23" i="1"/>
  <c r="AK109" i="1" s="1"/>
  <c r="W43" i="1"/>
  <c r="V43" i="1"/>
  <c r="Y43" i="1"/>
  <c r="X43" i="1"/>
  <c r="Z108" i="1" l="1"/>
  <c r="Z110" i="1"/>
  <c r="AL108" i="1"/>
  <c r="O108" i="1" s="1"/>
  <c r="O109" i="1" s="1"/>
  <c r="AL110" i="1"/>
  <c r="AP110" i="1"/>
  <c r="AD108" i="1"/>
  <c r="AD110" i="1"/>
  <c r="AI108" i="1"/>
  <c r="AI110" i="1"/>
  <c r="AM110" i="1"/>
  <c r="AE108" i="1"/>
  <c r="AE110" i="1"/>
  <c r="AK110" i="1"/>
  <c r="AO110" i="1"/>
  <c r="AC110" i="1"/>
  <c r="AG110" i="1"/>
  <c r="AJ108" i="1"/>
  <c r="AJ110" i="1"/>
  <c r="AN110" i="1"/>
  <c r="AB108" i="1"/>
  <c r="AB110" i="1"/>
  <c r="AF108" i="1"/>
  <c r="AF110" i="1"/>
  <c r="AA108" i="1"/>
  <c r="AA110" i="1"/>
  <c r="AH108" i="1"/>
  <c r="AH110" i="1"/>
  <c r="G15" i="1"/>
  <c r="H15" i="1"/>
  <c r="N24" i="1"/>
  <c r="N120" i="1"/>
  <c r="N128" i="1" s="1"/>
  <c r="S13" i="2"/>
  <c r="X25" i="2" s="1"/>
  <c r="S12" i="2"/>
  <c r="AG120" i="1"/>
  <c r="AG128" i="1" s="1"/>
  <c r="AK120" i="1"/>
  <c r="AK128" i="1" s="1"/>
  <c r="AL120" i="1"/>
  <c r="Z120" i="1"/>
  <c r="Z128" i="1" s="1"/>
  <c r="AJ120" i="1"/>
  <c r="AJ128" i="1" s="1"/>
  <c r="AI120" i="1"/>
  <c r="AI128" i="1" s="1"/>
  <c r="AD120" i="1"/>
  <c r="AD128" i="1" s="1"/>
  <c r="AB120" i="1"/>
  <c r="AB128" i="1" s="1"/>
  <c r="AF120" i="1"/>
  <c r="AF128" i="1" s="1"/>
  <c r="AA120" i="1"/>
  <c r="AA128" i="1" s="1"/>
  <c r="AH120" i="1"/>
  <c r="AH128" i="1" s="1"/>
  <c r="AC120" i="1"/>
  <c r="AC128" i="1" s="1"/>
  <c r="AE120" i="1"/>
  <c r="AE128" i="1" s="1"/>
  <c r="AG32" i="1"/>
  <c r="AG36" i="1"/>
  <c r="AG38" i="1" s="1"/>
  <c r="AB32" i="1"/>
  <c r="AB36" i="1"/>
  <c r="AB38" i="1" s="1"/>
  <c r="AD32" i="1"/>
  <c r="AD36" i="1"/>
  <c r="AD38" i="1" s="1"/>
  <c r="AJ32" i="1"/>
  <c r="AJ36" i="1"/>
  <c r="AJ38" i="1" s="1"/>
  <c r="AI32" i="1"/>
  <c r="AI36" i="1"/>
  <c r="AI38" i="1" s="1"/>
  <c r="AH32" i="1"/>
  <c r="AH36" i="1"/>
  <c r="AH38" i="1" s="1"/>
  <c r="AA32" i="1"/>
  <c r="AA36" i="1"/>
  <c r="AA38" i="1" s="1"/>
  <c r="AF32" i="1"/>
  <c r="AF36" i="1"/>
  <c r="AF38" i="1" s="1"/>
  <c r="AK32" i="1"/>
  <c r="AK36" i="1"/>
  <c r="AK38" i="1" s="1"/>
  <c r="Z32" i="1"/>
  <c r="Z36" i="1"/>
  <c r="Z38" i="1" s="1"/>
  <c r="AE32" i="1"/>
  <c r="AE36" i="1"/>
  <c r="AE38" i="1" s="1"/>
  <c r="AC32" i="1"/>
  <c r="AC36" i="1"/>
  <c r="AC38" i="1" s="1"/>
  <c r="AL32" i="1"/>
  <c r="AL36" i="1"/>
  <c r="AL38" i="1" s="1"/>
  <c r="M30" i="1"/>
  <c r="M31" i="1" s="1"/>
  <c r="M21" i="1"/>
  <c r="M23" i="1"/>
  <c r="L32" i="1"/>
  <c r="N32" i="1"/>
  <c r="AE24" i="1"/>
  <c r="Z24" i="1"/>
  <c r="AG24" i="1"/>
  <c r="AK24" i="1"/>
  <c r="AJ24" i="1"/>
  <c r="AL24" i="1"/>
  <c r="AI24" i="1"/>
  <c r="AC24" i="1"/>
  <c r="AB24" i="1"/>
  <c r="AD24" i="1"/>
  <c r="AF24" i="1"/>
  <c r="AA24" i="1"/>
  <c r="AH24" i="1"/>
  <c r="K21" i="1"/>
  <c r="K23" i="1"/>
  <c r="K24" i="1" s="1"/>
  <c r="K30" i="1"/>
  <c r="K31" i="1" s="1"/>
  <c r="K36" i="1" s="1"/>
  <c r="K38" i="1" s="1"/>
  <c r="H20" i="1"/>
  <c r="H23" i="1" s="1"/>
  <c r="H24" i="1" s="1"/>
  <c r="G20" i="1"/>
  <c r="G23" i="1" s="1"/>
  <c r="G24" i="1" s="1"/>
  <c r="L38" i="1"/>
  <c r="M24" i="1" l="1"/>
  <c r="M120" i="1"/>
  <c r="M128" i="1" s="1"/>
  <c r="H120" i="1"/>
  <c r="AL128" i="1"/>
  <c r="H128" i="1" s="1"/>
  <c r="W25" i="2"/>
  <c r="AJ40" i="1"/>
  <c r="AJ43" i="1" s="1"/>
  <c r="AA40" i="1"/>
  <c r="AD40" i="1"/>
  <c r="AE40" i="1"/>
  <c r="AE43" i="1" s="1"/>
  <c r="AF40" i="1"/>
  <c r="AF43" i="1" s="1"/>
  <c r="AB40" i="1"/>
  <c r="Z40" i="1"/>
  <c r="Z43" i="1" s="1"/>
  <c r="AC40" i="1"/>
  <c r="AI40" i="1"/>
  <c r="AI43" i="1" s="1"/>
  <c r="AH40" i="1"/>
  <c r="AH43" i="1" s="1"/>
  <c r="AL40" i="1"/>
  <c r="AK40" i="1"/>
  <c r="AG40" i="1"/>
  <c r="AG43" i="1" s="1"/>
  <c r="L40" i="1"/>
  <c r="K40" i="1"/>
  <c r="M32" i="1"/>
  <c r="M36" i="1"/>
  <c r="M38" i="1" s="1"/>
  <c r="K32" i="1"/>
  <c r="H29" i="2"/>
  <c r="H38" i="2" s="1"/>
  <c r="F29" i="2"/>
  <c r="L120" i="1"/>
  <c r="L128" i="1" s="1"/>
  <c r="G30" i="1"/>
  <c r="G31" i="1" s="1"/>
  <c r="G21" i="1"/>
  <c r="H30" i="1"/>
  <c r="H31" i="1" s="1"/>
  <c r="H21" i="1"/>
  <c r="N38" i="1"/>
  <c r="AA43" i="1" l="1"/>
  <c r="K43" i="1"/>
  <c r="AK43" i="1"/>
  <c r="AC43" i="1"/>
  <c r="L43" i="1"/>
  <c r="AB43" i="1"/>
  <c r="N40" i="1"/>
  <c r="N43" i="1" s="1"/>
  <c r="AD43" i="1"/>
  <c r="M40" i="1"/>
  <c r="AL43" i="1"/>
  <c r="H43" i="1" s="1"/>
  <c r="H32" i="1"/>
  <c r="H36" i="1"/>
  <c r="H38" i="1" s="1"/>
  <c r="G32" i="1"/>
  <c r="G36" i="1"/>
  <c r="G38" i="1" s="1"/>
  <c r="G29" i="2"/>
  <c r="G38" i="2" s="1"/>
  <c r="F30" i="2"/>
  <c r="H35" i="2"/>
  <c r="H37" i="2" s="1"/>
  <c r="H36" i="2"/>
  <c r="I31" i="2"/>
  <c r="G35" i="2"/>
  <c r="G37" i="2" s="1"/>
  <c r="G36" i="2"/>
  <c r="F35" i="2"/>
  <c r="F37" i="2" s="1"/>
  <c r="F36" i="2"/>
  <c r="E29" i="2"/>
  <c r="G129" i="1"/>
  <c r="G144" i="1" s="1"/>
  <c r="H129" i="1"/>
  <c r="H144" i="1" s="1"/>
  <c r="K3" i="1"/>
  <c r="L3" i="1" s="1"/>
  <c r="M3" i="1" s="1"/>
  <c r="N3" i="1" s="1"/>
  <c r="O3" i="1" l="1"/>
  <c r="P3" i="1" s="1"/>
  <c r="E30" i="2"/>
  <c r="G31" i="2"/>
  <c r="M43" i="1"/>
  <c r="G40" i="1"/>
  <c r="H40" i="1"/>
  <c r="G30" i="2"/>
  <c r="H31" i="2"/>
  <c r="E35" i="2"/>
  <c r="E37" i="2" s="1"/>
  <c r="E36" i="2"/>
  <c r="F31" i="2"/>
  <c r="I30" i="2"/>
  <c r="J30" i="2"/>
  <c r="K30" i="2"/>
  <c r="J31" i="2"/>
  <c r="K31" i="2"/>
  <c r="H30" i="2"/>
  <c r="S11" i="2" l="1"/>
  <c r="W30" i="2" l="1"/>
  <c r="H107" i="2"/>
  <c r="H109" i="2" s="1"/>
  <c r="H110" i="2" s="1"/>
  <c r="K104" i="2"/>
  <c r="E112" i="2" l="1"/>
  <c r="M37" i="2" s="1"/>
  <c r="J104" i="2"/>
  <c r="G107" i="2"/>
  <c r="G109" i="2" s="1"/>
  <c r="G110" i="2" s="1"/>
  <c r="G112" i="2" l="1"/>
  <c r="X30" i="2" l="1"/>
  <c r="O37" i="2"/>
  <c r="L104" i="2" l="1"/>
  <c r="L247" i="5"/>
  <c r="I107" i="2" l="1"/>
  <c r="I109" i="2" s="1"/>
  <c r="I110" i="2" l="1"/>
  <c r="F112" i="2" s="1"/>
  <c r="J102" i="1"/>
  <c r="K102" i="1"/>
  <c r="L102" i="1"/>
  <c r="L103" i="1" s="1"/>
  <c r="M102" i="1"/>
  <c r="M103" i="1" s="1"/>
  <c r="M104" i="1" s="1"/>
  <c r="N102" i="1"/>
  <c r="N103" i="1" s="1"/>
  <c r="J103" i="1"/>
  <c r="K103" i="1"/>
  <c r="K104" i="1" s="1"/>
  <c r="U103" i="1"/>
  <c r="U107" i="1" s="1"/>
  <c r="Y103" i="1"/>
  <c r="AC103" i="1"/>
  <c r="AG103" i="1"/>
  <c r="AK103" i="1"/>
  <c r="N37" i="2" l="1"/>
  <c r="P37" i="2" s="1"/>
  <c r="P38" i="2" s="1"/>
  <c r="H112" i="2"/>
  <c r="H113" i="2" s="1"/>
  <c r="N104" i="1"/>
  <c r="O104" i="1"/>
  <c r="AK107" i="1"/>
  <c r="AK104" i="1"/>
  <c r="AO104" i="1"/>
  <c r="AG104" i="1"/>
  <c r="AG107" i="1"/>
  <c r="L104" i="1"/>
  <c r="AC107" i="1"/>
  <c r="AC104" i="1"/>
  <c r="Y104" i="1"/>
  <c r="Y107" i="1"/>
  <c r="J107" i="1"/>
  <c r="U108" i="1"/>
  <c r="J108" i="1" s="1"/>
  <c r="J109" i="1" s="1"/>
  <c r="M107" i="1" l="1"/>
  <c r="AG108" i="1"/>
  <c r="M108" i="1" s="1"/>
  <c r="K107" i="1"/>
  <c r="Y108" i="1"/>
  <c r="K108" i="1" s="1"/>
  <c r="K109" i="1" s="1"/>
  <c r="K110" i="1" s="1"/>
  <c r="N107" i="1"/>
  <c r="AK108" i="1"/>
  <c r="N108" i="1" s="1"/>
  <c r="L107" i="1"/>
  <c r="AC108" i="1"/>
  <c r="L108" i="1" s="1"/>
  <c r="L109" i="1" s="1"/>
  <c r="L110" i="1" s="1"/>
  <c r="N109" i="1" l="1"/>
  <c r="M109" i="1"/>
  <c r="M110" i="1" s="1"/>
  <c r="N110" i="1" l="1"/>
  <c r="O110" i="1"/>
  <c r="J27" i="2"/>
  <c r="K16" i="9"/>
  <c r="K16" i="10" s="1"/>
  <c r="L16" i="9"/>
  <c r="L16" i="10" s="1"/>
  <c r="M16" i="9"/>
  <c r="M16" i="10" s="1"/>
  <c r="N16" i="9"/>
  <c r="K18" i="9"/>
  <c r="K21" i="9" l="1"/>
  <c r="K21" i="10" s="1"/>
  <c r="K18" i="10"/>
  <c r="O16" i="9"/>
  <c r="O16" i="10" s="1"/>
  <c r="N16" i="10"/>
  <c r="N18" i="9"/>
  <c r="M18" i="9"/>
  <c r="L18" i="9"/>
  <c r="K22" i="9"/>
  <c r="K22" i="10" s="1"/>
  <c r="K25" i="9"/>
  <c r="K26" i="10" s="1"/>
  <c r="P16" i="9"/>
  <c r="P16" i="10" s="1"/>
  <c r="O18" i="9"/>
  <c r="O18" i="10" s="1"/>
  <c r="M21" i="9" l="1"/>
  <c r="M18" i="10"/>
  <c r="N19" i="9"/>
  <c r="N18" i="10"/>
  <c r="L21" i="9"/>
  <c r="L18" i="10"/>
  <c r="O19" i="9"/>
  <c r="O19" i="10" s="1"/>
  <c r="O21" i="9"/>
  <c r="O21" i="10" s="1"/>
  <c r="P18" i="9"/>
  <c r="P18" i="10" s="1"/>
  <c r="Q16" i="9"/>
  <c r="Q16" i="10" s="1"/>
  <c r="L21" i="10" l="1"/>
  <c r="L25" i="9"/>
  <c r="L26" i="10" s="1"/>
  <c r="L22" i="9"/>
  <c r="L22" i="10" s="1"/>
  <c r="N19" i="10"/>
  <c r="N21" i="9"/>
  <c r="M21" i="10"/>
  <c r="M22" i="9"/>
  <c r="M22" i="10" s="1"/>
  <c r="M25" i="9"/>
  <c r="M26" i="10" s="1"/>
  <c r="Q18" i="9"/>
  <c r="Q18" i="10" s="1"/>
  <c r="R16" i="9"/>
  <c r="P19" i="9"/>
  <c r="P19" i="10" s="1"/>
  <c r="P21" i="9"/>
  <c r="P21" i="10" s="1"/>
  <c r="O22" i="9"/>
  <c r="O22" i="10" s="1"/>
  <c r="O25" i="9"/>
  <c r="O26" i="10" s="1"/>
  <c r="N21" i="10" l="1"/>
  <c r="N22" i="9"/>
  <c r="N22" i="10" s="1"/>
  <c r="N25" i="9"/>
  <c r="N26" i="10" s="1"/>
  <c r="R18" i="9"/>
  <c r="R18" i="10" s="1"/>
  <c r="R16" i="10"/>
  <c r="P22" i="9"/>
  <c r="P22" i="10" s="1"/>
  <c r="P25" i="9"/>
  <c r="P26" i="10" s="1"/>
  <c r="R19" i="9"/>
  <c r="R19" i="10" s="1"/>
  <c r="Q19" i="9"/>
  <c r="Q19" i="10" s="1"/>
  <c r="Q21" i="9"/>
  <c r="Q21" i="10" s="1"/>
  <c r="R21" i="9" l="1"/>
  <c r="Q22" i="9"/>
  <c r="Q22" i="10" s="1"/>
  <c r="Q25" i="9"/>
  <c r="Q26" i="10" s="1"/>
  <c r="R22" i="9"/>
  <c r="R22" i="10" s="1"/>
  <c r="R21" i="10" l="1"/>
  <c r="R25" i="9"/>
  <c r="R26" i="10" l="1"/>
  <c r="E27" i="9"/>
  <c r="E28" i="10" l="1"/>
  <c r="G138" i="2"/>
  <c r="G147" i="5" s="1"/>
  <c r="E28" i="9"/>
  <c r="E29" i="9"/>
  <c r="E30" i="10" l="1"/>
  <c r="G140" i="2"/>
  <c r="G149" i="5" s="1"/>
  <c r="E29" i="10"/>
  <c r="G139" i="2"/>
  <c r="G148" i="5" s="1"/>
</calcChain>
</file>

<file path=xl/sharedStrings.xml><?xml version="1.0" encoding="utf-8"?>
<sst xmlns="http://schemas.openxmlformats.org/spreadsheetml/2006/main" count="438" uniqueCount="318">
  <si>
    <t>x</t>
  </si>
  <si>
    <t>Income Statement</t>
  </si>
  <si>
    <t>LQA</t>
  </si>
  <si>
    <t>LTM</t>
  </si>
  <si>
    <t>Act.</t>
  </si>
  <si>
    <t>Est.</t>
  </si>
  <si>
    <t>1Q18</t>
  </si>
  <si>
    <t>2Q18</t>
  </si>
  <si>
    <t>3Q18</t>
  </si>
  <si>
    <t>4Q18</t>
  </si>
  <si>
    <t>1Q19</t>
  </si>
  <si>
    <t>2Q19</t>
  </si>
  <si>
    <t>3Q19</t>
  </si>
  <si>
    <t>4Q19</t>
  </si>
  <si>
    <t>1Q20</t>
  </si>
  <si>
    <t>2Q20</t>
  </si>
  <si>
    <t>3Q20</t>
  </si>
  <si>
    <t>4Q20</t>
  </si>
  <si>
    <t>1Q21</t>
  </si>
  <si>
    <t>2Q22</t>
  </si>
  <si>
    <t>2Q21</t>
  </si>
  <si>
    <t>3Q21</t>
  </si>
  <si>
    <t>4Q21</t>
  </si>
  <si>
    <t>1Q22</t>
  </si>
  <si>
    <t>3Q22</t>
  </si>
  <si>
    <t>4Q22</t>
  </si>
  <si>
    <t>1Q23</t>
  </si>
  <si>
    <t>2Q23</t>
  </si>
  <si>
    <t>3Q23</t>
  </si>
  <si>
    <t>4Q23</t>
  </si>
  <si>
    <t>PBT</t>
  </si>
  <si>
    <t>Net Income</t>
  </si>
  <si>
    <t>(-) Taxes</t>
  </si>
  <si>
    <t>(-) NCI</t>
  </si>
  <si>
    <t>Net Income to Shareholders</t>
  </si>
  <si>
    <t>US$mm unless otherwise specified</t>
  </si>
  <si>
    <t>Diluted Shares Outstanding</t>
  </si>
  <si>
    <t>Fully Diluted EPS</t>
  </si>
  <si>
    <t>Balance Sheet</t>
  </si>
  <si>
    <t>Total Assets</t>
  </si>
  <si>
    <t>Total Liabilities</t>
  </si>
  <si>
    <t>Net Debt</t>
  </si>
  <si>
    <t>Common Equity</t>
  </si>
  <si>
    <t>NCI</t>
  </si>
  <si>
    <t>Total Equity</t>
  </si>
  <si>
    <t>B/S Check</t>
  </si>
  <si>
    <t>Total L+E</t>
  </si>
  <si>
    <t>CFS</t>
  </si>
  <si>
    <t>EBITDA</t>
  </si>
  <si>
    <t>SBC</t>
  </si>
  <si>
    <t>CFO</t>
  </si>
  <si>
    <t>(-) Interest</t>
  </si>
  <si>
    <t>Acquisitions</t>
  </si>
  <si>
    <t>Other</t>
  </si>
  <si>
    <t>CFI</t>
  </si>
  <si>
    <t>CFF</t>
  </si>
  <si>
    <t>Total Change in Cash</t>
  </si>
  <si>
    <t>(x) Sh Px</t>
  </si>
  <si>
    <t>Market Cap</t>
  </si>
  <si>
    <t>Diluted Sh. Out</t>
  </si>
  <si>
    <t>Notes/Assumptions</t>
  </si>
  <si>
    <t>Valuation &amp; Financials</t>
  </si>
  <si>
    <t>30 Day ADV (US$mm)</t>
  </si>
  <si>
    <t>Short Interest (%)</t>
  </si>
  <si>
    <t>Days to Cover</t>
  </si>
  <si>
    <t>52wk Low / High</t>
  </si>
  <si>
    <t>Dividend Yield</t>
  </si>
  <si>
    <t>Top Shareholders</t>
  </si>
  <si>
    <t xml:space="preserve">Simplified Financials </t>
  </si>
  <si>
    <t>2019A</t>
  </si>
  <si>
    <t>2020A</t>
  </si>
  <si>
    <t>2021A</t>
  </si>
  <si>
    <t>2022A</t>
  </si>
  <si>
    <t>PX Performance</t>
  </si>
  <si>
    <t>YTD</t>
  </si>
  <si>
    <t>1Mth</t>
  </si>
  <si>
    <t>3Mth</t>
  </si>
  <si>
    <t>1Yr</t>
  </si>
  <si>
    <t>Last Px</t>
  </si>
  <si>
    <t>Div Yield</t>
  </si>
  <si>
    <t>Total Ret</t>
  </si>
  <si>
    <t>Vanguard</t>
  </si>
  <si>
    <t>Average</t>
  </si>
  <si>
    <t>Investment Thesis</t>
  </si>
  <si>
    <t>Investment Thesis:</t>
  </si>
  <si>
    <t>1)</t>
  </si>
  <si>
    <t>2024E</t>
  </si>
  <si>
    <t>TEV</t>
  </si>
  <si>
    <t>EV/EBITDA</t>
  </si>
  <si>
    <t>a)</t>
  </si>
  <si>
    <t>b)</t>
  </si>
  <si>
    <t>2)</t>
  </si>
  <si>
    <t>c)</t>
  </si>
  <si>
    <t>Cons.</t>
  </si>
  <si>
    <t>Base</t>
  </si>
  <si>
    <t>D/S</t>
  </si>
  <si>
    <t>U/S</t>
  </si>
  <si>
    <t>Implied Market Cap</t>
  </si>
  <si>
    <t>Impl. Share Px</t>
  </si>
  <si>
    <t>(/) Shares Out</t>
  </si>
  <si>
    <t>% Upside</t>
  </si>
  <si>
    <t>Up</t>
  </si>
  <si>
    <t>Down</t>
  </si>
  <si>
    <t>Exp Val</t>
  </si>
  <si>
    <t>R/R</t>
  </si>
  <si>
    <t>Returns/Debt</t>
  </si>
  <si>
    <t>ND/EBITDA</t>
  </si>
  <si>
    <t>Company Description:</t>
  </si>
  <si>
    <t>Valuation</t>
  </si>
  <si>
    <t>Risk/Reward</t>
  </si>
  <si>
    <t>Segment</t>
  </si>
  <si>
    <t>Cash and cash equivalents</t>
  </si>
  <si>
    <t>Current Assets</t>
  </si>
  <si>
    <t>Goodwill</t>
  </si>
  <si>
    <t>Other assets</t>
  </si>
  <si>
    <t>Current Liablities</t>
  </si>
  <si>
    <t>Revenues</t>
  </si>
  <si>
    <t>Y/Y Growth %</t>
  </si>
  <si>
    <t>Sequential Growth %</t>
  </si>
  <si>
    <t>Gross Margin %</t>
  </si>
  <si>
    <t>SG&amp;A</t>
  </si>
  <si>
    <t>(+) D&amp;A</t>
  </si>
  <si>
    <t>As Reported EBITDA</t>
  </si>
  <si>
    <t>% Margin</t>
  </si>
  <si>
    <t>Interest expense, net</t>
  </si>
  <si>
    <t>CAPEX</t>
  </si>
  <si>
    <t>Plug</t>
  </si>
  <si>
    <t>% Growth</t>
  </si>
  <si>
    <t>D&amp;A</t>
  </si>
  <si>
    <t>(+) Net Debt</t>
  </si>
  <si>
    <t>EV/'22 EBITDA</t>
  </si>
  <si>
    <t>EV/'23 EBITDA</t>
  </si>
  <si>
    <t>Top Insiders</t>
  </si>
  <si>
    <t>2025E</t>
  </si>
  <si>
    <t>FCFF</t>
  </si>
  <si>
    <t>FCFE</t>
  </si>
  <si>
    <t>FCFF Yield</t>
  </si>
  <si>
    <t>FCFE Yield</t>
  </si>
  <si>
    <t>'23x</t>
  </si>
  <si>
    <t>'24x</t>
  </si>
  <si>
    <t>(+) Pension/NCI</t>
  </si>
  <si>
    <t>Used Multiple</t>
  </si>
  <si>
    <t>Used EBITDA</t>
  </si>
  <si>
    <t>(-) Net Debt</t>
  </si>
  <si>
    <t>(-) Pension/NCI</t>
  </si>
  <si>
    <t>3)</t>
  </si>
  <si>
    <t>Total Revenues</t>
  </si>
  <si>
    <t>As Reported Core EBIT</t>
  </si>
  <si>
    <t>Core EBIT</t>
  </si>
  <si>
    <t>Core EBITDA</t>
  </si>
  <si>
    <t>Total EBIT</t>
  </si>
  <si>
    <t>Other Income/Expenses Net</t>
  </si>
  <si>
    <t>Other EBIT Components</t>
  </si>
  <si>
    <t>Prepaid Expenses</t>
  </si>
  <si>
    <t>PP&amp;E</t>
  </si>
  <si>
    <t>Deferred Income Taxes</t>
  </si>
  <si>
    <t>Income Taxes Payable</t>
  </si>
  <si>
    <t>Current Op Lease Liabilities</t>
  </si>
  <si>
    <t>Total Debt</t>
  </si>
  <si>
    <t>NWC</t>
  </si>
  <si>
    <t>Cash Check</t>
  </si>
  <si>
    <t>(-) Cash Interest</t>
  </si>
  <si>
    <t>(-) Cash Tax</t>
  </si>
  <si>
    <t>(+) Interest</t>
  </si>
  <si>
    <t>(-) Required CAPEX</t>
  </si>
  <si>
    <t>Total EBITDA</t>
  </si>
  <si>
    <t>Total</t>
  </si>
  <si>
    <t>Check</t>
  </si>
  <si>
    <t>EV/'24 EBITDA</t>
  </si>
  <si>
    <t>BlackRock</t>
  </si>
  <si>
    <t>Simplified SOTP Valuation:</t>
  </si>
  <si>
    <t>% of Total</t>
  </si>
  <si>
    <t>PV Factor</t>
  </si>
  <si>
    <t>Tax %</t>
  </si>
  <si>
    <t>4)</t>
  </si>
  <si>
    <t xml:space="preserve">c) </t>
  </si>
  <si>
    <t>KEX US EQUITY</t>
  </si>
  <si>
    <t>1Q24</t>
  </si>
  <si>
    <t>2Q24</t>
  </si>
  <si>
    <t>3Q24</t>
  </si>
  <si>
    <t>4Q24</t>
  </si>
  <si>
    <t>1Q25</t>
  </si>
  <si>
    <t>2Q25</t>
  </si>
  <si>
    <t>3Q25</t>
  </si>
  <si>
    <t>4Q25</t>
  </si>
  <si>
    <t>Kirby Corp</t>
  </si>
  <si>
    <t>Marine Transport</t>
  </si>
  <si>
    <t>Distribution &amp; Services</t>
  </si>
  <si>
    <t>Cash COGS &amp; OpEX</t>
  </si>
  <si>
    <t>Cash Gross Profit</t>
  </si>
  <si>
    <t>Taxes other than Income</t>
  </si>
  <si>
    <t>Impairments &amp; other charges</t>
  </si>
  <si>
    <t>Gains on disposals</t>
  </si>
  <si>
    <t>Trade Receivables</t>
  </si>
  <si>
    <t>Other Receivables</t>
  </si>
  <si>
    <t>Inventory</t>
  </si>
  <si>
    <t>Other Intangibles</t>
  </si>
  <si>
    <t>Operating Leases ROU</t>
  </si>
  <si>
    <t>Current portion of debt</t>
  </si>
  <si>
    <t>Accounts Payable</t>
  </si>
  <si>
    <t>Accrued Liabilities</t>
  </si>
  <si>
    <t>Deferred Revenues</t>
  </si>
  <si>
    <t>Operating Lease Liabilities</t>
  </si>
  <si>
    <t>Other LT Liabilities</t>
  </si>
  <si>
    <t>Amortization of maint. Costs</t>
  </si>
  <si>
    <t>(+) Other Income</t>
  </si>
  <si>
    <t>Working Capital Ex-Tax</t>
  </si>
  <si>
    <t>Disposals</t>
  </si>
  <si>
    <t>Equity issuance/repurchase</t>
  </si>
  <si>
    <t>Change in debt</t>
  </si>
  <si>
    <t>Debt issuance cost</t>
  </si>
  <si>
    <t>)</t>
  </si>
  <si>
    <t>SBC Tax Withholding</t>
  </si>
  <si>
    <t>Proceeds from exercise of SBC</t>
  </si>
  <si>
    <t>D&amp;S</t>
  </si>
  <si>
    <t>Segments</t>
  </si>
  <si>
    <t>Marine EBIT</t>
  </si>
  <si>
    <t>Marine EBITDA</t>
  </si>
  <si>
    <t>Marine Reported EBITDA</t>
  </si>
  <si>
    <t>D&amp;S EBIT</t>
  </si>
  <si>
    <t>D&amp;S D&amp;A</t>
  </si>
  <si>
    <t>Marine D&amp;A</t>
  </si>
  <si>
    <t>D&amp;S Reported EBITDA</t>
  </si>
  <si>
    <t>D&amp;S EBITDA</t>
  </si>
  <si>
    <t>Implied Overhead</t>
  </si>
  <si>
    <t>Y/Y %</t>
  </si>
  <si>
    <t>2023A</t>
  </si>
  <si>
    <t>Morgan Stanley</t>
  </si>
  <si>
    <t>Eaton Vance</t>
  </si>
  <si>
    <t>Neuberger Berman</t>
  </si>
  <si>
    <t>Joseph Pyne</t>
  </si>
  <si>
    <t>William Waterman</t>
  </si>
  <si>
    <t>Kirby Corp: Investment Memo</t>
  </si>
  <si>
    <t>'23 Rev</t>
  </si>
  <si>
    <t>'24 Rev</t>
  </si>
  <si>
    <t>Margin %</t>
  </si>
  <si>
    <t>Inland</t>
  </si>
  <si>
    <t>Coastal</t>
  </si>
  <si>
    <t>'24 EBIT</t>
  </si>
  <si>
    <t>TNK US EQUITY</t>
  </si>
  <si>
    <t>STNG US EQUITY</t>
  </si>
  <si>
    <t>MATX US EQUITY</t>
  </si>
  <si>
    <t>Base Case- Guide Impl</t>
  </si>
  <si>
    <t>Supply Tight</t>
  </si>
  <si>
    <t>Rationale On Multiple</t>
  </si>
  <si>
    <t>3.0x discount to inland on the basis of less barriers to entry &amp; lower margins</t>
  </si>
  <si>
    <t>~10% EBITDA margin, cyclically tied to oil/OFS complex, and less pricing power LT</t>
  </si>
  <si>
    <t>Ton Miles (mm)</t>
  </si>
  <si>
    <t>Revenue/ Ton Mile (cents/tm)</t>
  </si>
  <si>
    <t>Inland Revenues</t>
  </si>
  <si>
    <t>Coastal Revenues</t>
  </si>
  <si>
    <t>Ton Miles</t>
  </si>
  <si>
    <t>Pricing</t>
  </si>
  <si>
    <t>LT Normalized</t>
  </si>
  <si>
    <t>EBIT</t>
  </si>
  <si>
    <t>Inland Revenue</t>
  </si>
  <si>
    <t>(+) Coastal Revenue</t>
  </si>
  <si>
    <t>Total Revenue</t>
  </si>
  <si>
    <t>EBIT Margin %</t>
  </si>
  <si>
    <t>Step-up $mm</t>
  </si>
  <si>
    <t>(-) Tax</t>
  </si>
  <si>
    <t>(-) mCAPEX</t>
  </si>
  <si>
    <t>Tax on EBITDA</t>
  </si>
  <si>
    <t>Conversion %</t>
  </si>
  <si>
    <t>Disc Rate</t>
  </si>
  <si>
    <t>PV</t>
  </si>
  <si>
    <t>Impl Multiple</t>
  </si>
  <si>
    <t>Impl FCF Yield</t>
  </si>
  <si>
    <t>Terminal G</t>
  </si>
  <si>
    <t>Marine Transport DCF</t>
  </si>
  <si>
    <t>DCF Implied Coastal + Inland TEV</t>
  </si>
  <si>
    <t>Forward EBITDA Range of outcomes</t>
  </si>
  <si>
    <t>Partial Crack</t>
  </si>
  <si>
    <r>
      <t>Abstract:</t>
    </r>
    <r>
      <rPr>
        <sz val="11"/>
        <color theme="1"/>
        <rFont val="Calibri"/>
        <family val="2"/>
        <scheme val="minor"/>
      </rPr>
      <t xml:space="preserve">  Kirby Corp is an $8.0bn EV company that specializes in bulk liquid transport from the gulf up and down the Mississippi river system. The company trades at 11.7x EV/'24 EBITDA and around 4% FCFF yield. Tankers globally have rallied </t>
    </r>
  </si>
  <si>
    <t xml:space="preserve">over the past year, in a somewhat interesting change of events. Recall that shipping globally came to a standstill with the COVID pandemic. In the immediate recovery period, consumer goods recovered swiftly while oil and chemicals lagged </t>
  </si>
  <si>
    <t>finally starting to reach deliveries this year and next (3-4yr build times). The interest rate when the orders were placed were secured at optimal prices on the container side. Fast forward to 2024, and the container shipping industry is struggling to</t>
  </si>
  <si>
    <t>business. What is different in the container shipping world and bulk liquid tankers is that 1) There was more discipline and the order cycle was slow to start, in part due to the sluggish oil/liquids rebound from COVID 2) The Jones Act provides a</t>
  </si>
  <si>
    <t>moat for Kirby's business as the ships need to be built in the US vs. Asia, and Kirby controls 30-40% marketshare in the US river fleet size and 3) By the time that margins for Kirby and its peers started to inflect, the cost of debt had risen materially</t>
  </si>
  <si>
    <t xml:space="preserve">making the build or not project financing decision harder to advocate for building. There is no expectation of any meaningful supply to come online for several years for tankers, somewhat globally but more specifically for Kirby, and that sets the </t>
  </si>
  <si>
    <t>stage for a period of 3-4 years of price/margin power and consequent cash generation due to minimal growth CAPEX. We argue in this note that the good situation is unfortunately already priced in at this point and risks skew to the downside.</t>
  </si>
  <si>
    <t xml:space="preserve">The sell recommendation broadly hinges on 1) A view that the trading multiple is neither cyclically depressed nor is the guidance/consensus particularly conservative on 2024 2) This is a business which has an EV that hinges upon LT cash generation </t>
  </si>
  <si>
    <t xml:space="preserve">degree of long-dated terminal value risk related to the petroleum component of the business, which needs to be examined given the long lives of tankers 6) Cash generation currently benefits from bonus depreciation for tax rate given the </t>
  </si>
  <si>
    <t xml:space="preserve">young fleet age and acquisitions, but this will eventually revert (relevant from all financial metrics and FCF yield) </t>
  </si>
  <si>
    <r>
      <t xml:space="preserve">Catalysts: </t>
    </r>
    <r>
      <rPr>
        <sz val="11"/>
        <color theme="1"/>
        <rFont val="Calibri"/>
        <family val="2"/>
        <scheme val="minor"/>
      </rPr>
      <t>Consensus estimates look too high and in excess of guidance as a result of street taking numbers higher from the previous quarter's sizeable beat. Any disappointment from a higher base could be enough for this to crack.</t>
    </r>
  </si>
  <si>
    <r>
      <rPr>
        <b/>
        <u/>
        <sz val="11"/>
        <color theme="1"/>
        <rFont val="Calibri"/>
        <family val="2"/>
        <scheme val="minor"/>
      </rPr>
      <t xml:space="preserve">Other Areas to DD: </t>
    </r>
    <r>
      <rPr>
        <sz val="11"/>
        <color theme="1"/>
        <rFont val="Calibri"/>
        <family val="2"/>
        <scheme val="minor"/>
      </rPr>
      <t>1) For this exercise, I did not spend as much time as I would have like to on the asset quality and replacement cost/ M2M. In the past, such a framework can be a useful lower-bound floor but difficult/complex to calculate</t>
    </r>
  </si>
  <si>
    <r>
      <rPr>
        <b/>
        <u/>
        <sz val="11"/>
        <color theme="1"/>
        <rFont val="Calibri"/>
        <family val="2"/>
        <scheme val="minor"/>
      </rPr>
      <t>Hedging:</t>
    </r>
    <r>
      <rPr>
        <u/>
        <sz val="11"/>
        <color theme="1"/>
        <rFont val="Calibri"/>
        <family val="2"/>
        <scheme val="minor"/>
      </rPr>
      <t xml:space="preserve"> </t>
    </r>
    <r>
      <rPr>
        <sz val="11"/>
        <color theme="1"/>
        <rFont val="Calibri"/>
        <family val="2"/>
        <scheme val="minor"/>
      </rPr>
      <t>Hedging the position could be challenging -- open to discussion. There are no obvious comps to pair with, so likely will need to think about a way to offset exposure using a correlation basket or mix of other portfolio longs</t>
    </r>
  </si>
  <si>
    <t>I would frame this more broadly as an absolute value thesis, but justify this via a SOTP relative value framework to validate that there is no portfolio of businesses that can replicate KEX's exposures at a cheaper price, and further verified by</t>
  </si>
  <si>
    <t>a DCF validation for the multiple placed on the Marine business</t>
  </si>
  <si>
    <t xml:space="preserve">Shares are trading at 4% FCFF yield for a business that yes is growing EBITDA 20% this year (10% on price driven revenue growth and 2pts of margin), but cannot grow at this rate durably over the long run, and has risk of reversion in the </t>
  </si>
  <si>
    <t xml:space="preserve">medium term. As such, we would need to view the current yield of 4% as 1) durable in perpetuity and 2) believe that FCF can grow at ~6% over the LT to reach a 10% hurdle for a business that has this level of cyclicality. Both of these are </t>
  </si>
  <si>
    <t>hard to commit to. In fact, even the company does not believe that the margins are durable beyond a few years. As such, we cannot buy this as a LT hold at this price</t>
  </si>
  <si>
    <t>A DCF further validates that modeling supernormal margins and growth until 2030 and a reversion to the normal beyond (2% terminal growth) arrives at a 11x multiple for the marine business which coincides with our base case pointing to</t>
  </si>
  <si>
    <t xml:space="preserve">10% D/S </t>
  </si>
  <si>
    <t>margin, growth, and cyclicality for each of the segments</t>
  </si>
  <si>
    <t>In our view, the current trading multiple and consensus EBITDA suggest that the stock is fully valued</t>
  </si>
  <si>
    <t>Trading multiple is about 1.0x higher than the LT average, suggesting that this is still the rising phase of the cyclical upswing</t>
  </si>
  <si>
    <t xml:space="preserve">Consensus is about 10% higher on EBITDA than our/guidance implied 2024 numbers. This sets a higher bar in the remaining 3 earnings. Biggest delta is on utilization/demand with our numbers and consensus which adds worry that </t>
  </si>
  <si>
    <t>KEX cannot achieve the high bar</t>
  </si>
  <si>
    <t>Cash flow conversion is clean for the business i.e. EBITDA bridges closely to CFO which makes modeling future cash generation simpler. That said, maintenance CAPEX is elevated because of the so called "maintenance bubble."</t>
  </si>
  <si>
    <t>A large concern in this business is terminal value risk. While many businesses have terminal value risks, the best businesses are those that don't have any alternatives i.e. crude pipelines, cement, aggregates where-in there is no economically</t>
  </si>
  <si>
    <t>feasible alternative. For a large portion of KEX's business, you could argue this is the case such as the chemicals and non fungible product shipping. That said, there is a component of the business that competes with pipelines, rail. And trucks</t>
  </si>
  <si>
    <t>in the TV. Other terminal value risks are demand impacts due to electrification and the AI bid across the energy complex fading as growth fails to materialize</t>
  </si>
  <si>
    <r>
      <rPr>
        <b/>
        <u/>
        <sz val="11"/>
        <color theme="1"/>
        <rFont val="Calibri"/>
        <family val="2"/>
        <scheme val="minor"/>
      </rPr>
      <t>Risks/Mitigants:</t>
    </r>
    <r>
      <rPr>
        <sz val="11"/>
        <color theme="1"/>
        <rFont val="Calibri"/>
        <family val="2"/>
        <scheme val="minor"/>
      </rPr>
      <t xml:space="preserve"> The risk shorting KEX is that there is significant volatility in and around earnings (ERN on BBG shows +/- 10% swings as the typical case). We will need to be laser focused heading into the next print and validate that the </t>
    </r>
  </si>
  <si>
    <t xml:space="preserve">numbers are likely to be a miss and place appropriate stops in place. If it is clear that the implied full year number is on track to exceed consensus after the print I would be inclined to exit. </t>
  </si>
  <si>
    <t>due to slow to recover industrial production and demand. Essentially, the swift rebound in container goods started a order cycle among the large and small container carriers, while has been slow to build steam due to COVID work delays and has</t>
  </si>
  <si>
    <t xml:space="preserve">cope with 1) Large new-build deliveries 2) full de-bottlenecking of the waterways and ports 3) Sluggish/declining consumer goods demand and 4) Elevated emphasis on near-shoring. This is an important story to set the stage for Kirby and its </t>
  </si>
  <si>
    <t>(significant terminal value and LT assumptions) that makes the yield and known growth before eventual normalization hard to get comfort with 3) Elevated maintenance CAPEX expected certainly for this year, but potentially for several years and</t>
  </si>
  <si>
    <t>into the LT 4) Going back to points 1&amp;2, the volume growth in this business needs growth CAPEX i.e. utilization is already peaking at ~90%, which limits volume growth unless incremental CAPEX is spent 5) Related to point 2, there is a significant</t>
  </si>
  <si>
    <t>Finally, the D&amp;S business is more cyclical, has less growth, and is lower margin. However, it is unclear if investors view the EBITDA from this segment any differently than say inland EBITDA. We use a SOTP to adjust for the varying</t>
  </si>
  <si>
    <t>This business has significant CAPEX, much of which is maintenance. Further cost increases, delays, or extensions of the elevated period could impact FCF in 2025 and 2026, which sell-side models reverting.</t>
  </si>
  <si>
    <t xml:space="preserve">This adds the risk of competition via. Substitution. In totality, it is difficult to underwrite more than a normalized margin and growth profile for this business LT, which in a DCF reduces the NPV sizably given that a bulk of the EV is carried </t>
  </si>
  <si>
    <t>News of building activity, which is bound to happen but just a question of when would also significantly impact share price.</t>
  </si>
  <si>
    <t>2) In the container industry, it is possible to day  rates and contract tenors to better estimate re-roll impacts upwards and downwards. This would also be an interesting item to check for KEX. 3) Broadly understanding the secular upward</t>
  </si>
  <si>
    <t>and downward levers for the coastal business and D&amp;S would also be an appropriate next step. Though small, reinstating of the oil export ban would significantly depress the coastal margins to ~0% EBIT margins</t>
  </si>
  <si>
    <t>Fundamental multiple of 13x based on MSD growth, high margins/CAPEX/cyclicality</t>
  </si>
  <si>
    <t>d)</t>
  </si>
  <si>
    <t>Historical Trading Range: Not obviously too elevated or too depressed (slightly elevated)</t>
  </si>
  <si>
    <t xml:space="preserve">'24 mUFCF Yield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</si>
</sst>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3">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0_)_%;\(#,##0\)_%;_(&quot;–&quot;_)_%;_(@_)_%"/>
    <numFmt numFmtId="165" formatCode="_(#,##0.0_)_%;\(#,##0.0\)_%;_(&quot;–&quot;_)_%;_(@_)_%"/>
    <numFmt numFmtId="166" formatCode="_([$$]#,##0.00_)_%;\([$$]#,##0.00\)_%;_(&quot;–&quot;_)_%;_(@_)_%"/>
    <numFmt numFmtId="167" formatCode="_(#,##0.0%_);\(#,##0.0%\);_(&quot;–&quot;_)_%;_(@_)_%"/>
    <numFmt numFmtId="168" formatCode="_-* #,##0.00_-;\-* #,##0.00_-;_-* &quot;-&quot;??_-;_-@_-"/>
    <numFmt numFmtId="169" formatCode="_(#,##0.00_)_%;\(#,##0.00\)_%;_(&quot;–&quot;_)_%;_(@_)_%"/>
    <numFmt numFmtId="170" formatCode="#,##0.000000_);\(#,##0.000000\)"/>
    <numFmt numFmtId="171" formatCode="_([$$]#,##0.0_)_%;\([$$]#,##0.0\)_%;_(&quot;–&quot;_)_%;_(@_)_%"/>
    <numFmt numFmtId="172" formatCode="_(0.0\x_)_)_';_(\(0.0\x\)_'_';_(&quot;–&quot;_)_%;_(@_)_%"/>
    <numFmt numFmtId="173" formatCode="0.0"/>
    <numFmt numFmtId="174" formatCode="0.0%"/>
    <numFmt numFmtId="175" formatCode="_(#,##0%_);\(#,##0%\);_(&quot;–&quot;_)_%;_(@_)_%"/>
    <numFmt numFmtId="176" formatCode="&quot;$&quot;#,##0;\(&quot;$&quot;#,##0\)"/>
    <numFmt numFmtId="177" formatCode="&quot;$&quot;#,##0.0"/>
    <numFmt numFmtId="178" formatCode="&quot;$&quot;#,##0.00;\(&quot;$&quot;#,##0.00\)"/>
    <numFmt numFmtId="179" formatCode="0.0_)\%;\(0.0\)\%;0.0_)\%;@_)_%"/>
    <numFmt numFmtId="180" formatCode="#,##0.0_)_%;\(#,##0.0\)_%;0.0_)_%;@_)_%"/>
    <numFmt numFmtId="181" formatCode="#,##0.0_);\(#,##0.0\);#,##0.0_);@_)"/>
    <numFmt numFmtId="182" formatCode="#,##0.0_);\(#,##0.0\)"/>
    <numFmt numFmtId="183" formatCode="&quot;$&quot;_(#,##0.00_);&quot;$&quot;\(#,##0.00\);&quot;$&quot;_(0.00_);@_)"/>
    <numFmt numFmtId="184" formatCode="&quot;$&quot;_(#,##0.00_);&quot;$&quot;\(#,##0.00\)"/>
    <numFmt numFmtId="185" formatCode="#,##0.00_);\(#,##0.00\);0.00_);@_)"/>
    <numFmt numFmtId="186" formatCode="\€_(#,##0.00_);\€\(#,##0.00\);\€_(0.00_);@_)"/>
    <numFmt numFmtId="187" formatCode="#,##0_)\x;\(#,##0\)\x;0_)\x;@_)_x"/>
    <numFmt numFmtId="188" formatCode="#,##0.0_)\x;\(#,##0.0\)\x"/>
    <numFmt numFmtId="189" formatCode="#,##0_)_x;\(#,##0\)_x;0_)_x;@_)_x"/>
    <numFmt numFmtId="190" formatCode="#,##0.0_)_x;\(#,##0.0\)_x"/>
    <numFmt numFmtId="191" formatCode="#,##0.0_)_x;\(#,##0.0\)_x;0.0_)_x;@_)_x"/>
    <numFmt numFmtId="192" formatCode="0.0_)\%;\(0.0\)\%"/>
    <numFmt numFmtId="193" formatCode="#,##0.0_)_%;\(#,##0.0\)_%"/>
    <numFmt numFmtId="194" formatCode="0_)"/>
    <numFmt numFmtId="195" formatCode="m\-d\-yy"/>
    <numFmt numFmtId="196" formatCode="#,##0.0_);[Red]\(#,##0.0\)"/>
    <numFmt numFmtId="197" formatCode="#,##0.0000_);\(#,##0.0000\)"/>
    <numFmt numFmtId="198" formatCode="&quot;$&quot;#.;\(&quot;$&quot;#,\)"/>
    <numFmt numFmtId="199" formatCode="#,##0_%_);\(#,##0\)_%;#,##0_%_);@_%_)"/>
    <numFmt numFmtId="200" formatCode="0.0_);\(0.0\)"/>
    <numFmt numFmtId="201" formatCode="yyyy"/>
    <numFmt numFmtId="202" formatCode="m/d/yy_%_)"/>
    <numFmt numFmtId="203" formatCode="m/yy"/>
    <numFmt numFmtId="204" formatCode="#,##0;\(#,##0\)"/>
    <numFmt numFmtId="205" formatCode="#,##0.0;\(#,##0.0\)"/>
    <numFmt numFmtId="206" formatCode="#,##0.00;\(#,##0.00\)"/>
    <numFmt numFmtId="207" formatCode="&quot;D&quot;&quot;$&quot;#,##0.00_);[Red]\(&quot;D&quot;&quot;$&quot;#,##0.00\)"/>
    <numFmt numFmtId="208" formatCode="&quot;C&quot;&quot;$&quot;#,##0.00_);[Red]\(&quot;C&quot;&quot;$&quot;#,##0.00\)"/>
    <numFmt numFmtId="209" formatCode="0_%_);\(0\)_%;0_%_);@_%_)"/>
    <numFmt numFmtId="210" formatCode="&quot;EBITDA&quot;0.0"/>
    <numFmt numFmtId="211" formatCode="0.0\x"/>
    <numFmt numFmtId="212" formatCode="&quot;$&quot;#,##0.00"/>
    <numFmt numFmtId="213" formatCode="0.00%_);\(0.00%\)"/>
    <numFmt numFmtId="214" formatCode="#,##0.00&quot; $&quot;;\-#,##0.00&quot; $&quot;"/>
    <numFmt numFmtId="215" formatCode="&quot;$&quot;#,##0.0;\(&quot;$&quot;#,##0.0\)"/>
    <numFmt numFmtId="216" formatCode="&quot;L&quot;&quot;$&quot;#,##0_);[Red]\(&quot;L&quot;&quot;$&quot;#,##0\)"/>
    <numFmt numFmtId="217" formatCode="&quot;$&quot;#,\);\(&quot;$&quot;#,\)"/>
    <numFmt numFmtId="218" formatCode="&quot;$&quot;#,\);\(&quot;$&quot;#,##0\)"/>
    <numFmt numFmtId="219" formatCode="&quot;$&quot;#,;\(&quot;$&quot;#,\)"/>
    <numFmt numFmtId="220" formatCode="mm/dd/yy"/>
    <numFmt numFmtId="221" formatCode="_ &quot;SFr.&quot;* #,##0.00_ ;_ &quot;SFr.&quot;* \-#,##0.00_ ;_ &quot;SFr.&quot;* &quot;-&quot;??_ ;_ @_ "/>
    <numFmt numFmtId="222" formatCode="0.00_)"/>
    <numFmt numFmtId="223" formatCode="mm/dd/yy_)"/>
    <numFmt numFmtId="224" formatCode="#,##0.00;[Red]\(#,##0.00\)"/>
    <numFmt numFmtId="225" formatCode="0.00\ \x_);\(0.00\ \x\)"/>
    <numFmt numFmtId="226" formatCode="mm/dd/yy\ \ \ h:mm\ AM/PM"/>
    <numFmt numFmtId="227" formatCode="#,##0.000_);[Red]\(#,##0.000\)"/>
    <numFmt numFmtId="228" formatCode="&quot;PTE&quot;&quot;$&quot;#,##0_);[Red]\(&quot;PTE&quot;&quot;$&quot;#,##0\)"/>
    <numFmt numFmtId="229" formatCode="0.0000%"/>
    <numFmt numFmtId="230" formatCode="m/d"/>
    <numFmt numFmtId="231" formatCode="0.0000"/>
    <numFmt numFmtId="232" formatCode="_-* #,##0_-;\-* #,##0_-;_-* &quot;-&quot;_-;_-@_-"/>
    <numFmt numFmtId="233" formatCode="0.00%_);[Red]\(0.00%\)"/>
    <numFmt numFmtId="234" formatCode="&quot;S&quot;&quot;$&quot;#,##0.00_);[Red]\(&quot;S&quot;&quot;$&quot;#,##0.00\)"/>
    <numFmt numFmtId="235" formatCode="#,##0.0_%_);\(#,##0.0\)_%;#,##0.0_%_);@_%_)"/>
    <numFmt numFmtId="236" formatCode="General_)"/>
    <numFmt numFmtId="237" formatCode="_-&quot;£&quot;* #,##0.0_-;\-&quot;£&quot;* #,##0.0_-;_-&quot;£&quot;* &quot;-&quot;??_-;_-@_-"/>
    <numFmt numFmtId="238" formatCode="0\ \ ;\(0\)\ \ \ "/>
  </numFmts>
  <fonts count="200">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color rgb="FF0000FF"/>
      <name val="Calibri"/>
      <family val="2"/>
      <scheme val="minor"/>
    </font>
    <font>
      <sz val="11"/>
      <color rgb="FF000000"/>
      <name val="Calibri"/>
      <family val="2"/>
      <scheme val="minor"/>
    </font>
    <font>
      <i/>
      <sz val="11"/>
      <color rgb="FF0000FF"/>
      <name val="Calibri"/>
      <family val="2"/>
      <scheme val="minor"/>
    </font>
    <font>
      <sz val="10"/>
      <name val="Arial"/>
      <family val="2"/>
    </font>
    <font>
      <b/>
      <sz val="10"/>
      <name val="Arial"/>
      <family val="2"/>
    </font>
    <font>
      <i/>
      <sz val="11"/>
      <color rgb="FF000000"/>
      <name val="Calibri"/>
      <family val="2"/>
      <scheme val="minor"/>
    </font>
    <font>
      <sz val="10.5"/>
      <name val="Frutiger 45 Light"/>
      <family val="2"/>
    </font>
    <font>
      <b/>
      <sz val="11"/>
      <color rgb="FF0000FF"/>
      <name val="Calibri"/>
      <family val="2"/>
      <scheme val="minor"/>
    </font>
    <font>
      <b/>
      <sz val="11"/>
      <color rgb="FF000000"/>
      <name val="Calibri"/>
      <family val="2"/>
      <scheme val="minor"/>
    </font>
    <font>
      <b/>
      <u/>
      <sz val="11"/>
      <color theme="1"/>
      <name val="Calibri"/>
      <family val="2"/>
      <scheme val="minor"/>
    </font>
    <font>
      <b/>
      <sz val="11"/>
      <name val="Calibri"/>
      <family val="2"/>
      <scheme val="minor"/>
    </font>
    <font>
      <sz val="11"/>
      <color theme="1"/>
      <name val="Calibri"/>
      <family val="2"/>
      <scheme val="minor"/>
    </font>
    <font>
      <i/>
      <sz val="11"/>
      <color rgb="FF008000"/>
      <name val="Calibri"/>
      <family val="2"/>
      <scheme val="minor"/>
    </font>
    <font>
      <sz val="11"/>
      <color rgb="FF008000"/>
      <name val="Calibri"/>
      <family val="2"/>
      <scheme val="minor"/>
    </font>
    <font>
      <u/>
      <sz val="11"/>
      <color rgb="FF000000"/>
      <name val="Calibri"/>
      <family val="2"/>
      <scheme val="minor"/>
    </font>
    <font>
      <sz val="11"/>
      <color rgb="FFC00000"/>
      <name val="Calibri"/>
      <family val="2"/>
      <scheme val="minor"/>
    </font>
    <font>
      <u/>
      <sz val="11"/>
      <color theme="1"/>
      <name val="Calibri"/>
      <family val="2"/>
      <scheme val="minor"/>
    </font>
    <font>
      <sz val="11"/>
      <name val="Calibri"/>
      <family val="2"/>
      <scheme val="minor"/>
    </font>
    <font>
      <i/>
      <sz val="11"/>
      <name val="Calibri"/>
      <family val="2"/>
      <scheme val="minor"/>
    </font>
    <font>
      <sz val="10"/>
      <name val="Helvetica"/>
      <family val="2"/>
    </font>
    <font>
      <sz val="10"/>
      <name val="Arial Narrow"/>
      <family val="2"/>
    </font>
    <font>
      <sz val="8"/>
      <name val="Tms Rmn"/>
    </font>
    <font>
      <sz val="8"/>
      <name val="Times New Roman"/>
      <family val="1"/>
    </font>
    <font>
      <sz val="8"/>
      <name val="MS Serif"/>
      <family val="1"/>
    </font>
    <font>
      <sz val="8"/>
      <name val="Arial"/>
      <family val="2"/>
    </font>
    <font>
      <sz val="10"/>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2"/>
      <name val="Times New Roman"/>
      <family val="1"/>
    </font>
    <font>
      <sz val="10"/>
      <name val="MS Sans Serif"/>
      <family val="2"/>
    </font>
    <font>
      <u/>
      <sz val="10"/>
      <name val="Arial"/>
      <family val="2"/>
    </font>
    <font>
      <sz val="8"/>
      <name val="Tms Rmn"/>
      <family val="1"/>
    </font>
    <font>
      <sz val="12"/>
      <color indexed="12"/>
      <name val="Book Antiqua"/>
      <family val="1"/>
    </font>
    <font>
      <sz val="8"/>
      <color theme="1"/>
      <name val="Expert Sans Regular"/>
      <family val="2"/>
    </font>
    <font>
      <sz val="8"/>
      <color theme="0"/>
      <name val="Expert Sans Regular"/>
      <family val="2"/>
    </font>
    <font>
      <sz val="12"/>
      <name val="Arial MT"/>
    </font>
    <font>
      <sz val="8"/>
      <name val="Times"/>
      <family val="1"/>
    </font>
    <font>
      <sz val="12"/>
      <name val="Arial"/>
      <family val="2"/>
    </font>
    <font>
      <b/>
      <sz val="8"/>
      <name val="arial"/>
      <family val="2"/>
    </font>
    <font>
      <i/>
      <sz val="8"/>
      <name val="Arial"/>
      <family val="2"/>
    </font>
    <font>
      <sz val="8"/>
      <color indexed="12"/>
      <name val="Helv"/>
    </font>
    <font>
      <sz val="10"/>
      <name val="Geneva"/>
      <family val="2"/>
    </font>
    <font>
      <sz val="8"/>
      <color rgb="FF9C0006"/>
      <name val="Expert Sans Regular"/>
      <family val="2"/>
    </font>
    <font>
      <sz val="8"/>
      <name val="Palatino"/>
      <family val="1"/>
    </font>
    <font>
      <sz val="10"/>
      <color indexed="8"/>
      <name val="Arial"/>
      <family val="2"/>
    </font>
    <font>
      <sz val="10"/>
      <color indexed="8"/>
      <name val="Tms Rmn"/>
      <family val="1"/>
    </font>
    <font>
      <strike/>
      <sz val="8"/>
      <name val="Arial"/>
      <family val="2"/>
    </font>
    <font>
      <sz val="8"/>
      <color indexed="8"/>
      <name val="Arial"/>
      <family val="2"/>
    </font>
    <font>
      <sz val="8"/>
      <color indexed="12"/>
      <name val="Tms Rmn"/>
    </font>
    <font>
      <sz val="10"/>
      <color indexed="12"/>
      <name val="Times New Roman"/>
      <family val="1"/>
    </font>
    <font>
      <sz val="10"/>
      <color indexed="12"/>
      <name val="Arial"/>
      <family val="2"/>
    </font>
    <font>
      <sz val="8"/>
      <name val="Helv"/>
    </font>
    <font>
      <sz val="12"/>
      <name val="Tms Rmn"/>
    </font>
    <font>
      <b/>
      <sz val="8"/>
      <name val="Times New Roman"/>
      <family val="1"/>
    </font>
    <font>
      <b/>
      <sz val="12"/>
      <name val="Times New Roman"/>
      <family val="1"/>
    </font>
    <font>
      <b/>
      <sz val="8"/>
      <color indexed="8"/>
      <name val="Arial"/>
      <family val="2"/>
    </font>
    <font>
      <b/>
      <sz val="10"/>
      <name val="MS Sans Serif"/>
      <family val="2"/>
    </font>
    <font>
      <u val="singleAccounting"/>
      <sz val="10"/>
      <name val="Arial"/>
      <family val="2"/>
    </font>
    <font>
      <b/>
      <sz val="8"/>
      <color rgb="FFFA7D00"/>
      <name val="Expert Sans Regular"/>
      <family val="2"/>
    </font>
    <font>
      <b/>
      <i/>
      <sz val="10"/>
      <name val="Times New Roman"/>
      <family val="1"/>
    </font>
    <font>
      <b/>
      <sz val="10"/>
      <name val="MS Serif"/>
      <family val="1"/>
    </font>
    <font>
      <b/>
      <sz val="11"/>
      <name val="Arial"/>
      <family val="2"/>
    </font>
    <font>
      <sz val="10"/>
      <color indexed="18"/>
      <name val="Times New Roman"/>
      <family val="1"/>
    </font>
    <font>
      <sz val="6"/>
      <name val="Arial Narrow"/>
      <family val="2"/>
    </font>
    <font>
      <b/>
      <sz val="8"/>
      <color theme="0"/>
      <name val="Expert Sans Regular"/>
      <family val="2"/>
    </font>
    <font>
      <b/>
      <sz val="7"/>
      <name val="Helvetica-Narrow"/>
      <family val="2"/>
    </font>
    <font>
      <b/>
      <sz val="7"/>
      <name val="GillSans"/>
      <family val="2"/>
    </font>
    <font>
      <sz val="8"/>
      <color indexed="17"/>
      <name val="Times New Roman"/>
      <family val="1"/>
    </font>
    <font>
      <b/>
      <u/>
      <sz val="8"/>
      <name val="Arial"/>
      <family val="2"/>
    </font>
    <font>
      <sz val="11"/>
      <name val="Tms Rmn"/>
      <family val="1"/>
    </font>
    <font>
      <sz val="10"/>
      <name val="BERNHARD"/>
    </font>
    <font>
      <sz val="10"/>
      <name val="Helv"/>
    </font>
    <font>
      <sz val="10"/>
      <color indexed="12"/>
      <name val="Geneva"/>
      <family val="2"/>
    </font>
    <font>
      <b/>
      <sz val="14"/>
      <name val="Arial"/>
      <family val="2"/>
    </font>
    <font>
      <b/>
      <sz val="11"/>
      <name val="Times New Roman"/>
      <family val="1"/>
    </font>
    <font>
      <sz val="10"/>
      <name val="MS Serif"/>
      <family val="1"/>
    </font>
    <font>
      <sz val="14"/>
      <name val="Palatino"/>
      <family val="1"/>
    </font>
    <font>
      <sz val="16"/>
      <name val="Palatino"/>
      <family val="1"/>
    </font>
    <font>
      <sz val="32"/>
      <name val="Helvetica-Black"/>
    </font>
    <font>
      <sz val="11"/>
      <color indexed="12"/>
      <name val="Book Antiqua"/>
      <family val="1"/>
    </font>
    <font>
      <sz val="8"/>
      <color indexed="16"/>
      <name val="Palatino"/>
      <family val="1"/>
    </font>
    <font>
      <sz val="8"/>
      <color indexed="12"/>
      <name val="Times New Roman"/>
      <family val="1"/>
    </font>
    <font>
      <sz val="8"/>
      <name val="Univers 47 CondensedLight"/>
      <family val="2"/>
    </font>
    <font>
      <sz val="9"/>
      <name val="Arial"/>
      <family val="2"/>
    </font>
    <font>
      <sz val="8"/>
      <color indexed="12"/>
      <name val="Arial"/>
      <family val="2"/>
    </font>
    <font>
      <u/>
      <sz val="8"/>
      <color indexed="12"/>
      <name val="Times New Roman"/>
      <family val="1"/>
    </font>
    <font>
      <sz val="7"/>
      <name val="Times New Roman"/>
      <family val="1"/>
    </font>
    <font>
      <sz val="1"/>
      <color indexed="8"/>
      <name val="Courier"/>
      <family val="3"/>
    </font>
    <font>
      <u val="doubleAccounting"/>
      <sz val="10"/>
      <name val="Arial"/>
      <family val="2"/>
    </font>
    <font>
      <b/>
      <i/>
      <sz val="8"/>
      <color indexed="12"/>
      <name val="Helvetica-Narrow"/>
      <family val="2"/>
    </font>
    <font>
      <b/>
      <sz val="1"/>
      <color indexed="8"/>
      <name val="Courier"/>
      <family val="3"/>
    </font>
    <font>
      <sz val="10"/>
      <color indexed="16"/>
      <name val="MS Serif"/>
      <family val="1"/>
    </font>
    <font>
      <b/>
      <u/>
      <sz val="12"/>
      <name val="Arial Narrow"/>
      <family val="2"/>
    </font>
    <font>
      <i/>
      <sz val="8"/>
      <color rgb="FF7F7F7F"/>
      <name val="Expert Sans Regular"/>
      <family val="2"/>
    </font>
    <font>
      <b/>
      <sz val="7"/>
      <color indexed="12"/>
      <name val="Arial"/>
      <family val="2"/>
    </font>
    <font>
      <sz val="6"/>
      <color indexed="23"/>
      <name val="Helvetica-Black"/>
    </font>
    <font>
      <sz val="9.5"/>
      <color indexed="23"/>
      <name val="Helvetica-Black"/>
    </font>
    <font>
      <sz val="7"/>
      <name val="Palatino"/>
      <family val="1"/>
    </font>
    <font>
      <sz val="8"/>
      <color indexed="8"/>
      <name val="Trebuchet MS"/>
      <family val="2"/>
    </font>
    <font>
      <sz val="8"/>
      <color rgb="FF006100"/>
      <name val="Expert Sans Regular"/>
      <family val="2"/>
    </font>
    <font>
      <b/>
      <sz val="12"/>
      <color indexed="9"/>
      <name val="Tms Rmn"/>
    </font>
    <font>
      <b/>
      <sz val="10"/>
      <color indexed="9"/>
      <name val="GillSans"/>
      <family val="2"/>
    </font>
    <font>
      <b/>
      <sz val="10"/>
      <color indexed="8"/>
      <name val="GillSans"/>
      <family val="2"/>
    </font>
    <font>
      <sz val="6"/>
      <color indexed="16"/>
      <name val="Palatino"/>
      <family val="1"/>
    </font>
    <font>
      <sz val="6"/>
      <name val="Palatino"/>
      <family val="1"/>
    </font>
    <font>
      <b/>
      <sz val="12"/>
      <name val="Arial"/>
      <family val="2"/>
    </font>
    <font>
      <b/>
      <i/>
      <sz val="8"/>
      <name val="Helv"/>
    </font>
    <font>
      <b/>
      <sz val="15"/>
      <color theme="3"/>
      <name val="Expert Sans Regular"/>
      <family val="2"/>
    </font>
    <font>
      <sz val="10"/>
      <name val="Helvetica-Black"/>
    </font>
    <font>
      <sz val="28"/>
      <name val="Helvetica-Black"/>
    </font>
    <font>
      <b/>
      <sz val="13"/>
      <color theme="3"/>
      <name val="Expert Sans Regular"/>
      <family val="2"/>
    </font>
    <font>
      <sz val="10"/>
      <name val="Palatino"/>
      <family val="1"/>
    </font>
    <font>
      <sz val="18"/>
      <name val="Palatino"/>
      <family val="1"/>
    </font>
    <font>
      <b/>
      <sz val="11"/>
      <color theme="3"/>
      <name val="Expert Sans Regular"/>
      <family val="2"/>
    </font>
    <font>
      <i/>
      <sz val="14"/>
      <name val="Palatino"/>
      <family val="1"/>
    </font>
    <font>
      <b/>
      <sz val="8"/>
      <name val="MS Sans Serif"/>
      <family val="2"/>
    </font>
    <font>
      <u/>
      <sz val="7.5"/>
      <color indexed="12"/>
      <name val="Arial"/>
      <family val="2"/>
    </font>
    <font>
      <u/>
      <sz val="10"/>
      <color theme="10"/>
      <name val="Arial Narrow"/>
      <family val="2"/>
    </font>
    <font>
      <u/>
      <sz val="8"/>
      <color theme="10"/>
      <name val="Arial"/>
      <family val="2"/>
    </font>
    <font>
      <sz val="8"/>
      <color rgb="FF3F3F76"/>
      <name val="Expert Sans Regular"/>
      <family val="2"/>
    </font>
    <font>
      <sz val="8"/>
      <color indexed="12"/>
      <name val="Palatino"/>
      <family val="1"/>
    </font>
    <font>
      <sz val="8"/>
      <color indexed="10"/>
      <name val="Helv"/>
    </font>
    <font>
      <sz val="10"/>
      <name val="GillSans Light"/>
      <family val="2"/>
    </font>
    <font>
      <i/>
      <sz val="16"/>
      <name val="Times New Roman"/>
      <family val="1"/>
    </font>
    <font>
      <sz val="10"/>
      <color indexed="16"/>
      <name val="MS Sans Serif"/>
      <family val="2"/>
    </font>
    <font>
      <sz val="8"/>
      <color rgb="FFFA7D00"/>
      <name val="Expert Sans Regular"/>
      <family val="2"/>
    </font>
    <font>
      <sz val="8"/>
      <color indexed="8"/>
      <name val="Helv"/>
    </font>
    <font>
      <sz val="10"/>
      <color indexed="20"/>
      <name val="Times New Roman"/>
      <family val="1"/>
    </font>
    <font>
      <sz val="8"/>
      <color rgb="FF9C6500"/>
      <name val="Expert Sans Regular"/>
      <family val="2"/>
    </font>
    <font>
      <sz val="7"/>
      <name val="Small Fonts"/>
      <family val="2"/>
    </font>
    <font>
      <sz val="10"/>
      <name val="Tms Rmn"/>
    </font>
    <font>
      <b/>
      <i/>
      <sz val="16"/>
      <name val="Helv"/>
    </font>
    <font>
      <sz val="10"/>
      <color indexed="8"/>
      <name val="MS Sans Serif"/>
      <family val="2"/>
    </font>
    <font>
      <sz val="8"/>
      <name val="Helvetica"/>
      <family val="2"/>
    </font>
    <font>
      <sz val="7"/>
      <color indexed="12"/>
      <name val="Arial"/>
      <family val="2"/>
    </font>
    <font>
      <i/>
      <sz val="10"/>
      <name val="Helv"/>
    </font>
    <font>
      <i/>
      <sz val="8"/>
      <color indexed="12"/>
      <name val="Arial"/>
      <family val="2"/>
    </font>
    <font>
      <b/>
      <sz val="13.5"/>
      <name val="MS Sans Serif"/>
      <family val="2"/>
    </font>
    <font>
      <b/>
      <sz val="8"/>
      <color rgb="FF3F3F3F"/>
      <name val="Expert Sans Regular"/>
      <family val="2"/>
    </font>
    <font>
      <u/>
      <sz val="10"/>
      <name val="Times New Roman"/>
      <family val="1"/>
    </font>
    <font>
      <b/>
      <sz val="26"/>
      <name val="Times New Roman"/>
      <family val="1"/>
    </font>
    <font>
      <sz val="10"/>
      <color indexed="16"/>
      <name val="Helvetica-Black"/>
    </font>
    <font>
      <b/>
      <sz val="10"/>
      <name val="Times New Roman"/>
      <family val="1"/>
    </font>
    <font>
      <sz val="9"/>
      <name val="Times New Roman"/>
      <family val="1"/>
    </font>
    <font>
      <b/>
      <sz val="9"/>
      <name val="Times New Roman"/>
      <family val="1"/>
    </font>
    <font>
      <u val="singleAccounting"/>
      <sz val="9"/>
      <name val="Times New Roman"/>
      <family val="1"/>
    </font>
    <font>
      <sz val="10"/>
      <color indexed="10"/>
      <name val="MS Sans Serif"/>
      <family val="2"/>
    </font>
    <font>
      <sz val="8"/>
      <name val="Wingdings"/>
      <charset val="2"/>
    </font>
    <font>
      <b/>
      <sz val="8.5"/>
      <name val="Times New Roman"/>
      <family val="1"/>
    </font>
    <font>
      <u/>
      <sz val="9.5"/>
      <name val="Times New Roman"/>
      <family val="1"/>
    </font>
    <font>
      <b/>
      <sz val="10"/>
      <color indexed="8"/>
      <name val="Times New Roman"/>
      <family val="1"/>
    </font>
    <font>
      <sz val="10"/>
      <name val="Futura UBS Bk"/>
      <family val="2"/>
    </font>
    <font>
      <sz val="8"/>
      <name val="MS Sans Serif"/>
      <family val="2"/>
    </font>
    <font>
      <sz val="10"/>
      <color indexed="9"/>
      <name val="Arial"/>
      <family val="2"/>
    </font>
    <font>
      <b/>
      <sz val="14"/>
      <color indexed="9"/>
      <name val="Arial"/>
      <family val="2"/>
    </font>
    <font>
      <b/>
      <sz val="12"/>
      <color indexed="9"/>
      <name val="Arial"/>
      <family val="2"/>
    </font>
    <font>
      <b/>
      <sz val="10"/>
      <color indexed="9"/>
      <name val="Arial"/>
      <family val="2"/>
    </font>
    <font>
      <b/>
      <i/>
      <sz val="8"/>
      <color indexed="9"/>
      <name val="Arial"/>
      <family val="2"/>
    </font>
    <font>
      <b/>
      <sz val="10"/>
      <name val="GillSans"/>
      <family val="2"/>
    </font>
    <font>
      <sz val="8"/>
      <color indexed="18"/>
      <name val="Times New Roman"/>
      <family val="1"/>
    </font>
    <font>
      <b/>
      <sz val="8"/>
      <color indexed="8"/>
      <name val="Helv"/>
    </font>
    <font>
      <b/>
      <sz val="9"/>
      <name val="Arial"/>
      <family val="2"/>
    </font>
    <font>
      <b/>
      <sz val="9"/>
      <name val="Palatino"/>
      <family val="1"/>
    </font>
    <font>
      <sz val="9"/>
      <color indexed="21"/>
      <name val="Helvetica-Black"/>
    </font>
    <font>
      <b/>
      <sz val="10"/>
      <name val="Palatino"/>
      <family val="1"/>
    </font>
    <font>
      <sz val="9"/>
      <name val="Helvetica-Black"/>
    </font>
    <font>
      <sz val="8"/>
      <name val="Helvetica-Narrow"/>
      <family val="2"/>
    </font>
    <font>
      <sz val="12"/>
      <color indexed="8"/>
      <name val="Palatino"/>
      <family val="1"/>
    </font>
    <font>
      <sz val="12"/>
      <name val="Palatino"/>
      <family val="1"/>
    </font>
    <font>
      <sz val="11"/>
      <name val="Helvetica-Black"/>
    </font>
    <font>
      <sz val="11"/>
      <color indexed="8"/>
      <name val="Helvetica-Black"/>
    </font>
    <font>
      <b/>
      <sz val="10"/>
      <name val="Helvetica 65"/>
      <family val="2"/>
    </font>
    <font>
      <b/>
      <sz val="9"/>
      <name val="Helvetica 65"/>
      <family val="2"/>
    </font>
    <font>
      <b/>
      <sz val="10"/>
      <color indexed="16"/>
      <name val="GillSans"/>
      <family val="2"/>
    </font>
    <font>
      <i/>
      <sz val="10"/>
      <name val="Times New Roman"/>
      <family val="1"/>
    </font>
    <font>
      <b/>
      <sz val="8"/>
      <color theme="1"/>
      <name val="Expert Sans Regular"/>
      <family val="2"/>
    </font>
    <font>
      <b/>
      <sz val="8"/>
      <name val="Palatino"/>
      <family val="1"/>
    </font>
    <font>
      <u/>
      <sz val="8"/>
      <name val="Times New Roman"/>
      <family val="1"/>
    </font>
    <font>
      <u/>
      <sz val="8"/>
      <color indexed="8"/>
      <name val="Arial"/>
      <family val="2"/>
    </font>
    <font>
      <sz val="8"/>
      <color rgb="FFFF0000"/>
      <name val="Expert Sans Regular"/>
      <family val="2"/>
    </font>
    <font>
      <sz val="8"/>
      <color indexed="9"/>
      <name val="Arial"/>
      <family val="2"/>
    </font>
    <font>
      <b/>
      <sz val="11"/>
      <color rgb="FFFF0000"/>
      <name val="Calibri"/>
      <family val="2"/>
      <scheme val="minor"/>
    </font>
    <font>
      <b/>
      <sz val="11"/>
      <color rgb="FF008000"/>
      <name val="Calibri"/>
      <family val="2"/>
      <scheme val="minor"/>
    </font>
    <font>
      <b/>
      <i/>
      <sz val="11"/>
      <color theme="1"/>
      <name val="Calibri"/>
      <family val="2"/>
      <scheme val="minor"/>
    </font>
    <font>
      <b/>
      <i/>
      <sz val="11"/>
      <color rgb="FF000000"/>
      <name val="Calibri"/>
      <family val="2"/>
      <scheme val="minor"/>
    </font>
    <font>
      <b/>
      <sz val="11"/>
      <color rgb="FFC00000"/>
      <name val="Calibri"/>
      <family val="2"/>
      <scheme val="minor"/>
    </font>
    <font>
      <u/>
      <sz val="11"/>
      <color theme="10"/>
      <name val="Calibri"/>
      <family val="2"/>
      <scheme val="minor"/>
    </font>
    <font>
      <b/>
      <i/>
      <sz val="11"/>
      <name val="Calibri"/>
      <family val="2"/>
      <scheme val="minor"/>
    </font>
    <font>
      <i/>
      <u/>
      <sz val="11"/>
      <name val="Calibri"/>
      <family val="2"/>
      <scheme val="minor"/>
    </font>
    <font>
      <sz val="11"/>
      <color theme="0" tint="-4.9989318521683403E-2"/>
      <name val="Calibri"/>
      <family val="2"/>
      <scheme val="minor"/>
    </font>
    <font>
      <b/>
      <i/>
      <sz val="11"/>
      <color theme="0"/>
      <name val="Calibri"/>
      <family val="2"/>
      <scheme val="minor"/>
    </font>
    <font>
      <u/>
      <sz val="11"/>
      <name val="Calibri"/>
      <family val="2"/>
      <scheme val="minor"/>
    </font>
  </fonts>
  <fills count="74">
    <fill>
      <patternFill patternType="none"/>
    </fill>
    <fill>
      <patternFill patternType="gray125"/>
    </fill>
    <fill>
      <patternFill patternType="solid">
        <fgColor theme="7" tint="0.79998168889431442"/>
        <bgColor indexed="64"/>
      </patternFill>
    </fill>
    <fill>
      <patternFill patternType="solid">
        <fgColor rgb="FFC9DAF8"/>
        <bgColor rgb="FF000000"/>
      </patternFill>
    </fill>
    <fill>
      <patternFill patternType="solid">
        <fgColor rgb="FF1C4587"/>
        <bgColor indexed="64"/>
      </patternFill>
    </fill>
    <fill>
      <patternFill patternType="solid">
        <fgColor theme="6" tint="0.79998168889431442"/>
        <bgColor indexed="64"/>
      </patternFill>
    </fill>
    <fill>
      <patternFill patternType="solid">
        <fgColor theme="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indexed="22"/>
        <bgColor indexed="22"/>
      </patternFill>
    </fill>
    <fill>
      <patternFill patternType="solid">
        <fgColor indexed="43"/>
      </patternFill>
    </fill>
    <fill>
      <patternFill patternType="solid">
        <fgColor indexed="44"/>
        <bgColor indexed="64"/>
      </patternFill>
    </fill>
    <fill>
      <patternFill patternType="solid">
        <fgColor indexed="22"/>
      </patternFill>
    </fill>
    <fill>
      <patternFill patternType="solid">
        <fgColor indexed="9"/>
        <bgColor indexed="64"/>
      </patternFill>
    </fill>
    <fill>
      <patternFill patternType="lightGray">
        <fgColor indexed="15"/>
      </patternFill>
    </fill>
    <fill>
      <patternFill patternType="gray0625"/>
    </fill>
    <fill>
      <patternFill patternType="solid">
        <fgColor indexed="42"/>
        <bgColor indexed="64"/>
      </patternFill>
    </fill>
    <fill>
      <patternFill patternType="solid">
        <fgColor indexed="65"/>
        <bgColor indexed="64"/>
      </patternFill>
    </fill>
    <fill>
      <patternFill patternType="solid">
        <fgColor indexed="26"/>
        <bgColor indexed="64"/>
      </patternFill>
    </fill>
    <fill>
      <patternFill patternType="solid">
        <fgColor indexed="22"/>
        <bgColor indexed="64"/>
      </patternFill>
    </fill>
    <fill>
      <patternFill patternType="solid">
        <fgColor indexed="9"/>
      </patternFill>
    </fill>
    <fill>
      <patternFill patternType="mediumGray"/>
    </fill>
    <fill>
      <patternFill patternType="solid">
        <fgColor indexed="62"/>
        <bgColor indexed="64"/>
      </patternFill>
    </fill>
    <fill>
      <patternFill patternType="solid">
        <fgColor indexed="41"/>
        <bgColor indexed="64"/>
      </patternFill>
    </fill>
    <fill>
      <patternFill patternType="solid">
        <fgColor indexed="34"/>
        <bgColor indexed="13"/>
      </patternFill>
    </fill>
    <fill>
      <patternFill patternType="mediumGray">
        <fgColor indexed="22"/>
      </patternFill>
    </fill>
    <fill>
      <patternFill patternType="darkVertical"/>
    </fill>
    <fill>
      <patternFill patternType="solid">
        <fgColor indexed="63"/>
        <bgColor indexed="64"/>
      </patternFill>
    </fill>
    <fill>
      <patternFill patternType="solid">
        <fgColor indexed="38"/>
        <bgColor indexed="64"/>
      </patternFill>
    </fill>
    <fill>
      <patternFill patternType="solid">
        <fgColor indexed="36"/>
        <bgColor indexed="64"/>
      </patternFill>
    </fill>
    <fill>
      <patternFill patternType="solid">
        <fgColor indexed="30"/>
        <bgColor indexed="64"/>
      </patternFill>
    </fill>
    <fill>
      <patternFill patternType="solid">
        <fgColor indexed="61"/>
        <bgColor indexed="64"/>
      </patternFill>
    </fill>
    <fill>
      <patternFill patternType="solid">
        <fgColor indexed="29"/>
        <bgColor indexed="64"/>
      </patternFill>
    </fill>
    <fill>
      <patternFill patternType="solid">
        <fgColor indexed="58"/>
        <bgColor indexed="64"/>
      </patternFill>
    </fill>
    <fill>
      <patternFill patternType="solid">
        <fgColor indexed="15"/>
        <bgColor indexed="64"/>
      </patternFill>
    </fill>
    <fill>
      <patternFill patternType="solid">
        <fgColor indexed="8"/>
        <bgColor indexed="64"/>
      </patternFill>
    </fill>
    <fill>
      <patternFill patternType="solid">
        <fgColor indexed="16"/>
        <bgColor indexed="64"/>
      </patternFill>
    </fill>
    <fill>
      <patternFill patternType="solid">
        <fgColor indexed="4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s>
  <borders count="70">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rgb="FF000000"/>
      </left>
      <right/>
      <top/>
      <bottom/>
      <diagonal/>
    </border>
    <border>
      <left style="hair">
        <color rgb="FF000000"/>
      </left>
      <right/>
      <top/>
      <bottom style="thin">
        <color indexed="64"/>
      </bottom>
      <diagonal/>
    </border>
    <border>
      <left style="hair">
        <color rgb="FF000000"/>
      </left>
      <right/>
      <top/>
      <bottom style="hair">
        <color rgb="FF000000"/>
      </bottom>
      <diagonal/>
    </border>
    <border>
      <left/>
      <right/>
      <top/>
      <bottom style="hair">
        <color rgb="FF000000"/>
      </bottom>
      <diagonal/>
    </border>
    <border>
      <left/>
      <right style="thin">
        <color indexed="64"/>
      </right>
      <top/>
      <bottom style="hair">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hair">
        <color indexed="64"/>
      </left>
      <right style="hair">
        <color indexed="64"/>
      </right>
      <top style="hair">
        <color indexed="64"/>
      </top>
      <bottom style="hair">
        <color indexed="64"/>
      </bottom>
      <diagonal/>
    </border>
    <border>
      <left style="double">
        <color indexed="64"/>
      </left>
      <right/>
      <top/>
      <bottom style="hair">
        <color indexed="64"/>
      </bottom>
      <diagonal/>
    </border>
    <border>
      <left style="thin">
        <color indexed="9"/>
      </left>
      <right style="thin">
        <color indexed="9"/>
      </right>
      <top style="thin">
        <color indexed="9"/>
      </top>
      <bottom style="thin">
        <color indexed="9"/>
      </bottom>
      <diagonal/>
    </border>
    <border>
      <left style="thin">
        <color indexed="64"/>
      </left>
      <right style="thin">
        <color indexed="64"/>
      </right>
      <top/>
      <bottom/>
      <diagonal/>
    </border>
    <border>
      <left/>
      <right/>
      <top/>
      <bottom style="medium">
        <color indexed="64"/>
      </bottom>
      <diagonal/>
    </border>
    <border>
      <left/>
      <right/>
      <top/>
      <bottom style="thin">
        <color indexed="44"/>
      </bottom>
      <diagonal/>
    </border>
    <border>
      <left/>
      <right/>
      <top style="thin">
        <color indexed="8"/>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right/>
      <top/>
      <bottom style="double">
        <color indexed="64"/>
      </bottom>
      <diagonal/>
    </border>
    <border>
      <left/>
      <right/>
      <top/>
      <bottom style="hair">
        <color indexed="64"/>
      </bottom>
      <diagonal/>
    </border>
    <border>
      <left/>
      <right style="thin">
        <color indexed="8"/>
      </right>
      <top style="thin">
        <color indexed="8"/>
      </top>
      <bottom/>
      <diagonal/>
    </border>
    <border>
      <left style="hair">
        <color indexed="64"/>
      </left>
      <right/>
      <top/>
      <bottom/>
      <diagonal/>
    </border>
    <border>
      <left style="thin">
        <color indexed="64"/>
      </left>
      <right style="thin">
        <color indexed="64"/>
      </right>
      <top/>
      <bottom style="thin">
        <color indexed="64"/>
      </bottom>
      <diagonal/>
    </border>
    <border>
      <left/>
      <right/>
      <top/>
      <bottom style="dotted">
        <color indexed="64"/>
      </bottom>
      <diagonal/>
    </border>
    <border>
      <left style="dotted">
        <color indexed="12"/>
      </left>
      <right style="dotted">
        <color indexed="12"/>
      </right>
      <top style="dotted">
        <color indexed="12"/>
      </top>
      <bottom style="dotted">
        <color indexed="12"/>
      </bottom>
      <diagonal/>
    </border>
    <border>
      <left style="thin">
        <color indexed="64"/>
      </left>
      <right style="thin">
        <color indexed="64"/>
      </right>
      <top style="thin">
        <color indexed="64"/>
      </top>
      <bottom/>
      <diagonal/>
    </border>
    <border>
      <left style="hair">
        <color indexed="22"/>
      </left>
      <right style="hair">
        <color indexed="22"/>
      </right>
      <top style="hair">
        <color indexed="22"/>
      </top>
      <bottom style="hair">
        <color indexed="22"/>
      </bottom>
      <diagonal/>
    </border>
    <border>
      <left/>
      <right/>
      <top style="thin">
        <color indexed="64"/>
      </top>
      <bottom style="double">
        <color indexed="64"/>
      </bottom>
      <diagonal/>
    </border>
    <border>
      <left/>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right/>
      <top style="medium">
        <color indexed="23"/>
      </top>
      <bottom style="medium">
        <color indexed="23"/>
      </bottom>
      <diagonal/>
    </border>
    <border>
      <left/>
      <right/>
      <top style="thick">
        <color indexed="64"/>
      </top>
      <bottom style="thin">
        <color indexed="64"/>
      </bottom>
      <diagonal/>
    </border>
    <border>
      <left/>
      <right/>
      <top style="thick">
        <color indexed="64"/>
      </top>
      <bottom/>
      <diagonal/>
    </border>
    <border>
      <left/>
      <right/>
      <top/>
      <bottom style="dotted">
        <color indexed="55"/>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style="hair">
        <color indexed="64"/>
      </bottom>
      <diagonal/>
    </border>
    <border>
      <left style="hair">
        <color rgb="FF000000"/>
      </left>
      <right/>
      <top/>
      <bottom style="hair">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s>
  <cellStyleXfs count="1916">
    <xf numFmtId="0" fontId="0" fillId="0" borderId="0"/>
    <xf numFmtId="168" fontId="11"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24" fillId="0" borderId="0">
      <alignment vertical="center"/>
    </xf>
    <xf numFmtId="9" fontId="24" fillId="0" borderId="0" applyFont="0" applyFill="0" applyBorder="0" applyAlignment="0" applyProtection="0"/>
    <xf numFmtId="176" fontId="26" fillId="0" borderId="0">
      <alignment horizontal="right"/>
    </xf>
    <xf numFmtId="0" fontId="27" fillId="0" borderId="0">
      <alignment horizontal="right"/>
    </xf>
    <xf numFmtId="177" fontId="8" fillId="0" borderId="0">
      <alignment horizontal="right"/>
    </xf>
    <xf numFmtId="178" fontId="26" fillId="0" borderId="0">
      <alignment horizontal="right"/>
    </xf>
    <xf numFmtId="0" fontId="8" fillId="0" borderId="0"/>
    <xf numFmtId="9" fontId="28" fillId="42" borderId="25">
      <alignment horizontal="right" vertical="center"/>
    </xf>
    <xf numFmtId="0" fontId="27" fillId="0" borderId="0" applyBorder="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0" fontId="29" fillId="0" borderId="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0"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0"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0" fontId="30" fillId="0" borderId="0" applyFont="0" applyFill="0" applyBorder="0" applyAlignment="0" applyProtection="0"/>
    <xf numFmtId="185" fontId="30" fillId="0" borderId="0" applyFont="0" applyFill="0" applyBorder="0" applyAlignment="0" applyProtection="0"/>
    <xf numFmtId="185" fontId="30" fillId="0" borderId="0" applyFont="0" applyFill="0" applyBorder="0" applyAlignment="0" applyProtection="0"/>
    <xf numFmtId="185" fontId="30" fillId="0" borderId="0" applyFont="0" applyFill="0" applyBorder="0" applyAlignment="0" applyProtection="0"/>
    <xf numFmtId="0" fontId="29" fillId="0" borderId="0"/>
    <xf numFmtId="0"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0" fontId="31" fillId="0" borderId="0" applyNumberFormat="0" applyFill="0" applyBorder="0" applyAlignment="0" applyProtection="0"/>
    <xf numFmtId="0" fontId="8" fillId="43" borderId="0" applyNumberFormat="0" applyFont="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0" fontId="32" fillId="0" borderId="0" applyNumberFormat="0" applyFill="0" applyBorder="0" applyProtection="0">
      <alignment vertical="top"/>
    </xf>
    <xf numFmtId="0" fontId="32" fillId="0" borderId="0" applyNumberFormat="0" applyFill="0" applyBorder="0" applyProtection="0">
      <alignment vertical="top"/>
    </xf>
    <xf numFmtId="0" fontId="32" fillId="0" borderId="0" applyNumberFormat="0" applyFill="0" applyBorder="0" applyProtection="0">
      <alignment vertical="top"/>
    </xf>
    <xf numFmtId="0" fontId="32" fillId="0" borderId="0" applyNumberFormat="0" applyFill="0" applyBorder="0" applyAlignment="0" applyProtection="0">
      <alignment vertical="top"/>
    </xf>
    <xf numFmtId="0" fontId="32" fillId="0" borderId="0" applyNumberFormat="0" applyFill="0" applyBorder="0" applyAlignment="0" applyProtection="0">
      <alignment vertical="top"/>
    </xf>
    <xf numFmtId="0" fontId="32" fillId="0" borderId="0" applyNumberFormat="0" applyFill="0" applyBorder="0" applyProtection="0">
      <alignment vertical="top"/>
    </xf>
    <xf numFmtId="0" fontId="33" fillId="0" borderId="26" applyNumberFormat="0" applyFill="0" applyAlignment="0" applyProtection="0"/>
    <xf numFmtId="0" fontId="33" fillId="0" borderId="26" applyNumberFormat="0" applyFill="0" applyAlignment="0" applyProtection="0"/>
    <xf numFmtId="0" fontId="33" fillId="0" borderId="27" applyNumberFormat="0" applyFill="0" applyAlignment="0" applyProtection="0"/>
    <xf numFmtId="0" fontId="33" fillId="0" borderId="27" applyNumberFormat="0" applyFill="0" applyAlignment="0" applyProtection="0"/>
    <xf numFmtId="0" fontId="33" fillId="0" borderId="26" applyNumberFormat="0" applyFill="0" applyAlignment="0" applyProtection="0"/>
    <xf numFmtId="0" fontId="34" fillId="0" borderId="28" applyNumberFormat="0" applyFill="0" applyProtection="0">
      <alignment horizontal="center"/>
    </xf>
    <xf numFmtId="0" fontId="34" fillId="0" borderId="0" applyNumberFormat="0" applyFill="0" applyBorder="0" applyProtection="0">
      <alignment horizontal="left"/>
    </xf>
    <xf numFmtId="0" fontId="35" fillId="0" borderId="0" applyNumberFormat="0" applyFill="0" applyBorder="0" applyProtection="0">
      <alignment horizontal="centerContinuous"/>
    </xf>
    <xf numFmtId="0" fontId="35" fillId="0" borderId="0" applyNumberFormat="0" applyFill="0" applyBorder="0" applyProtection="0">
      <alignment horizontal="centerContinuous"/>
    </xf>
    <xf numFmtId="0" fontId="35" fillId="0" borderId="0" applyNumberFormat="0" applyFill="0" applyProtection="0">
      <alignment horizontal="centerContinuous"/>
    </xf>
    <xf numFmtId="0" fontId="35" fillId="0" borderId="0" applyNumberFormat="0" applyFill="0" applyProtection="0">
      <alignment horizontal="centerContinuous"/>
    </xf>
    <xf numFmtId="0" fontId="35" fillId="0" borderId="0" applyNumberFormat="0" applyFill="0" applyBorder="0" applyProtection="0">
      <alignment horizontal="centerContinuous"/>
    </xf>
    <xf numFmtId="0" fontId="36" fillId="0" borderId="0" applyFont="0" applyFill="0" applyBorder="0" applyAlignment="0" applyProtection="0"/>
    <xf numFmtId="0" fontId="36" fillId="0" borderId="0" applyFont="0" applyFill="0" applyBorder="0" applyAlignment="0" applyProtection="0"/>
    <xf numFmtId="0" fontId="29" fillId="0" borderId="0"/>
    <xf numFmtId="0" fontId="29" fillId="0" borderId="0"/>
    <xf numFmtId="0" fontId="29" fillId="0" borderId="0"/>
    <xf numFmtId="0" fontId="37" fillId="0" borderId="0"/>
    <xf numFmtId="9" fontId="8" fillId="0" borderId="0"/>
    <xf numFmtId="0" fontId="37" fillId="0" borderId="0"/>
    <xf numFmtId="174" fontId="37" fillId="0" borderId="0"/>
    <xf numFmtId="173" fontId="37" fillId="0" borderId="0"/>
    <xf numFmtId="2" fontId="37" fillId="0" borderId="0"/>
    <xf numFmtId="10" fontId="37" fillId="0" borderId="0"/>
    <xf numFmtId="194" fontId="37" fillId="0" borderId="0"/>
    <xf numFmtId="194" fontId="37" fillId="0" borderId="0"/>
    <xf numFmtId="194" fontId="37" fillId="0" borderId="0"/>
    <xf numFmtId="0" fontId="37" fillId="0" borderId="0"/>
    <xf numFmtId="1" fontId="38" fillId="0" borderId="0"/>
    <xf numFmtId="1" fontId="39" fillId="0" borderId="0"/>
    <xf numFmtId="0" fontId="37" fillId="0" borderId="0"/>
    <xf numFmtId="194" fontId="37" fillId="0" borderId="0"/>
    <xf numFmtId="194" fontId="37" fillId="0" borderId="0"/>
    <xf numFmtId="0" fontId="37" fillId="0" borderId="0"/>
    <xf numFmtId="194" fontId="37" fillId="0" borderId="0"/>
    <xf numFmtId="38" fontId="30" fillId="0" borderId="29"/>
    <xf numFmtId="37" fontId="40" fillId="0" borderId="1" applyFont="0"/>
    <xf numFmtId="173" fontId="27" fillId="0" borderId="0"/>
    <xf numFmtId="0" fontId="41" fillId="18" borderId="0" applyNumberFormat="0" applyBorder="0" applyAlignment="0" applyProtection="0"/>
    <xf numFmtId="0" fontId="41" fillId="22" borderId="0" applyNumberFormat="0" applyBorder="0" applyAlignment="0" applyProtection="0"/>
    <xf numFmtId="0" fontId="41" fillId="26" borderId="0" applyNumberFormat="0" applyBorder="0" applyAlignment="0" applyProtection="0"/>
    <xf numFmtId="0" fontId="41" fillId="30" borderId="0" applyNumberFormat="0" applyBorder="0" applyAlignment="0" applyProtection="0"/>
    <xf numFmtId="0" fontId="41" fillId="34" borderId="0" applyNumberFormat="0" applyBorder="0" applyAlignment="0" applyProtection="0"/>
    <xf numFmtId="0" fontId="41" fillId="38" borderId="0" applyNumberFormat="0" applyBorder="0" applyAlignment="0" applyProtection="0"/>
    <xf numFmtId="0" fontId="27" fillId="0" borderId="0"/>
    <xf numFmtId="40" fontId="27" fillId="0" borderId="0"/>
    <xf numFmtId="0" fontId="41" fillId="19" borderId="0" applyNumberFormat="0" applyBorder="0" applyAlignment="0" applyProtection="0"/>
    <xf numFmtId="0" fontId="41" fillId="23" borderId="0" applyNumberFormat="0" applyBorder="0" applyAlignment="0" applyProtection="0"/>
    <xf numFmtId="0" fontId="41" fillId="27" borderId="0" applyNumberFormat="0" applyBorder="0" applyAlignment="0" applyProtection="0"/>
    <xf numFmtId="0" fontId="41" fillId="31" borderId="0" applyNumberFormat="0" applyBorder="0" applyAlignment="0" applyProtection="0"/>
    <xf numFmtId="0" fontId="41" fillId="35" borderId="0" applyNumberFormat="0" applyBorder="0" applyAlignment="0" applyProtection="0"/>
    <xf numFmtId="0" fontId="41" fillId="39" borderId="0" applyNumberFormat="0" applyBorder="0" applyAlignment="0" applyProtection="0"/>
    <xf numFmtId="0" fontId="42" fillId="20" borderId="0" applyNumberFormat="0" applyBorder="0" applyAlignment="0" applyProtection="0"/>
    <xf numFmtId="0" fontId="42" fillId="24" borderId="0" applyNumberFormat="0" applyBorder="0" applyAlignment="0" applyProtection="0"/>
    <xf numFmtId="0" fontId="42" fillId="28" borderId="0" applyNumberFormat="0" applyBorder="0" applyAlignment="0" applyProtection="0"/>
    <xf numFmtId="0" fontId="42" fillId="32" borderId="0" applyNumberFormat="0" applyBorder="0" applyAlignment="0" applyProtection="0"/>
    <xf numFmtId="0" fontId="42" fillId="36" borderId="0" applyNumberFormat="0" applyBorder="0" applyAlignment="0" applyProtection="0"/>
    <xf numFmtId="0" fontId="42" fillId="40" borderId="0" applyNumberFormat="0" applyBorder="0" applyAlignment="0" applyProtection="0"/>
    <xf numFmtId="37" fontId="43" fillId="0" borderId="0">
      <alignment horizontal="center"/>
    </xf>
    <xf numFmtId="0" fontId="42" fillId="17" borderId="0" applyNumberFormat="0" applyBorder="0" applyAlignment="0" applyProtection="0"/>
    <xf numFmtId="0" fontId="42" fillId="21" borderId="0" applyNumberFormat="0" applyBorder="0" applyAlignment="0" applyProtection="0"/>
    <xf numFmtId="0" fontId="42" fillId="25" borderId="0" applyNumberFormat="0" applyBorder="0" applyAlignment="0" applyProtection="0"/>
    <xf numFmtId="0" fontId="42" fillId="29" borderId="0" applyNumberFormat="0" applyBorder="0" applyAlignment="0" applyProtection="0"/>
    <xf numFmtId="0" fontId="42" fillId="33" borderId="0" applyNumberFormat="0" applyBorder="0" applyAlignment="0" applyProtection="0"/>
    <xf numFmtId="0" fontId="42" fillId="37" borderId="0" applyNumberFormat="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29" fillId="0" borderId="0" applyNumberFormat="0" applyAlignment="0"/>
    <xf numFmtId="195" fontId="9" fillId="44" borderId="30">
      <alignment horizontal="center" vertical="center"/>
    </xf>
    <xf numFmtId="0" fontId="44" fillId="0" borderId="0"/>
    <xf numFmtId="0" fontId="27" fillId="0" borderId="0">
      <alignment horizontal="center" wrapText="1"/>
      <protection locked="0"/>
    </xf>
    <xf numFmtId="0" fontId="8" fillId="0" borderId="0" applyNumberFormat="0" applyFill="0" applyBorder="0" applyAlignment="0" applyProtection="0"/>
    <xf numFmtId="0" fontId="45" fillId="0" borderId="0" applyNumberFormat="0" applyFill="0" applyBorder="0" applyAlignment="0" applyProtection="0"/>
    <xf numFmtId="0" fontId="8" fillId="0" borderId="31" applyNumberFormat="0" applyFill="0" applyBorder="0" applyAlignment="0" applyProtection="0"/>
    <xf numFmtId="0" fontId="46" fillId="0" borderId="31" applyNumberFormat="0" applyFill="0" applyBorder="0" applyAlignment="0" applyProtection="0"/>
    <xf numFmtId="0" fontId="47" fillId="0" borderId="31" applyNumberFormat="0" applyFill="0" applyBorder="0" applyAlignment="0" applyProtection="0"/>
    <xf numFmtId="0" fontId="29" fillId="0" borderId="31" applyNumberFormat="0" applyFill="0" applyAlignment="0" applyProtection="0"/>
    <xf numFmtId="0" fontId="48" fillId="0" borderId="32">
      <protection hidden="1"/>
    </xf>
    <xf numFmtId="0" fontId="49" fillId="45" borderId="32" applyNumberFormat="0" applyFont="0" applyBorder="0" applyAlignment="0" applyProtection="0">
      <protection hidden="1"/>
    </xf>
    <xf numFmtId="0" fontId="50" fillId="11" borderId="0" applyNumberFormat="0" applyBorder="0" applyAlignment="0" applyProtection="0"/>
    <xf numFmtId="0" fontId="51" fillId="0" borderId="0" applyFont="0" applyFill="0" applyBorder="0" applyAlignment="0" applyProtection="0"/>
    <xf numFmtId="196" fontId="27" fillId="0" borderId="0" applyFont="0" applyFill="0" applyBorder="0" applyAlignment="0" applyProtection="0"/>
    <xf numFmtId="0" fontId="52" fillId="0" borderId="0" applyNumberFormat="0" applyFill="0" applyBorder="0" applyAlignment="0" applyProtection="0"/>
    <xf numFmtId="0" fontId="26" fillId="0" borderId="0"/>
    <xf numFmtId="0" fontId="26" fillId="0" borderId="0"/>
    <xf numFmtId="0" fontId="26" fillId="0" borderId="0"/>
    <xf numFmtId="174" fontId="30" fillId="0" borderId="0"/>
    <xf numFmtId="0" fontId="30" fillId="0" borderId="0"/>
    <xf numFmtId="0" fontId="26" fillId="0" borderId="0"/>
    <xf numFmtId="0" fontId="30" fillId="0" borderId="0"/>
    <xf numFmtId="0" fontId="26" fillId="0" borderId="0">
      <alignment horizontal="right"/>
    </xf>
    <xf numFmtId="0" fontId="26" fillId="0" borderId="0">
      <alignment horizontal="right"/>
    </xf>
    <xf numFmtId="0" fontId="8" fillId="0" borderId="0">
      <alignment horizontal="right"/>
    </xf>
    <xf numFmtId="0" fontId="8" fillId="0" borderId="0">
      <alignment horizontal="right"/>
    </xf>
    <xf numFmtId="0" fontId="53" fillId="0" borderId="0" applyNumberFormat="0" applyFill="0" applyBorder="0" applyAlignment="0" applyProtection="0"/>
    <xf numFmtId="0" fontId="54" fillId="0" borderId="0" applyNumberFormat="0" applyFill="0" applyBorder="0" applyAlignment="0" applyProtection="0"/>
    <xf numFmtId="0" fontId="55" fillId="46" borderId="0" applyNumberFormat="0" applyFill="0" applyBorder="0" applyAlignment="0" applyProtection="0">
      <protection locked="0"/>
    </xf>
    <xf numFmtId="0" fontId="30" fillId="0" borderId="0" applyFont="0" applyFill="0" applyBorder="0" applyAlignment="0" applyProtection="0"/>
    <xf numFmtId="0" fontId="56" fillId="0" borderId="0" applyNumberFormat="0" applyFill="0" applyBorder="0" applyAlignment="0" applyProtection="0"/>
    <xf numFmtId="0" fontId="26" fillId="0" borderId="0"/>
    <xf numFmtId="0" fontId="30" fillId="0" borderId="0"/>
    <xf numFmtId="0" fontId="30" fillId="0" borderId="0"/>
    <xf numFmtId="197" fontId="30" fillId="0" borderId="0"/>
    <xf numFmtId="0" fontId="30" fillId="0" borderId="0"/>
    <xf numFmtId="7" fontId="57" fillId="0" borderId="0">
      <alignment horizontal="right"/>
      <protection locked="0"/>
    </xf>
    <xf numFmtId="0" fontId="58" fillId="0" borderId="0" applyNumberFormat="0" applyFill="0" applyBorder="0" applyAlignment="0" applyProtection="0"/>
    <xf numFmtId="0" fontId="59" fillId="0" borderId="0" applyBorder="0" applyProtection="0"/>
    <xf numFmtId="0" fontId="59" fillId="0" borderId="0"/>
    <xf numFmtId="0" fontId="60" fillId="0" borderId="0" applyNumberFormat="0" applyFill="0" applyBorder="0" applyAlignment="0" applyProtection="0"/>
    <xf numFmtId="37" fontId="61" fillId="0" borderId="0" applyNumberFormat="0" applyFill="0" applyBorder="0" applyAlignment="0" applyProtection="0">
      <protection locked="0"/>
    </xf>
    <xf numFmtId="0" fontId="8" fillId="0" borderId="0" applyNumberFormat="0"/>
    <xf numFmtId="0" fontId="62" fillId="0" borderId="1" applyNumberFormat="0" applyFill="0" applyAlignment="0" applyProtection="0"/>
    <xf numFmtId="37" fontId="61" fillId="0" borderId="0" applyNumberFormat="0" applyFill="0" applyBorder="0" applyAlignment="0" applyProtection="0">
      <protection locked="0"/>
    </xf>
    <xf numFmtId="0" fontId="63" fillId="46" borderId="6" applyNumberFormat="0" applyFill="0" applyBorder="0" applyAlignment="0" applyProtection="0">
      <protection locked="0"/>
    </xf>
    <xf numFmtId="0" fontId="63" fillId="46" borderId="6" applyNumberFormat="0" applyFill="0" applyBorder="0" applyAlignment="0" applyProtection="0">
      <protection locked="0"/>
    </xf>
    <xf numFmtId="0" fontId="63" fillId="46" borderId="6" applyNumberFormat="0" applyFill="0" applyBorder="0" applyAlignment="0" applyProtection="0">
      <protection locked="0"/>
    </xf>
    <xf numFmtId="5" fontId="64" fillId="0" borderId="2" applyAlignment="0" applyProtection="0"/>
    <xf numFmtId="0" fontId="27" fillId="0" borderId="33" applyNumberFormat="0" applyFont="0" applyFill="0" applyAlignment="0" applyProtection="0"/>
    <xf numFmtId="0" fontId="27" fillId="0" borderId="34" applyNumberFormat="0" applyFont="0" applyFill="0" applyAlignment="0" applyProtection="0"/>
    <xf numFmtId="5" fontId="64" fillId="0" borderId="2" applyAlignment="0" applyProtection="0"/>
    <xf numFmtId="0" fontId="8" fillId="0" borderId="35" applyFill="0" applyProtection="0">
      <alignment horizontal="right"/>
    </xf>
    <xf numFmtId="0" fontId="65" fillId="0" borderId="0" applyFont="0" applyFill="0" applyBorder="0" applyAlignment="0" applyProtection="0"/>
    <xf numFmtId="0" fontId="36" fillId="0" borderId="0" applyFont="0" applyFill="0" applyBorder="0" applyAlignment="0" applyProtection="0"/>
    <xf numFmtId="198" fontId="49" fillId="0" borderId="0" applyFill="0" applyBorder="0" applyAlignment="0"/>
    <xf numFmtId="0" fontId="52" fillId="0" borderId="0" applyFill="0" applyBorder="0" applyAlignment="0"/>
    <xf numFmtId="0" fontId="66" fillId="14" borderId="19" applyNumberFormat="0" applyAlignment="0" applyProtection="0"/>
    <xf numFmtId="0" fontId="67" fillId="47" borderId="0" applyNumberFormat="0" applyFont="0" applyBorder="0" applyAlignment="0">
      <alignment horizontal="left"/>
    </xf>
    <xf numFmtId="196" fontId="27" fillId="0" borderId="0" applyFill="0" applyBorder="0" applyProtection="0"/>
    <xf numFmtId="196" fontId="8" fillId="0" borderId="0" applyFont="0" applyFill="0" applyBorder="0" applyAlignment="0" applyProtection="0"/>
    <xf numFmtId="0" fontId="68" fillId="48" borderId="36"/>
    <xf numFmtId="0" fontId="69" fillId="0" borderId="0" applyFill="0" applyBorder="0" applyProtection="0">
      <alignment horizontal="center"/>
      <protection locked="0"/>
    </xf>
    <xf numFmtId="8" fontId="8" fillId="0" borderId="37" applyFont="0" applyFill="0" applyBorder="0" applyProtection="0">
      <alignment horizontal="right"/>
    </xf>
    <xf numFmtId="1" fontId="70" fillId="0" borderId="0"/>
    <xf numFmtId="0" fontId="71" fillId="49" borderId="0"/>
    <xf numFmtId="0" fontId="51" fillId="0" borderId="38" applyFont="0" applyFill="0" applyAlignment="0" applyProtection="0"/>
    <xf numFmtId="0" fontId="72" fillId="15" borderId="22" applyNumberFormat="0" applyAlignment="0" applyProtection="0"/>
    <xf numFmtId="3" fontId="49" fillId="0" borderId="0"/>
    <xf numFmtId="0" fontId="73" fillId="0" borderId="39" applyNumberFormat="0" applyFill="0" applyProtection="0">
      <alignment horizontal="center" vertical="center"/>
    </xf>
    <xf numFmtId="0" fontId="74" fillId="0" borderId="1" applyNumberFormat="0" applyFill="0" applyBorder="0" applyProtection="0">
      <alignment horizontal="right" vertical="center"/>
    </xf>
    <xf numFmtId="38" fontId="75" fillId="0" borderId="38"/>
    <xf numFmtId="0" fontId="76" fillId="0" borderId="0" applyNumberFormat="0" applyFill="0" applyBorder="0" applyProtection="0">
      <alignment horizontal="right"/>
    </xf>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41" fontId="8" fillId="0" borderId="0" applyFont="0" applyFill="0" applyBorder="0" applyAlignment="0" applyProtection="0"/>
    <xf numFmtId="0" fontId="8" fillId="0" borderId="0" applyFont="0" applyFill="0" applyBorder="0" applyAlignment="0" applyProtection="0"/>
    <xf numFmtId="199" fontId="51" fillId="0" borderId="0" applyFont="0" applyFill="0" applyBorder="0" applyAlignment="0" applyProtection="0">
      <alignment horizontal="right"/>
    </xf>
    <xf numFmtId="0" fontId="51" fillId="0" borderId="0" applyFont="0" applyFill="0" applyBorder="0" applyAlignment="0" applyProtection="0"/>
    <xf numFmtId="0" fontId="51" fillId="0" borderId="0" applyFont="0" applyFill="0" applyBorder="0" applyAlignment="0" applyProtection="0">
      <alignment horizontal="right"/>
    </xf>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51" fillId="0" borderId="0" applyFont="0" applyFill="0" applyBorder="0" applyAlignment="0" applyProtection="0">
      <alignment horizontal="right"/>
    </xf>
    <xf numFmtId="0" fontId="51" fillId="0" borderId="0" applyFont="0" applyFill="0" applyBorder="0" applyAlignment="0" applyProtection="0"/>
    <xf numFmtId="200" fontId="8" fillId="0" borderId="0" applyFont="0" applyFill="0" applyBorder="0" applyAlignment="0" applyProtection="0">
      <alignment horizontal="right"/>
    </xf>
    <xf numFmtId="43" fontId="25" fillId="0" borderId="0" applyFont="0" applyFill="0" applyBorder="0" applyAlignment="0" applyProtection="0"/>
    <xf numFmtId="43" fontId="8" fillId="0" borderId="0" applyFont="0" applyFill="0" applyBorder="0" applyAlignment="0" applyProtection="0"/>
    <xf numFmtId="0" fontId="51" fillId="0" borderId="0" applyFont="0" applyFill="0" applyBorder="0" applyAlignment="0" applyProtection="0"/>
    <xf numFmtId="43" fontId="16" fillId="0" borderId="0" applyFont="0" applyFill="0" applyBorder="0" applyAlignment="0" applyProtection="0"/>
    <xf numFmtId="40" fontId="8" fillId="0" borderId="0" applyFont="0" applyFill="0" applyBorder="0" applyProtection="0">
      <alignment horizontal="right"/>
    </xf>
    <xf numFmtId="37" fontId="27" fillId="0" borderId="0" applyFill="0" applyBorder="0" applyAlignment="0" applyProtection="0"/>
    <xf numFmtId="0" fontId="51" fillId="0" borderId="0" applyFont="0" applyFill="0" applyBorder="0" applyAlignment="0" applyProtection="0"/>
    <xf numFmtId="3" fontId="49" fillId="0" borderId="0" applyFont="0" applyFill="0" applyBorder="0" applyAlignment="0" applyProtection="0"/>
    <xf numFmtId="0" fontId="78" fillId="0" borderId="0"/>
    <xf numFmtId="0" fontId="79" fillId="0" borderId="0"/>
    <xf numFmtId="0" fontId="49" fillId="0" borderId="0" applyFont="0" applyFill="0" applyBorder="0" applyAlignment="0" applyProtection="0"/>
    <xf numFmtId="0" fontId="78" fillId="0" borderId="0"/>
    <xf numFmtId="0" fontId="79" fillId="0" borderId="0"/>
    <xf numFmtId="0" fontId="49" fillId="0" borderId="0" applyFont="0" applyFill="0" applyBorder="0" applyAlignment="0" applyProtection="0"/>
    <xf numFmtId="4" fontId="80" fillId="0" borderId="36" applyFont="0" applyFill="0" applyBorder="0" applyAlignment="0" applyProtection="0"/>
    <xf numFmtId="0" fontId="49" fillId="0" borderId="0" applyFont="0" applyFill="0" applyBorder="0" applyAlignment="0" applyProtection="0"/>
    <xf numFmtId="0" fontId="8" fillId="0" borderId="0" applyFont="0" applyFill="0" applyBorder="0" applyAlignment="0" applyProtection="0"/>
    <xf numFmtId="0" fontId="81" fillId="0" borderId="0" applyFill="0" applyBorder="0" applyAlignment="0" applyProtection="0">
      <protection locked="0"/>
    </xf>
    <xf numFmtId="0" fontId="82" fillId="0" borderId="0" applyFill="0" applyBorder="0">
      <alignment horizontal="left"/>
    </xf>
    <xf numFmtId="0" fontId="83" fillId="0" borderId="0" applyNumberFormat="0" applyAlignment="0">
      <alignment horizontal="left"/>
    </xf>
    <xf numFmtId="0" fontId="84" fillId="0" borderId="0">
      <alignment horizontal="left"/>
    </xf>
    <xf numFmtId="0" fontId="85" fillId="0" borderId="0"/>
    <xf numFmtId="0" fontId="86" fillId="0" borderId="0">
      <alignment horizontal="left"/>
    </xf>
    <xf numFmtId="0" fontId="59" fillId="0" borderId="0">
      <alignment horizontal="right"/>
    </xf>
    <xf numFmtId="6" fontId="37" fillId="0" borderId="0" applyFont="0" applyFill="0" applyBorder="0" applyAlignment="0" applyProtection="0"/>
    <xf numFmtId="0" fontId="58" fillId="0" borderId="0" applyFont="0" applyFill="0" applyBorder="0" applyAlignment="0" applyProtection="0"/>
    <xf numFmtId="0" fontId="29" fillId="0" borderId="0" applyFont="0" applyFill="0" applyBorder="0" applyAlignment="0"/>
    <xf numFmtId="8" fontId="87" fillId="0" borderId="40">
      <protection locked="0"/>
    </xf>
    <xf numFmtId="0" fontId="51" fillId="0" borderId="0" applyFont="0" applyFill="0" applyBorder="0" applyAlignment="0" applyProtection="0">
      <alignment horizontal="right"/>
    </xf>
    <xf numFmtId="44" fontId="25" fillId="0" borderId="0" applyFont="0" applyFill="0" applyBorder="0" applyAlignment="0" applyProtection="0"/>
    <xf numFmtId="0" fontId="51" fillId="0" borderId="0" applyFont="0" applyFill="0" applyBorder="0" applyAlignment="0" applyProtection="0">
      <alignment horizontal="right"/>
    </xf>
    <xf numFmtId="0" fontId="88" fillId="0" borderId="0" applyFont="0" applyFill="0" applyBorder="0" applyAlignment="0" applyProtection="0"/>
    <xf numFmtId="0" fontId="51" fillId="0" borderId="0" applyFill="0" applyBorder="0" applyProtection="0"/>
    <xf numFmtId="44" fontId="25" fillId="0" borderId="0" applyFont="0" applyFill="0" applyBorder="0" applyAlignment="0" applyProtection="0"/>
    <xf numFmtId="44" fontId="8" fillId="0" borderId="0" applyFont="0" applyFill="0" applyBorder="0" applyAlignment="0" applyProtection="0"/>
    <xf numFmtId="0" fontId="88" fillId="0" borderId="0" applyFont="0" applyFill="0" applyBorder="0" applyAlignment="0" applyProtection="0"/>
    <xf numFmtId="44" fontId="25" fillId="0" borderId="0" applyFont="0" applyFill="0" applyBorder="0" applyAlignment="0" applyProtection="0"/>
    <xf numFmtId="44" fontId="16" fillId="0" borderId="0" applyFont="0" applyFill="0" applyBorder="0" applyAlignment="0" applyProtection="0"/>
    <xf numFmtId="5" fontId="27" fillId="0" borderId="0" applyFill="0" applyBorder="0" applyAlignment="0" applyProtection="0"/>
    <xf numFmtId="0" fontId="51" fillId="0" borderId="0" applyFont="0" applyFill="0" applyBorder="0" applyAlignment="0" applyProtection="0"/>
    <xf numFmtId="37" fontId="49" fillId="0" borderId="0" applyFont="0" applyFill="0" applyBorder="0" applyAlignment="0" applyProtection="0"/>
    <xf numFmtId="0" fontId="49" fillId="0" borderId="0" applyFont="0" applyFill="0" applyBorder="0" applyAlignment="0" applyProtection="0"/>
    <xf numFmtId="0" fontId="89" fillId="0" borderId="0"/>
    <xf numFmtId="0" fontId="90" fillId="0" borderId="41" applyFont="0" applyFill="0" applyBorder="0" applyAlignment="0" applyProtection="0">
      <alignment horizontal="right"/>
    </xf>
    <xf numFmtId="0" fontId="49" fillId="0" borderId="0" applyFont="0" applyFill="0" applyBorder="0" applyAlignment="0" applyProtection="0"/>
    <xf numFmtId="0" fontId="36" fillId="0" borderId="0" applyFont="0" applyFill="0" applyBorder="0" applyAlignment="0" applyProtection="0"/>
    <xf numFmtId="201" fontId="91" fillId="50" borderId="0" applyNumberFormat="0">
      <alignment horizontal="right" indent="1"/>
    </xf>
    <xf numFmtId="15" fontId="46" fillId="0" borderId="0" applyFill="0" applyBorder="0" applyAlignment="0"/>
    <xf numFmtId="0" fontId="46" fillId="51" borderId="0" applyFont="0" applyFill="0" applyBorder="0" applyAlignment="0" applyProtection="0"/>
    <xf numFmtId="0" fontId="92" fillId="51" borderId="42" applyFont="0" applyFill="0" applyBorder="0" applyAlignment="0" applyProtection="0"/>
    <xf numFmtId="0" fontId="29" fillId="51" borderId="0" applyFont="0" applyFill="0" applyBorder="0" applyAlignment="0" applyProtection="0"/>
    <xf numFmtId="17" fontId="46" fillId="0" borderId="0" applyFill="0" applyBorder="0">
      <alignment horizontal="right"/>
    </xf>
    <xf numFmtId="14" fontId="27" fillId="0" borderId="0">
      <alignment horizontal="right"/>
    </xf>
    <xf numFmtId="14" fontId="27" fillId="0" borderId="0">
      <alignment horizontal="right"/>
    </xf>
    <xf numFmtId="14" fontId="27" fillId="0" borderId="0">
      <alignment horizontal="right"/>
    </xf>
    <xf numFmtId="14" fontId="27" fillId="0" borderId="0">
      <alignment horizontal="right"/>
    </xf>
    <xf numFmtId="202" fontId="51" fillId="0" borderId="0" applyFont="0" applyFill="0" applyBorder="0" applyAlignment="0" applyProtection="0"/>
    <xf numFmtId="0" fontId="51" fillId="0" borderId="0" applyFont="0" applyFill="0" applyBorder="0" applyAlignment="0" applyProtection="0"/>
    <xf numFmtId="0" fontId="8" fillId="0" borderId="0" applyFont="0" applyFill="0" applyBorder="0" applyAlignment="0" applyProtection="0"/>
    <xf numFmtId="14" fontId="8" fillId="0" borderId="0" applyFill="0" applyBorder="0" applyProtection="0">
      <alignment horizontal="center"/>
    </xf>
    <xf numFmtId="203" fontId="27" fillId="0" borderId="0">
      <alignment horizontal="right"/>
    </xf>
    <xf numFmtId="0" fontId="51" fillId="0" borderId="0" applyFill="0" applyBorder="0" applyProtection="0">
      <alignment horizontal="center"/>
    </xf>
    <xf numFmtId="14" fontId="9" fillId="0" borderId="10" applyFont="0">
      <alignment horizontal="right"/>
    </xf>
    <xf numFmtId="14" fontId="93" fillId="0" borderId="0">
      <alignment horizontal="right"/>
      <protection locked="0"/>
    </xf>
    <xf numFmtId="0" fontId="27" fillId="0" borderId="0"/>
    <xf numFmtId="14" fontId="8" fillId="0" borderId="0" applyFont="0" applyFill="0" applyBorder="0" applyAlignment="0" applyProtection="0">
      <alignment horizontal="center"/>
    </xf>
    <xf numFmtId="0" fontId="51" fillId="0" borderId="0" applyFont="0" applyFill="0" applyBorder="0" applyAlignment="0" applyProtection="0">
      <alignment horizontal="center"/>
    </xf>
    <xf numFmtId="0" fontId="51" fillId="0" borderId="2" applyFont="0" applyFill="0" applyBorder="0" applyAlignment="0" applyProtection="0">
      <alignment horizontal="center"/>
    </xf>
    <xf numFmtId="0" fontId="51" fillId="0" borderId="2" applyFont="0" applyFill="0" applyBorder="0" applyAlignment="0" applyProtection="0">
      <alignment horizontal="center"/>
    </xf>
    <xf numFmtId="204" fontId="27" fillId="0" borderId="0">
      <alignment horizontal="right"/>
    </xf>
    <xf numFmtId="205" fontId="27" fillId="0" borderId="0">
      <alignment horizontal="right"/>
    </xf>
    <xf numFmtId="206" fontId="27" fillId="0" borderId="0">
      <alignment horizontal="right"/>
    </xf>
    <xf numFmtId="207" fontId="94"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95" fillId="0" borderId="0">
      <protection locked="0"/>
    </xf>
    <xf numFmtId="38" fontId="27" fillId="46" borderId="0">
      <alignment horizontal="right"/>
    </xf>
    <xf numFmtId="38" fontId="27" fillId="0" borderId="0" applyNumberFormat="0"/>
    <xf numFmtId="0" fontId="59" fillId="0" borderId="0" applyBorder="0" applyProtection="0"/>
    <xf numFmtId="208" fontId="61" fillId="0" borderId="0" applyFill="0" applyBorder="0" applyProtection="0"/>
    <xf numFmtId="6" fontId="27" fillId="0" borderId="0" applyFill="0" applyBorder="0" applyProtection="0"/>
    <xf numFmtId="8" fontId="27" fillId="0" borderId="0" applyFont="0" applyFill="0" applyBorder="0" applyAlignment="0" applyProtection="0"/>
    <xf numFmtId="5" fontId="52" fillId="0" borderId="0" applyFont="0" applyFill="0" applyBorder="0" applyAlignment="0" applyProtection="0">
      <protection locked="0"/>
    </xf>
    <xf numFmtId="6" fontId="27" fillId="0" borderId="0" applyFont="0" applyFill="0" applyBorder="0" applyAlignment="0" applyProtection="0"/>
    <xf numFmtId="209" fontId="51" fillId="0" borderId="43" applyNumberFormat="0" applyFont="0" applyFill="0" applyAlignment="0" applyProtection="0"/>
    <xf numFmtId="42" fontId="96" fillId="0" borderId="0" applyFill="0" applyBorder="0" applyAlignment="0" applyProtection="0"/>
    <xf numFmtId="0" fontId="33" fillId="46" borderId="0">
      <alignment horizontal="right" vertical="center"/>
    </xf>
    <xf numFmtId="174" fontId="97" fillId="52" borderId="44" applyNumberFormat="0" applyAlignment="0" applyProtection="0">
      <alignment vertical="top"/>
    </xf>
    <xf numFmtId="0" fontId="98" fillId="0" borderId="0">
      <protection locked="0"/>
    </xf>
    <xf numFmtId="0" fontId="98" fillId="0" borderId="0">
      <protection locked="0"/>
    </xf>
    <xf numFmtId="0" fontId="99" fillId="0" borderId="0" applyNumberFormat="0" applyAlignment="0">
      <alignment horizontal="left"/>
    </xf>
    <xf numFmtId="0" fontId="100" fillId="0" borderId="0"/>
    <xf numFmtId="174" fontId="100" fillId="0" borderId="0"/>
    <xf numFmtId="210" fontId="59" fillId="0" borderId="0"/>
    <xf numFmtId="0" fontId="8" fillId="0" borderId="0" applyFont="0" applyFill="0" applyBorder="0" applyAlignment="0" applyProtection="0"/>
    <xf numFmtId="0" fontId="101" fillId="0" borderId="0" applyNumberFormat="0" applyFill="0" applyBorder="0" applyAlignment="0" applyProtection="0"/>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3" fontId="102" fillId="0" borderId="0" applyNumberFormat="0" applyFont="0" applyFill="0" applyBorder="0" applyAlignment="0" applyProtection="0">
      <alignment horizontal="left"/>
    </xf>
    <xf numFmtId="0" fontId="95" fillId="0" borderId="0">
      <protection locked="0"/>
    </xf>
    <xf numFmtId="0" fontId="95" fillId="0" borderId="0">
      <protection locked="0"/>
    </xf>
    <xf numFmtId="0" fontId="8" fillId="0" borderId="0">
      <protection locked="0"/>
    </xf>
    <xf numFmtId="1" fontId="49" fillId="0" borderId="0" applyFont="0" applyFill="0" applyBorder="0" applyAlignment="0" applyProtection="0"/>
    <xf numFmtId="0" fontId="103" fillId="0" borderId="0">
      <alignment horizontal="left"/>
    </xf>
    <xf numFmtId="0" fontId="104" fillId="0" borderId="0">
      <alignment horizontal="left"/>
    </xf>
    <xf numFmtId="0" fontId="105" fillId="0" borderId="0" applyFill="0" applyBorder="0" applyProtection="0">
      <alignment horizontal="left"/>
    </xf>
    <xf numFmtId="0" fontId="105" fillId="0" borderId="0" applyNumberFormat="0" applyFill="0" applyBorder="0" applyProtection="0">
      <alignment horizontal="left"/>
    </xf>
    <xf numFmtId="0" fontId="105" fillId="0" borderId="0">
      <alignment horizontal="left"/>
    </xf>
    <xf numFmtId="0" fontId="29" fillId="46" borderId="36" applyFont="0" applyBorder="0" applyAlignment="0" applyProtection="0">
      <alignment vertical="top"/>
    </xf>
    <xf numFmtId="0" fontId="8" fillId="0" borderId="0" applyBorder="0" applyProtection="0"/>
    <xf numFmtId="211" fontId="8" fillId="0" borderId="32" applyFont="0" applyFill="0" applyBorder="0" applyAlignment="0" applyProtection="0"/>
    <xf numFmtId="174" fontId="49" fillId="0" borderId="0" applyFont="0" applyFill="0" applyBorder="0" applyAlignment="0" applyProtection="0"/>
    <xf numFmtId="211" fontId="8" fillId="0" borderId="45" applyFont="0" applyFill="0" applyBorder="0" applyAlignment="0" applyProtection="0"/>
    <xf numFmtId="0" fontId="106" fillId="53" borderId="46" applyNumberFormat="0" applyBorder="0" applyProtection="0">
      <alignment horizontal="right" vertical="center"/>
    </xf>
    <xf numFmtId="196" fontId="27" fillId="0" borderId="0" applyFill="0" applyBorder="0" applyAlignment="0" applyProtection="0">
      <protection locked="0"/>
    </xf>
    <xf numFmtId="0" fontId="107" fillId="10" borderId="0" applyNumberFormat="0" applyBorder="0" applyAlignment="0" applyProtection="0"/>
    <xf numFmtId="37" fontId="9" fillId="0" borderId="47"/>
    <xf numFmtId="38" fontId="29" fillId="52" borderId="0" applyNumberFormat="0" applyBorder="0" applyAlignment="0" applyProtection="0"/>
    <xf numFmtId="0" fontId="51" fillId="0" borderId="0" applyNumberFormat="0" applyAlignment="0"/>
    <xf numFmtId="10" fontId="27" fillId="46" borderId="0" applyFill="0" applyAlignment="0">
      <alignment horizontal="right"/>
    </xf>
    <xf numFmtId="0" fontId="51" fillId="0" borderId="0" applyFill="0" applyBorder="0" applyAlignment="0" applyProtection="0"/>
    <xf numFmtId="212" fontId="51" fillId="0" borderId="0" applyAlignment="0">
      <alignment horizontal="left"/>
      <protection locked="0"/>
    </xf>
    <xf numFmtId="213" fontId="94" fillId="46" borderId="0" applyAlignment="0">
      <alignment horizontal="right"/>
    </xf>
    <xf numFmtId="0" fontId="51" fillId="0" borderId="0" applyFont="0" applyFill="0" applyBorder="0" applyAlignment="0" applyProtection="0">
      <alignment horizontal="right"/>
    </xf>
    <xf numFmtId="0" fontId="108" fillId="50" borderId="0"/>
    <xf numFmtId="0" fontId="109" fillId="54" borderId="0" applyNumberFormat="0" applyBorder="0" applyProtection="0">
      <alignment horizontal="left" vertical="center"/>
    </xf>
    <xf numFmtId="0" fontId="110" fillId="1" borderId="0" applyNumberFormat="0" applyBorder="0" applyProtection="0">
      <alignment horizontal="left" vertical="center"/>
    </xf>
    <xf numFmtId="0" fontId="111" fillId="0" borderId="0" applyProtection="0">
      <alignment horizontal="right"/>
    </xf>
    <xf numFmtId="0" fontId="112" fillId="0" borderId="0">
      <alignment horizontal="left"/>
    </xf>
    <xf numFmtId="0" fontId="112" fillId="0" borderId="0">
      <alignment horizontal="left"/>
    </xf>
    <xf numFmtId="0" fontId="113" fillId="0" borderId="48" applyNumberFormat="0" applyAlignment="0" applyProtection="0">
      <alignment horizontal="left" vertical="center"/>
    </xf>
    <xf numFmtId="0" fontId="113" fillId="0" borderId="10">
      <alignment horizontal="left" vertical="center"/>
    </xf>
    <xf numFmtId="0" fontId="114" fillId="0" borderId="1">
      <alignment horizontal="center"/>
    </xf>
    <xf numFmtId="0" fontId="115" fillId="0" borderId="16" applyNumberFormat="0" applyFill="0" applyAlignment="0" applyProtection="0"/>
    <xf numFmtId="0" fontId="116" fillId="0" borderId="0">
      <alignment horizontal="left"/>
    </xf>
    <xf numFmtId="0" fontId="117" fillId="0" borderId="7">
      <alignment horizontal="left" vertical="top"/>
    </xf>
    <xf numFmtId="0" fontId="117" fillId="0" borderId="7">
      <alignment horizontal="left" vertical="top"/>
    </xf>
    <xf numFmtId="0" fontId="117" fillId="0" borderId="7">
      <alignment horizontal="left" vertical="top"/>
    </xf>
    <xf numFmtId="0" fontId="117" fillId="0" borderId="7">
      <alignment horizontal="left" vertical="top"/>
    </xf>
    <xf numFmtId="0" fontId="118" fillId="0" borderId="17" applyNumberFormat="0" applyFill="0" applyAlignment="0" applyProtection="0"/>
    <xf numFmtId="0" fontId="119" fillId="0" borderId="0">
      <alignment horizontal="left"/>
    </xf>
    <xf numFmtId="0" fontId="120" fillId="0" borderId="7">
      <alignment horizontal="left" vertical="top"/>
    </xf>
    <xf numFmtId="0" fontId="120" fillId="0" borderId="7">
      <alignment horizontal="left" vertical="top"/>
    </xf>
    <xf numFmtId="0" fontId="120" fillId="0" borderId="7">
      <alignment horizontal="left" vertical="top"/>
    </xf>
    <xf numFmtId="0" fontId="120" fillId="0" borderId="7">
      <alignment horizontal="left" vertical="top"/>
    </xf>
    <xf numFmtId="0" fontId="121" fillId="0" borderId="18" applyNumberFormat="0" applyFill="0" applyAlignment="0" applyProtection="0"/>
    <xf numFmtId="0" fontId="122" fillId="0" borderId="0">
      <alignment horizontal="left"/>
    </xf>
    <xf numFmtId="0" fontId="121" fillId="0" borderId="0" applyNumberFormat="0" applyFill="0" applyBorder="0" applyAlignment="0" applyProtection="0"/>
    <xf numFmtId="0" fontId="69" fillId="0" borderId="0" applyFill="0" applyAlignment="0" applyProtection="0">
      <protection locked="0"/>
    </xf>
    <xf numFmtId="0" fontId="69" fillId="0" borderId="1" applyFill="0" applyAlignment="0" applyProtection="0">
      <protection locked="0"/>
    </xf>
    <xf numFmtId="214" fontId="8" fillId="0" borderId="0">
      <protection locked="0"/>
    </xf>
    <xf numFmtId="214" fontId="8" fillId="0" borderId="0">
      <protection locked="0"/>
    </xf>
    <xf numFmtId="0" fontId="123" fillId="0" borderId="33">
      <alignment horizontal="center"/>
    </xf>
    <xf numFmtId="0" fontId="123" fillId="0" borderId="0">
      <alignment horizontal="center"/>
    </xf>
    <xf numFmtId="0" fontId="9" fillId="55" borderId="0" applyNumberFormat="0" applyBorder="0" applyProtection="0">
      <alignment wrapText="1"/>
    </xf>
    <xf numFmtId="0" fontId="8" fillId="0" borderId="0" applyNumberFormat="0" applyFill="0" applyBorder="0" applyProtection="0">
      <alignment wrapText="1"/>
    </xf>
    <xf numFmtId="0" fontId="8" fillId="0" borderId="0" applyNumberFormat="0" applyFill="0" applyBorder="0" applyProtection="0">
      <alignment horizontal="justify" vertical="top" wrapText="1"/>
    </xf>
    <xf numFmtId="0" fontId="58" fillId="0" borderId="49" applyNumberFormat="0" applyFill="0" applyAlignment="0" applyProtection="0"/>
    <xf numFmtId="0" fontId="124" fillId="0" borderId="0" applyNumberFormat="0" applyFill="0" applyBorder="0" applyAlignment="0" applyProtection="0">
      <alignment vertical="top"/>
      <protection locked="0"/>
    </xf>
    <xf numFmtId="0" fontId="125" fillId="0" borderId="0" applyNumberFormat="0" applyFill="0" applyBorder="0" applyAlignment="0" applyProtection="0">
      <alignment vertical="top"/>
      <protection locked="0"/>
    </xf>
    <xf numFmtId="0" fontId="126" fillId="0" borderId="0" applyNumberFormat="0" applyFill="0" applyBorder="0" applyAlignment="0" applyProtection="0">
      <alignment vertical="top"/>
      <protection locked="0"/>
    </xf>
    <xf numFmtId="0" fontId="51" fillId="0" borderId="0" applyFont="0" applyFill="0" applyBorder="0" applyAlignment="0" applyProtection="0"/>
    <xf numFmtId="38" fontId="27" fillId="0" borderId="0" applyNumberFormat="0"/>
    <xf numFmtId="215" fontId="51" fillId="0" borderId="0" applyFont="0" applyFill="0" applyBorder="0" applyAlignment="0" applyProtection="0"/>
    <xf numFmtId="0" fontId="51" fillId="0" borderId="0" applyFont="0" applyFill="0" applyBorder="0" applyAlignment="0" applyProtection="0"/>
    <xf numFmtId="0" fontId="27" fillId="0" borderId="0" applyFill="0"/>
    <xf numFmtId="40" fontId="27" fillId="0" borderId="0" applyFont="0" applyFill="0" applyBorder="0" applyAlignment="0" applyProtection="0">
      <alignment horizontal="right"/>
    </xf>
    <xf numFmtId="10" fontId="29" fillId="51" borderId="36" applyNumberFormat="0" applyBorder="0" applyAlignment="0" applyProtection="0"/>
    <xf numFmtId="0" fontId="127" fillId="13" borderId="19" applyNumberFormat="0" applyAlignment="0" applyProtection="0"/>
    <xf numFmtId="0" fontId="127" fillId="13" borderId="19" applyNumberFormat="0" applyAlignment="0" applyProtection="0"/>
    <xf numFmtId="0" fontId="127" fillId="13" borderId="19" applyNumberFormat="0" applyAlignment="0" applyProtection="0"/>
    <xf numFmtId="0" fontId="127" fillId="13" borderId="19" applyNumberFormat="0" applyAlignment="0" applyProtection="0"/>
    <xf numFmtId="174" fontId="80" fillId="0" borderId="36" applyNumberFormat="0" applyFill="0" applyAlignment="0" applyProtection="0"/>
    <xf numFmtId="0" fontId="88" fillId="0" borderId="0" applyFill="0" applyBorder="0" applyProtection="0"/>
    <xf numFmtId="0" fontId="88" fillId="0" borderId="0" applyFill="0" applyBorder="0" applyProtection="0"/>
    <xf numFmtId="0" fontId="29" fillId="0" borderId="0" applyFill="0" applyBorder="0" applyProtection="0"/>
    <xf numFmtId="0" fontId="88" fillId="0" borderId="0" applyFill="0" applyBorder="0" applyProtection="0"/>
    <xf numFmtId="0" fontId="88" fillId="0" borderId="0" applyFill="0" applyBorder="0" applyProtection="0"/>
    <xf numFmtId="0" fontId="30" fillId="51" borderId="0" applyNumberFormat="0" applyFont="0" applyBorder="0" applyAlignment="0" applyProtection="0">
      <alignment horizontal="center"/>
      <protection locked="0"/>
    </xf>
    <xf numFmtId="174" fontId="29" fillId="51" borderId="1" applyNumberFormat="0" applyFont="0" applyAlignment="0" applyProtection="0">
      <alignment horizontal="center"/>
      <protection locked="0"/>
    </xf>
    <xf numFmtId="0" fontId="128" fillId="0" borderId="0" applyFill="0" applyBorder="0" applyProtection="0">
      <alignment vertical="center"/>
    </xf>
    <xf numFmtId="0" fontId="128" fillId="0" borderId="0" applyFill="0" applyBorder="0" applyProtection="0">
      <alignment vertical="center"/>
    </xf>
    <xf numFmtId="0" fontId="128" fillId="0" borderId="0" applyFill="0" applyBorder="0" applyProtection="0">
      <alignment vertical="center"/>
    </xf>
    <xf numFmtId="194" fontId="8" fillId="0" borderId="0" applyFill="0" applyBorder="0" applyProtection="0">
      <alignment vertical="center"/>
    </xf>
    <xf numFmtId="38" fontId="58" fillId="0" borderId="0"/>
    <xf numFmtId="0" fontId="30" fillId="0" borderId="0"/>
    <xf numFmtId="1" fontId="129" fillId="1" borderId="25">
      <protection locked="0"/>
    </xf>
    <xf numFmtId="0" fontId="130" fillId="0" borderId="0" applyNumberFormat="0" applyFill="0" applyBorder="0" applyProtection="0">
      <alignment horizontal="left" vertical="center"/>
    </xf>
    <xf numFmtId="0" fontId="27" fillId="0" borderId="0">
      <alignment horizontal="left"/>
    </xf>
    <xf numFmtId="0" fontId="131" fillId="0" borderId="0"/>
    <xf numFmtId="3" fontId="9" fillId="0" borderId="47">
      <alignment horizontal="right"/>
    </xf>
    <xf numFmtId="37" fontId="132" fillId="0" borderId="0" applyNumberFormat="0" applyFill="0" applyBorder="0" applyAlignment="0" applyProtection="0">
      <alignment horizontal="right"/>
    </xf>
    <xf numFmtId="0" fontId="133" fillId="0" borderId="21" applyNumberFormat="0" applyFill="0" applyAlignment="0" applyProtection="0"/>
    <xf numFmtId="216" fontId="94" fillId="0" borderId="0" applyFill="0" applyBorder="0" applyAlignment="0" applyProtection="0"/>
    <xf numFmtId="0" fontId="37" fillId="0" borderId="0">
      <alignment horizontal="left"/>
    </xf>
    <xf numFmtId="0" fontId="134" fillId="0" borderId="32">
      <alignment horizontal="left"/>
      <protection locked="0"/>
    </xf>
    <xf numFmtId="38" fontId="27" fillId="0" borderId="0" applyNumberFormat="0"/>
    <xf numFmtId="6" fontId="27" fillId="0" borderId="0" applyAlignment="0">
      <alignment horizontal="left"/>
    </xf>
    <xf numFmtId="0" fontId="51" fillId="0" borderId="0" applyFill="0" applyBorder="0" applyAlignment="0" applyProtection="0"/>
    <xf numFmtId="196" fontId="61" fillId="0" borderId="0"/>
    <xf numFmtId="0" fontId="27" fillId="0" borderId="0"/>
    <xf numFmtId="196" fontId="27" fillId="0" borderId="0" applyNumberFormat="0">
      <protection locked="0"/>
    </xf>
    <xf numFmtId="0" fontId="135" fillId="0" borderId="0" applyBorder="0"/>
    <xf numFmtId="0" fontId="8" fillId="0" borderId="0" applyFont="0" applyFill="0" applyBorder="0" applyAlignment="0" applyProtection="0"/>
    <xf numFmtId="0" fontId="8" fillId="0" borderId="0" applyFont="0" applyFill="0" applyBorder="0" applyAlignment="0" applyProtection="0"/>
    <xf numFmtId="21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18" fontId="8" fillId="0" borderId="0" applyFont="0" applyFill="0" applyBorder="0" applyAlignment="0" applyProtection="0"/>
    <xf numFmtId="219" fontId="8" fillId="0" borderId="0" applyFont="0" applyFill="0" applyBorder="0" applyAlignment="0" applyProtection="0"/>
    <xf numFmtId="0" fontId="51" fillId="0" borderId="0" applyFont="0" applyFill="0" applyBorder="0" applyAlignment="0" applyProtection="0">
      <alignment horizontal="right"/>
    </xf>
    <xf numFmtId="40" fontId="27" fillId="0" borderId="0" applyFill="0" applyBorder="0" applyAlignment="0" applyProtection="0">
      <alignment horizontal="left"/>
    </xf>
    <xf numFmtId="220" fontId="29" fillId="0" borderId="0" applyFill="0" applyBorder="0" applyProtection="0">
      <alignment horizontal="right"/>
    </xf>
    <xf numFmtId="0" fontId="59" fillId="0" borderId="0"/>
    <xf numFmtId="0" fontId="51" fillId="0" borderId="0" applyFont="0" applyFill="0" applyBorder="0" applyAlignment="0" applyProtection="0">
      <alignment horizontal="right"/>
    </xf>
    <xf numFmtId="0" fontId="8" fillId="0" borderId="0">
      <alignment horizontal="center"/>
    </xf>
    <xf numFmtId="0" fontId="8" fillId="0" borderId="0" applyNumberFormat="0" applyFont="0" applyFill="0" applyBorder="0" applyAlignment="0" applyProtection="0"/>
    <xf numFmtId="2" fontId="8" fillId="0" borderId="0" applyFont="0" applyFill="0" applyAlignment="0" applyProtection="0">
      <alignment horizontal="center"/>
    </xf>
    <xf numFmtId="0" fontId="136" fillId="12" borderId="0" applyNumberFormat="0" applyBorder="0" applyAlignment="0" applyProtection="0"/>
    <xf numFmtId="37" fontId="137" fillId="0" borderId="0"/>
    <xf numFmtId="182" fontId="138" fillId="0" borderId="0"/>
    <xf numFmtId="0" fontId="8" fillId="0" borderId="0"/>
    <xf numFmtId="221" fontId="8" fillId="0" borderId="0"/>
    <xf numFmtId="222" fontId="139" fillId="0" borderId="0"/>
    <xf numFmtId="0" fontId="51" fillId="0" borderId="0" applyFill="0" applyBorder="0" applyProtection="0"/>
    <xf numFmtId="0" fontId="8" fillId="0" borderId="0"/>
    <xf numFmtId="0" fontId="16" fillId="0" borderId="0"/>
    <xf numFmtId="0" fontId="16" fillId="0" borderId="0"/>
    <xf numFmtId="0" fontId="41" fillId="0" borderId="0"/>
    <xf numFmtId="0" fontId="41" fillId="0" borderId="0"/>
    <xf numFmtId="0" fontId="41" fillId="0" borderId="0"/>
    <xf numFmtId="0" fontId="41" fillId="0" borderId="0"/>
    <xf numFmtId="0" fontId="16" fillId="0" borderId="0"/>
    <xf numFmtId="0" fontId="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16" fillId="0" borderId="0"/>
    <xf numFmtId="0" fontId="16" fillId="0" borderId="0"/>
    <xf numFmtId="0" fontId="16" fillId="0" borderId="0"/>
    <xf numFmtId="0" fontId="16" fillId="0" borderId="0"/>
    <xf numFmtId="0" fontId="16" fillId="0" borderId="0"/>
    <xf numFmtId="0" fontId="51" fillId="0" borderId="0" applyFill="0" applyBorder="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0" fillId="0" borderId="0"/>
    <xf numFmtId="0" fontId="16" fillId="0" borderId="0"/>
    <xf numFmtId="0" fontId="16" fillId="0" borderId="0"/>
    <xf numFmtId="0" fontId="16" fillId="0" borderId="0"/>
    <xf numFmtId="0" fontId="8" fillId="0" borderId="0"/>
    <xf numFmtId="0" fontId="8" fillId="0" borderId="0"/>
    <xf numFmtId="0" fontId="16" fillId="0" borderId="0"/>
    <xf numFmtId="0" fontId="8" fillId="0" borderId="0"/>
    <xf numFmtId="0" fontId="8" fillId="0" borderId="0"/>
    <xf numFmtId="0" fontId="29" fillId="0" borderId="0"/>
    <xf numFmtId="0" fontId="16" fillId="0" borderId="0"/>
    <xf numFmtId="0" fontId="25" fillId="0" borderId="0"/>
    <xf numFmtId="0" fontId="25" fillId="0" borderId="0"/>
    <xf numFmtId="0" fontId="8" fillId="0" borderId="0"/>
    <xf numFmtId="0" fontId="8" fillId="0" borderId="0"/>
    <xf numFmtId="0" fontId="30" fillId="0" borderId="0" applyProtection="0"/>
    <xf numFmtId="223" fontId="8" fillId="0" borderId="0" applyFill="0" applyBorder="0" applyProtection="0">
      <alignment vertical="center"/>
    </xf>
    <xf numFmtId="0" fontId="140" fillId="0" borderId="0" applyNumberFormat="0" applyFont="0" applyFill="0" applyBorder="0" applyAlignment="0" applyProtection="0"/>
    <xf numFmtId="0" fontId="119" fillId="0" borderId="0"/>
    <xf numFmtId="0" fontId="141" fillId="0" borderId="0" applyFill="0" applyBorder="0" applyAlignment="0" applyProtection="0"/>
    <xf numFmtId="37" fontId="142" fillId="0" borderId="0" applyNumberFormat="0" applyFont="0" applyFill="0" applyBorder="0" applyAlignment="0" applyProtection="0"/>
    <xf numFmtId="0" fontId="16" fillId="16" borderId="23" applyNumberFormat="0" applyFont="0" applyAlignment="0" applyProtection="0"/>
    <xf numFmtId="0" fontId="41" fillId="16" borderId="23" applyNumberFormat="0" applyFont="0" applyAlignment="0" applyProtection="0"/>
    <xf numFmtId="0" fontId="143" fillId="0" borderId="32"/>
    <xf numFmtId="39" fontId="144" fillId="0" borderId="0"/>
    <xf numFmtId="1" fontId="46" fillId="0" borderId="0" applyFont="0" applyFill="0" applyBorder="0" applyAlignment="0" applyProtection="0">
      <protection locked="0"/>
    </xf>
    <xf numFmtId="4" fontId="29" fillId="0" borderId="0"/>
    <xf numFmtId="0" fontId="30" fillId="0" borderId="0" applyFont="0" applyFill="0" applyBorder="0" applyAlignment="0" applyProtection="0"/>
    <xf numFmtId="0" fontId="30" fillId="0" borderId="0" applyFont="0" applyFill="0" applyBorder="0" applyAlignment="0" applyProtection="0"/>
    <xf numFmtId="0" fontId="59" fillId="0" borderId="0" applyBorder="0" applyProtection="0"/>
    <xf numFmtId="0" fontId="145" fillId="0" borderId="0">
      <alignment horizontal="left"/>
    </xf>
    <xf numFmtId="0" fontId="146" fillId="14" borderId="20" applyNumberFormat="0" applyAlignment="0" applyProtection="0"/>
    <xf numFmtId="224" fontId="52" fillId="53" borderId="0" applyBorder="0">
      <alignment horizontal="right"/>
    </xf>
    <xf numFmtId="0" fontId="147" fillId="0" borderId="0"/>
    <xf numFmtId="37" fontId="29" fillId="0" borderId="0" applyBorder="0">
      <protection locked="0"/>
    </xf>
    <xf numFmtId="0" fontId="147" fillId="0" borderId="0"/>
    <xf numFmtId="0" fontId="147" fillId="0" borderId="0"/>
    <xf numFmtId="0" fontId="147" fillId="0" borderId="0"/>
    <xf numFmtId="225" fontId="147" fillId="0" borderId="0"/>
    <xf numFmtId="0" fontId="147" fillId="0" borderId="0"/>
    <xf numFmtId="0" fontId="147" fillId="0" borderId="0"/>
    <xf numFmtId="0" fontId="147" fillId="0" borderId="0"/>
    <xf numFmtId="225" fontId="147" fillId="0" borderId="0"/>
    <xf numFmtId="225" fontId="147" fillId="0" borderId="0"/>
    <xf numFmtId="225" fontId="147" fillId="0" borderId="0"/>
    <xf numFmtId="0" fontId="147" fillId="0" borderId="0"/>
    <xf numFmtId="0" fontId="147" fillId="0" borderId="0"/>
    <xf numFmtId="0" fontId="147" fillId="0" borderId="0"/>
    <xf numFmtId="225" fontId="147" fillId="0" borderId="0"/>
    <xf numFmtId="0" fontId="147" fillId="0" borderId="0"/>
    <xf numFmtId="0" fontId="147" fillId="0" borderId="0"/>
    <xf numFmtId="0" fontId="147" fillId="0" borderId="0"/>
    <xf numFmtId="225" fontId="147" fillId="0" borderId="0"/>
    <xf numFmtId="225" fontId="147" fillId="0" borderId="0"/>
    <xf numFmtId="225" fontId="147" fillId="0" borderId="0"/>
    <xf numFmtId="0" fontId="27" fillId="0" borderId="0"/>
    <xf numFmtId="0" fontId="27" fillId="0" borderId="0"/>
    <xf numFmtId="0" fontId="27" fillId="0" borderId="0"/>
    <xf numFmtId="225" fontId="27" fillId="0" borderId="0"/>
    <xf numFmtId="0" fontId="27" fillId="0" borderId="0"/>
    <xf numFmtId="0" fontId="27" fillId="0" borderId="0"/>
    <xf numFmtId="0" fontId="27" fillId="0" borderId="0"/>
    <xf numFmtId="225" fontId="27" fillId="0" borderId="0"/>
    <xf numFmtId="225" fontId="27" fillId="0" borderId="0"/>
    <xf numFmtId="225" fontId="27" fillId="0" borderId="0"/>
    <xf numFmtId="0" fontId="30" fillId="0" borderId="0"/>
    <xf numFmtId="0" fontId="30" fillId="0" borderId="0"/>
    <xf numFmtId="0" fontId="30" fillId="0" borderId="0"/>
    <xf numFmtId="226" fontId="30" fillId="0" borderId="0"/>
    <xf numFmtId="0" fontId="30" fillId="0" borderId="0"/>
    <xf numFmtId="0" fontId="30" fillId="0" borderId="0"/>
    <xf numFmtId="0" fontId="30" fillId="0" borderId="0"/>
    <xf numFmtId="226" fontId="30" fillId="0" borderId="0"/>
    <xf numFmtId="226" fontId="30" fillId="0" borderId="0"/>
    <xf numFmtId="226" fontId="30" fillId="0" borderId="0"/>
    <xf numFmtId="0" fontId="147" fillId="0" borderId="0"/>
    <xf numFmtId="0" fontId="147" fillId="0" borderId="0"/>
    <xf numFmtId="0" fontId="147" fillId="0" borderId="0"/>
    <xf numFmtId="225" fontId="147" fillId="0" borderId="0"/>
    <xf numFmtId="0" fontId="147" fillId="0" borderId="0"/>
    <xf numFmtId="0" fontId="147" fillId="0" borderId="0"/>
    <xf numFmtId="0" fontId="147" fillId="0" borderId="0"/>
    <xf numFmtId="225" fontId="147" fillId="0" borderId="0"/>
    <xf numFmtId="225" fontId="147" fillId="0" borderId="0"/>
    <xf numFmtId="225" fontId="147" fillId="0" borderId="0"/>
    <xf numFmtId="0" fontId="30" fillId="0" borderId="0"/>
    <xf numFmtId="0" fontId="30" fillId="0" borderId="0"/>
    <xf numFmtId="0" fontId="30" fillId="0" borderId="0"/>
    <xf numFmtId="0" fontId="30" fillId="0" borderId="0"/>
    <xf numFmtId="226" fontId="30" fillId="0" borderId="0"/>
    <xf numFmtId="0" fontId="30" fillId="0" borderId="0"/>
    <xf numFmtId="0" fontId="30" fillId="0" borderId="0"/>
    <xf numFmtId="0" fontId="30" fillId="0" borderId="0"/>
    <xf numFmtId="226" fontId="30" fillId="0" borderId="0"/>
    <xf numFmtId="226" fontId="30" fillId="0" borderId="0"/>
    <xf numFmtId="226" fontId="30" fillId="0" borderId="0"/>
    <xf numFmtId="0" fontId="30" fillId="0" borderId="0"/>
    <xf numFmtId="0" fontId="30" fillId="0" borderId="0"/>
    <xf numFmtId="0" fontId="30" fillId="0" borderId="0"/>
    <xf numFmtId="226" fontId="30" fillId="0" borderId="0"/>
    <xf numFmtId="0" fontId="30" fillId="0" borderId="0"/>
    <xf numFmtId="0" fontId="30" fillId="0" borderId="0"/>
    <xf numFmtId="0" fontId="30" fillId="0" borderId="0"/>
    <xf numFmtId="226" fontId="30" fillId="0" borderId="0"/>
    <xf numFmtId="226" fontId="30" fillId="0" borderId="0"/>
    <xf numFmtId="226" fontId="30" fillId="0" borderId="0"/>
    <xf numFmtId="0" fontId="30" fillId="0" borderId="0"/>
    <xf numFmtId="0" fontId="30" fillId="0" borderId="0"/>
    <xf numFmtId="0" fontId="30" fillId="0" borderId="0"/>
    <xf numFmtId="226" fontId="30" fillId="0" borderId="0"/>
    <xf numFmtId="0" fontId="30" fillId="0" borderId="0"/>
    <xf numFmtId="0" fontId="30" fillId="0" borderId="0"/>
    <xf numFmtId="0" fontId="30" fillId="0" borderId="0"/>
    <xf numFmtId="226" fontId="30" fillId="0" borderId="0"/>
    <xf numFmtId="226" fontId="30" fillId="0" borderId="0"/>
    <xf numFmtId="226" fontId="30" fillId="0" borderId="0"/>
    <xf numFmtId="0" fontId="148" fillId="0" borderId="0" applyProtection="0">
      <alignment horizontal="left"/>
    </xf>
    <xf numFmtId="0" fontId="8" fillId="0" borderId="0" applyFill="0" applyBorder="0" applyProtection="0">
      <alignment horizontal="left"/>
    </xf>
    <xf numFmtId="0" fontId="8" fillId="0" borderId="0" applyFill="0" applyBorder="0" applyProtection="0">
      <alignment horizontal="left"/>
    </xf>
    <xf numFmtId="1" fontId="149" fillId="0" borderId="0" applyProtection="0">
      <alignment horizontal="right" vertical="center"/>
    </xf>
    <xf numFmtId="0" fontId="150" fillId="0" borderId="50" applyNumberFormat="0" applyAlignment="0" applyProtection="0"/>
    <xf numFmtId="0" fontId="30" fillId="49" borderId="0" applyNumberFormat="0" applyFont="0" applyBorder="0" applyAlignment="0" applyProtection="0"/>
    <xf numFmtId="0" fontId="29" fillId="56" borderId="32" applyNumberFormat="0" applyFont="0" applyBorder="0" applyAlignment="0" applyProtection="0">
      <alignment horizontal="center"/>
    </xf>
    <xf numFmtId="0" fontId="29" fillId="56" borderId="32" applyNumberFormat="0" applyFont="0" applyBorder="0" applyAlignment="0" applyProtection="0">
      <alignment horizontal="center"/>
    </xf>
    <xf numFmtId="0" fontId="29" fillId="44" borderId="32" applyNumberFormat="0" applyFont="0" applyBorder="0" applyAlignment="0" applyProtection="0">
      <alignment horizontal="center"/>
    </xf>
    <xf numFmtId="0" fontId="29" fillId="44" borderId="32" applyNumberFormat="0" applyFont="0" applyBorder="0" applyAlignment="0" applyProtection="0">
      <alignment horizontal="center"/>
    </xf>
    <xf numFmtId="0" fontId="30" fillId="0" borderId="51" applyNumberFormat="0" applyAlignment="0" applyProtection="0"/>
    <xf numFmtId="0" fontId="30" fillId="0" borderId="52" applyNumberFormat="0" applyAlignment="0" applyProtection="0"/>
    <xf numFmtId="0" fontId="150" fillId="0" borderId="53" applyNumberFormat="0" applyAlignment="0" applyProtection="0"/>
    <xf numFmtId="40" fontId="27" fillId="0" borderId="0" applyFont="0" applyFill="0" applyBorder="0" applyAlignment="0" applyProtection="0"/>
    <xf numFmtId="0" fontId="51" fillId="0" borderId="0" applyFont="0" applyFill="0" applyBorder="0" applyAlignment="0" applyProtection="0">
      <protection locked="0"/>
    </xf>
    <xf numFmtId="14" fontId="27" fillId="0" borderId="0">
      <alignment horizontal="center" wrapText="1"/>
      <protection locked="0"/>
    </xf>
    <xf numFmtId="174" fontId="151" fillId="0" borderId="0"/>
    <xf numFmtId="10" fontId="8" fillId="0" borderId="0" applyFont="0" applyFill="0" applyBorder="0" applyAlignment="0" applyProtection="0"/>
    <xf numFmtId="174" fontId="26" fillId="0" borderId="0">
      <alignment horizontal="right"/>
    </xf>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37" fillId="0" borderId="0" applyFont="0" applyFill="0" applyBorder="0" applyAlignment="0" applyProtection="0"/>
    <xf numFmtId="10" fontId="27" fillId="0" borderId="0">
      <alignment horizontal="right"/>
    </xf>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51" fillId="0" borderId="0" applyFont="0" applyFill="0" applyBorder="0" applyProtection="0">
      <alignment horizontal="right"/>
    </xf>
    <xf numFmtId="0" fontId="8" fillId="0" borderId="0" applyFont="0" applyFill="0" applyBorder="0" applyProtection="0">
      <alignment horizontal="right"/>
    </xf>
    <xf numFmtId="0" fontId="27" fillId="0" borderId="0" applyFill="0" applyBorder="0" applyAlignment="0" applyProtection="0"/>
    <xf numFmtId="9" fontId="27" fillId="0" borderId="0">
      <alignment horizontal="right"/>
    </xf>
    <xf numFmtId="0" fontId="88" fillId="0" borderId="0" applyFont="0" applyFill="0" applyBorder="0" applyAlignment="0" applyProtection="0"/>
    <xf numFmtId="174" fontId="49" fillId="0" borderId="0" applyFont="0" applyFill="0" applyBorder="0" applyAlignment="0" applyProtection="0"/>
    <xf numFmtId="10" fontId="49" fillId="0" borderId="0" applyFont="0" applyFill="0" applyBorder="0" applyAlignment="0" applyProtection="0"/>
    <xf numFmtId="0" fontId="51" fillId="0" borderId="0" applyFont="0" applyFill="0" applyBorder="0" applyAlignment="0" applyProtection="0"/>
    <xf numFmtId="8" fontId="27" fillId="0" borderId="0" applyFont="0" applyFill="0" applyBorder="0" applyAlignment="0" applyProtection="0"/>
    <xf numFmtId="0" fontId="151" fillId="0" borderId="0" applyBorder="0" applyAlignment="0">
      <alignment horizontal="right"/>
    </xf>
    <xf numFmtId="0" fontId="152" fillId="0" borderId="47" applyFill="0" applyAlignment="0">
      <alignment horizontal="right"/>
    </xf>
    <xf numFmtId="0" fontId="151" fillId="57" borderId="0" applyFont="0" applyBorder="0" applyAlignment="0">
      <alignment horizontal="right"/>
    </xf>
    <xf numFmtId="0" fontId="153" fillId="0" borderId="0" applyFill="0" applyBorder="0">
      <alignment horizontal="right"/>
    </xf>
    <xf numFmtId="196" fontId="27" fillId="0" borderId="0" applyFont="0" applyFill="0" applyBorder="0" applyAlignment="0" applyProtection="0">
      <protection locked="0"/>
    </xf>
    <xf numFmtId="227" fontId="27" fillId="0" borderId="0" applyFont="0" applyFill="0" applyBorder="0" applyAlignment="0" applyProtection="0">
      <protection locked="0"/>
    </xf>
    <xf numFmtId="0" fontId="8" fillId="0" borderId="0"/>
    <xf numFmtId="0" fontId="8" fillId="0" borderId="0"/>
    <xf numFmtId="38" fontId="27" fillId="0" borderId="0" applyFont="0" applyFill="0" applyBorder="0" applyAlignment="0" applyProtection="0">
      <protection locked="0"/>
    </xf>
    <xf numFmtId="0" fontId="51" fillId="0" borderId="0" applyFill="0" applyBorder="0" applyAlignment="0" applyProtection="0">
      <protection locked="0"/>
    </xf>
    <xf numFmtId="196" fontId="8" fillId="0" borderId="0" applyFill="0" applyBorder="0" applyAlignment="0" applyProtection="0"/>
    <xf numFmtId="38" fontId="27" fillId="0" borderId="0" applyFont="0" applyFill="0" applyBorder="0" applyAlignment="0" applyProtection="0"/>
    <xf numFmtId="8" fontId="8" fillId="0" borderId="0" applyFont="0" applyFill="0" applyBorder="0" applyAlignment="0" applyProtection="0">
      <alignment horizontal="right"/>
    </xf>
    <xf numFmtId="0" fontId="51" fillId="0" borderId="0" applyFont="0" applyFill="0" applyBorder="0" applyAlignment="0" applyProtection="0">
      <alignment horizontal="right"/>
    </xf>
    <xf numFmtId="0" fontId="46" fillId="52" borderId="36" applyNumberFormat="0" applyFont="0" applyAlignment="0" applyProtection="0"/>
    <xf numFmtId="0" fontId="30" fillId="52" borderId="0" applyNumberFormat="0" applyFont="0" applyBorder="0" applyAlignment="0" applyProtection="0">
      <alignment horizontal="center"/>
      <protection locked="0"/>
    </xf>
    <xf numFmtId="0" fontId="37" fillId="0" borderId="0" applyNumberFormat="0" applyFont="0" applyFill="0" applyBorder="0" applyAlignment="0" applyProtection="0">
      <alignment horizontal="left"/>
    </xf>
    <xf numFmtId="15" fontId="37" fillId="0" borderId="0" applyFont="0" applyFill="0" applyBorder="0" applyAlignment="0" applyProtection="0"/>
    <xf numFmtId="4" fontId="37" fillId="0" borderId="0" applyFont="0" applyFill="0" applyBorder="0" applyAlignment="0" applyProtection="0"/>
    <xf numFmtId="0" fontId="64" fillId="0" borderId="33">
      <alignment horizontal="center"/>
    </xf>
    <xf numFmtId="3" fontId="37" fillId="0" borderId="0" applyFont="0" applyFill="0" applyBorder="0" applyAlignment="0" applyProtection="0"/>
    <xf numFmtId="0" fontId="37" fillId="58" borderId="0" applyNumberFormat="0" applyFont="0" applyBorder="0" applyAlignment="0" applyProtection="0"/>
    <xf numFmtId="228" fontId="94" fillId="0" borderId="0" applyFont="0" applyFill="0" applyBorder="0" applyAlignment="0" applyProtection="0"/>
    <xf numFmtId="229" fontId="51" fillId="0" borderId="0" applyFont="0" applyFill="0" applyBorder="0" applyProtection="0">
      <alignment horizontal="right"/>
    </xf>
    <xf numFmtId="0" fontId="51" fillId="0" borderId="0" applyFont="0" applyFill="0" applyBorder="0" applyProtection="0">
      <alignment horizontal="right"/>
    </xf>
    <xf numFmtId="0" fontId="51" fillId="0" borderId="0" applyFont="0" applyFill="0" applyBorder="0" applyProtection="0">
      <alignment horizontal="right"/>
    </xf>
    <xf numFmtId="0" fontId="154" fillId="0" borderId="32" applyNumberFormat="0" applyFill="0" applyBorder="0" applyAlignment="0" applyProtection="0">
      <protection hidden="1"/>
    </xf>
    <xf numFmtId="0" fontId="155" fillId="59" borderId="0" applyNumberFormat="0" applyFont="0" applyBorder="0" applyAlignment="0">
      <alignment horizontal="center"/>
    </xf>
    <xf numFmtId="196" fontId="8" fillId="0" borderId="0" applyFont="0" applyFill="0" applyBorder="0" applyAlignment="0" applyProtection="0"/>
    <xf numFmtId="14" fontId="59" fillId="0" borderId="0" applyNumberFormat="0" applyFill="0" applyBorder="0" applyAlignment="0" applyProtection="0">
      <alignment horizontal="left"/>
    </xf>
    <xf numFmtId="220" fontId="59" fillId="0" borderId="0" applyNumberFormat="0" applyFill="0" applyBorder="0" applyAlignment="0" applyProtection="0">
      <alignment horizontal="left"/>
    </xf>
    <xf numFmtId="0" fontId="130" fillId="0" borderId="0" applyNumberFormat="0" applyFill="0" applyBorder="0" applyProtection="0">
      <alignment horizontal="right" vertical="center"/>
    </xf>
    <xf numFmtId="0" fontId="46" fillId="0" borderId="0" applyNumberFormat="0" applyFill="0" applyBorder="0"/>
    <xf numFmtId="0" fontId="30" fillId="0" borderId="0" applyNumberFormat="0" applyFont="0" applyFill="0" applyBorder="0" applyAlignment="0" applyProtection="0">
      <alignment horizontal="left" indent="1"/>
    </xf>
    <xf numFmtId="0" fontId="156" fillId="0" borderId="0" applyNumberFormat="0" applyFont="0" applyFill="0" applyBorder="0" applyAlignment="0" applyProtection="0">
      <alignment horizontal="center"/>
    </xf>
    <xf numFmtId="0" fontId="157"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2" fontId="158" fillId="0" borderId="0" applyNumberFormat="0" applyFont="0" applyFill="0" applyBorder="0" applyAlignment="0" applyProtection="0">
      <alignment horizontal="right"/>
    </xf>
    <xf numFmtId="0" fontId="104" fillId="0" borderId="54">
      <alignment vertical="center"/>
    </xf>
    <xf numFmtId="0" fontId="113" fillId="0" borderId="0" applyFill="0" applyBorder="0" applyProtection="0">
      <alignment horizontal="left"/>
    </xf>
    <xf numFmtId="0" fontId="30" fillId="60" borderId="0" applyNumberFormat="0" applyFont="0" applyBorder="0" applyAlignment="0" applyProtection="0"/>
    <xf numFmtId="0" fontId="155" fillId="1" borderId="10" applyNumberFormat="0" applyFont="0" applyAlignment="0">
      <alignment horizontal="center"/>
    </xf>
    <xf numFmtId="196" fontId="27" fillId="0" borderId="0" applyFont="0" applyFill="0" applyBorder="0" applyAlignment="0" applyProtection="0"/>
    <xf numFmtId="0" fontId="150" fillId="0" borderId="0">
      <alignment horizontal="center"/>
    </xf>
    <xf numFmtId="211" fontId="159" fillId="0" borderId="0">
      <alignment horizontal="center"/>
    </xf>
    <xf numFmtId="42" fontId="65" fillId="0" borderId="0" applyFill="0" applyBorder="0" applyAlignment="0" applyProtection="0"/>
    <xf numFmtId="0" fontId="160" fillId="0" borderId="0" applyNumberFormat="0" applyFill="0" applyBorder="0" applyAlignment="0">
      <alignment horizontal="center"/>
    </xf>
    <xf numFmtId="0" fontId="8" fillId="0" borderId="0">
      <alignment horizontal="center"/>
    </xf>
    <xf numFmtId="0" fontId="161" fillId="55" borderId="0" applyNumberFormat="0" applyBorder="0" applyAlignment="0" applyProtection="0"/>
    <xf numFmtId="0" fontId="8" fillId="0" borderId="0" applyNumberFormat="0" applyFont="0" applyFill="0" applyBorder="0" applyAlignment="0" applyProtection="0"/>
    <xf numFmtId="0" fontId="161" fillId="61" borderId="0" applyNumberFormat="0" applyBorder="0" applyAlignment="0" applyProtection="0"/>
    <xf numFmtId="0" fontId="161" fillId="61" borderId="0" applyNumberFormat="0" applyBorder="0" applyAlignment="0" applyProtection="0"/>
    <xf numFmtId="3" fontId="8" fillId="0" borderId="0" applyNumberFormat="0" applyFont="0" applyFill="0" applyBorder="0" applyAlignment="0" applyProtection="0"/>
    <xf numFmtId="0" fontId="161" fillId="62" borderId="0" applyNumberFormat="0" applyBorder="0" applyAlignment="0" applyProtection="0"/>
    <xf numFmtId="0" fontId="161" fillId="62" borderId="0" applyNumberFormat="0" applyBorder="0" applyAlignment="0" applyProtection="0"/>
    <xf numFmtId="3" fontId="8" fillId="0" borderId="0" applyNumberFormat="0" applyFont="0" applyFill="0" applyBorder="0" applyAlignment="0" applyProtection="0"/>
    <xf numFmtId="0" fontId="8" fillId="63" borderId="0" applyNumberFormat="0" applyBorder="0" applyAlignment="0" applyProtection="0"/>
    <xf numFmtId="0" fontId="161" fillId="63" borderId="0" applyNumberFormat="0" applyBorder="0" applyAlignment="0" applyProtection="0"/>
    <xf numFmtId="3" fontId="8" fillId="0" borderId="0" applyNumberFormat="0" applyFont="0" applyFill="0" applyBorder="0" applyAlignment="0" applyProtection="0"/>
    <xf numFmtId="3" fontId="161" fillId="64" borderId="0" applyNumberFormat="0" applyBorder="0" applyAlignment="0" applyProtection="0"/>
    <xf numFmtId="3" fontId="161" fillId="64" borderId="0" applyNumberFormat="0" applyBorder="0" applyAlignment="0" applyProtection="0"/>
    <xf numFmtId="3" fontId="8" fillId="0" borderId="0" applyNumberFormat="0" applyFont="0" applyFill="0" applyBorder="0" applyAlignment="0" applyProtection="0"/>
    <xf numFmtId="3" fontId="161" fillId="65" borderId="0" applyNumberFormat="0" applyBorder="0" applyAlignment="0" applyProtection="0"/>
    <xf numFmtId="3" fontId="161" fillId="65" borderId="0" applyNumberFormat="0" applyBorder="0" applyAlignment="0" applyProtection="0"/>
    <xf numFmtId="0" fontId="8" fillId="0" borderId="0" applyFont="0" applyFill="0" applyBorder="0" applyAlignment="0" applyProtection="0"/>
    <xf numFmtId="3" fontId="8" fillId="0" borderId="0" applyFont="0" applyFill="0" applyBorder="0" applyAlignment="0" applyProtection="0"/>
    <xf numFmtId="0" fontId="8" fillId="65" borderId="0" applyNumberFormat="0" applyFont="0" applyBorder="0" applyAlignment="0" applyProtection="0"/>
    <xf numFmtId="4" fontId="8" fillId="0" borderId="0" applyFont="0" applyFill="0" applyBorder="0" applyAlignment="0" applyProtection="0"/>
    <xf numFmtId="0" fontId="37" fillId="0" borderId="0"/>
    <xf numFmtId="0" fontId="8" fillId="66" borderId="0"/>
    <xf numFmtId="12" fontId="8" fillId="0" borderId="0" applyFont="0" applyFill="0" applyBorder="0" applyProtection="0">
      <alignment horizontal="right"/>
    </xf>
    <xf numFmtId="230" fontId="51" fillId="67" borderId="0" applyFont="0" applyFill="0" applyBorder="0" applyProtection="0">
      <alignment horizontal="right"/>
    </xf>
    <xf numFmtId="0" fontId="8" fillId="0" borderId="0" applyFont="0" applyFill="0" applyBorder="0" applyAlignment="0" applyProtection="0">
      <alignment horizontal="right"/>
    </xf>
    <xf numFmtId="0" fontId="29" fillId="0" borderId="0"/>
    <xf numFmtId="0" fontId="29" fillId="0" borderId="0"/>
    <xf numFmtId="0" fontId="29" fillId="0" borderId="0"/>
    <xf numFmtId="0" fontId="9" fillId="0" borderId="0" applyNumberFormat="0" applyFill="0" applyBorder="0" applyAlignment="0" applyProtection="0"/>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162" fillId="60" borderId="0" applyNumberFormat="0" applyBorder="0" applyAlignment="0" applyProtection="0"/>
    <xf numFmtId="0" fontId="81" fillId="0" borderId="0" applyNumberFormat="0" applyFill="0" applyBorder="0" applyAlignment="0" applyProtection="0"/>
    <xf numFmtId="0" fontId="163" fillId="60" borderId="0" applyNumberFormat="0" applyBorder="0" applyAlignment="0" applyProtection="0"/>
    <xf numFmtId="0" fontId="113" fillId="0" borderId="0" applyNumberFormat="0" applyFill="0" applyBorder="0" applyAlignment="0" applyProtection="0"/>
    <xf numFmtId="0" fontId="9" fillId="0" borderId="0" applyNumberFormat="0" applyFill="0" applyBorder="0" applyAlignment="0" applyProtection="0"/>
    <xf numFmtId="0" fontId="164" fillId="68" borderId="0" applyNumberFormat="0" applyBorder="0" applyAlignment="0" applyProtection="0"/>
    <xf numFmtId="0" fontId="164" fillId="68" borderId="0" applyNumberFormat="0" applyBorder="0" applyProtection="0">
      <alignment horizontal="center"/>
    </xf>
    <xf numFmtId="0" fontId="165" fillId="68" borderId="0" applyNumberFormat="0" applyBorder="0" applyAlignment="0" applyProtection="0"/>
    <xf numFmtId="0" fontId="8" fillId="0" borderId="0" applyNumberFormat="0" applyFont="0" applyFill="0" applyBorder="0" applyProtection="0">
      <alignment horizontal="right"/>
    </xf>
    <xf numFmtId="41" fontId="8" fillId="0" borderId="0" applyFont="0" applyFill="0" applyBorder="0" applyAlignment="0" applyProtection="0"/>
    <xf numFmtId="0" fontId="8" fillId="0" borderId="0" applyNumberFormat="0" applyFont="0" applyFill="0" applyBorder="0" applyProtection="0">
      <alignment horizontal="left"/>
    </xf>
    <xf numFmtId="0" fontId="29" fillId="0" borderId="0" applyNumberFormat="0" applyFill="0" applyBorder="0" applyAlignment="0" applyProtection="0"/>
    <xf numFmtId="0" fontId="46" fillId="0" borderId="0" applyNumberFormat="0" applyFill="0" applyBorder="0" applyAlignment="0" applyProtection="0"/>
    <xf numFmtId="0" fontId="8" fillId="55" borderId="0" applyNumberFormat="0" applyFont="0" applyBorder="0" applyAlignment="0" applyProtection="0"/>
    <xf numFmtId="231" fontId="8" fillId="0" borderId="0" applyFont="0" applyFill="0" applyBorder="0" applyAlignment="0" applyProtection="0"/>
    <xf numFmtId="2" fontId="8" fillId="0" borderId="0" applyFont="0" applyFill="0" applyBorder="0" applyAlignment="0" applyProtection="0"/>
    <xf numFmtId="173" fontId="8" fillId="0" borderId="0" applyFont="0" applyFill="0" applyBorder="0" applyAlignment="0" applyProtection="0"/>
    <xf numFmtId="0" fontId="91" fillId="0" borderId="0">
      <alignment vertical="top"/>
    </xf>
    <xf numFmtId="41" fontId="8" fillId="0" borderId="0" applyFont="0" applyFill="0" applyBorder="0" applyAlignment="0" applyProtection="0"/>
    <xf numFmtId="0" fontId="8" fillId="0" borderId="33" applyNumberFormat="0" applyFont="0" applyFill="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41" fontId="8" fillId="0" borderId="0" applyFont="0" applyFill="0" applyBorder="0" applyAlignment="0" applyProtection="0"/>
    <xf numFmtId="0" fontId="91" fillId="0" borderId="0">
      <alignment vertical="top"/>
    </xf>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0" fontId="91" fillId="0" borderId="0">
      <alignment vertical="top"/>
    </xf>
    <xf numFmtId="0" fontId="164" fillId="68" borderId="0" applyNumberFormat="0" applyBorder="0" applyAlignment="0" applyProtection="0"/>
    <xf numFmtId="41" fontId="8" fillId="0" borderId="0" applyFont="0" applyFill="0" applyBorder="0" applyAlignment="0" applyProtection="0"/>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41"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41"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41" fontId="8" fillId="0" borderId="0" applyFont="0" applyFill="0" applyBorder="0" applyAlignment="0" applyProtection="0"/>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51" fillId="0" borderId="0" applyFill="0" applyBorder="0" applyAlignment="0" applyProtection="0"/>
    <xf numFmtId="0" fontId="51" fillId="0" borderId="0" applyFill="0" applyBorder="0" applyAlignment="0" applyProtection="0">
      <alignment horizontal="left"/>
      <protection locked="0"/>
    </xf>
    <xf numFmtId="0" fontId="51" fillId="0" borderId="0" applyFill="0" applyBorder="0" applyAlignment="0" applyProtection="0"/>
    <xf numFmtId="0" fontId="166" fillId="0" borderId="0" applyNumberFormat="0" applyFill="0" applyBorder="0" applyProtection="0">
      <alignment horizontal="left" vertical="center"/>
    </xf>
    <xf numFmtId="0" fontId="51" fillId="0" borderId="0" applyFill="0" applyBorder="0" applyAlignment="0" applyProtection="0">
      <alignment horizontal="left"/>
      <protection locked="0"/>
    </xf>
    <xf numFmtId="0" fontId="51" fillId="0" borderId="0" applyFill="0" applyBorder="0" applyAlignment="0" applyProtection="0">
      <protection locked="0"/>
    </xf>
    <xf numFmtId="196" fontId="27" fillId="0" borderId="0" applyFill="0" applyBorder="0" applyAlignment="0" applyProtection="0"/>
    <xf numFmtId="233" fontId="167" fillId="0" borderId="0">
      <protection locked="0"/>
    </xf>
    <xf numFmtId="40" fontId="168" fillId="0" borderId="0" applyBorder="0">
      <alignment horizontal="right"/>
    </xf>
    <xf numFmtId="196" fontId="8" fillId="0" borderId="0" applyFill="0" applyBorder="0" applyAlignment="0" applyProtection="0"/>
    <xf numFmtId="0" fontId="46" fillId="52" borderId="0" applyNumberFormat="0" applyFont="0" applyBorder="0" applyAlignment="0" applyProtection="0"/>
    <xf numFmtId="234" fontId="94" fillId="0" borderId="0" applyFont="0" applyFill="0" applyBorder="0" applyAlignment="0" applyProtection="0"/>
    <xf numFmtId="0" fontId="8" fillId="0" borderId="31" applyNumberFormat="0" applyFill="0" applyBorder="0" applyAlignment="0" applyProtection="0"/>
    <xf numFmtId="174" fontId="151" fillId="0" borderId="0"/>
    <xf numFmtId="174" fontId="151" fillId="0" borderId="0"/>
    <xf numFmtId="0" fontId="9" fillId="0" borderId="0" applyNumberFormat="0" applyFont="0" applyBorder="0" applyAlignment="0"/>
    <xf numFmtId="0" fontId="51" fillId="0" borderId="0"/>
    <xf numFmtId="235" fontId="51" fillId="0" borderId="0"/>
    <xf numFmtId="235" fontId="51" fillId="0" borderId="0"/>
    <xf numFmtId="0" fontId="151" fillId="0" borderId="0"/>
    <xf numFmtId="174" fontId="151" fillId="0" borderId="0"/>
    <xf numFmtId="0" fontId="169" fillId="0" borderId="0" applyFill="0" applyBorder="0" applyProtection="0">
      <alignment horizontal="center" vertical="center"/>
    </xf>
    <xf numFmtId="0" fontId="170" fillId="0" borderId="0" applyBorder="0" applyProtection="0">
      <alignment vertical="center"/>
    </xf>
    <xf numFmtId="209" fontId="170" fillId="0" borderId="1" applyBorder="0" applyProtection="0">
      <alignment horizontal="right" vertical="center"/>
    </xf>
    <xf numFmtId="0" fontId="171" fillId="69" borderId="0" applyBorder="0" applyProtection="0">
      <alignment horizontal="centerContinuous" vertical="center"/>
    </xf>
    <xf numFmtId="0" fontId="171" fillId="68" borderId="1" applyBorder="0" applyProtection="0">
      <alignment horizontal="centerContinuous" vertical="center"/>
    </xf>
    <xf numFmtId="0" fontId="172" fillId="0" borderId="0" applyNumberFormat="0" applyFill="0" applyBorder="0" applyProtection="0">
      <alignment horizontal="left"/>
    </xf>
    <xf numFmtId="0" fontId="46" fillId="0" borderId="0" applyBorder="0" applyProtection="0">
      <alignment horizontal="left"/>
    </xf>
    <xf numFmtId="0" fontId="105" fillId="0" borderId="0" applyNumberFormat="0" applyFill="0" applyBorder="0" applyProtection="0">
      <alignment horizontal="left"/>
    </xf>
    <xf numFmtId="0" fontId="169" fillId="0" borderId="0" applyFill="0" applyBorder="0" applyProtection="0"/>
    <xf numFmtId="0" fontId="119" fillId="0" borderId="0"/>
    <xf numFmtId="0" fontId="173" fillId="0" borderId="0" applyFill="0" applyBorder="0" applyProtection="0">
      <alignment horizontal="left"/>
    </xf>
    <xf numFmtId="0" fontId="105" fillId="0" borderId="7" applyFill="0" applyBorder="0" applyProtection="0">
      <alignment horizontal="left" vertical="top"/>
    </xf>
    <xf numFmtId="0" fontId="105" fillId="0" borderId="7" applyFill="0" applyBorder="0" applyProtection="0">
      <alignment horizontal="left" vertical="top"/>
    </xf>
    <xf numFmtId="0" fontId="105" fillId="0" borderId="7" applyFill="0" applyBorder="0" applyProtection="0">
      <alignment horizontal="left" vertical="top"/>
    </xf>
    <xf numFmtId="0" fontId="105" fillId="0" borderId="7" applyFill="0" applyBorder="0" applyProtection="0">
      <alignment horizontal="left" vertical="top"/>
    </xf>
    <xf numFmtId="0" fontId="150" fillId="0" borderId="0">
      <alignment horizontal="centerContinuous"/>
    </xf>
    <xf numFmtId="0" fontId="55" fillId="46" borderId="2" applyNumberFormat="0" applyFont="0" applyFill="0" applyAlignment="0" applyProtection="0">
      <protection locked="0"/>
    </xf>
    <xf numFmtId="0" fontId="51" fillId="0" borderId="0" applyNumberFormat="0" applyFill="0" applyBorder="0">
      <alignment horizontal="left"/>
    </xf>
    <xf numFmtId="236" fontId="174" fillId="0" borderId="0" applyNumberFormat="0" applyFill="0" applyBorder="0">
      <alignment horizontal="right"/>
    </xf>
    <xf numFmtId="0" fontId="8" fillId="0" borderId="0" applyNumberFormat="0" applyFill="0" applyBorder="0">
      <alignment horizontal="right"/>
    </xf>
    <xf numFmtId="0" fontId="55" fillId="46" borderId="55" applyNumberFormat="0" applyFont="0" applyFill="0" applyAlignment="0" applyProtection="0">
      <protection locked="0"/>
    </xf>
    <xf numFmtId="0" fontId="29" fillId="0" borderId="0"/>
    <xf numFmtId="0" fontId="46" fillId="0" borderId="0" applyNumberFormat="0" applyFill="0" applyBorder="0" applyAlignment="0" applyProtection="0"/>
    <xf numFmtId="0" fontId="175" fillId="0" borderId="0"/>
    <xf numFmtId="0" fontId="176" fillId="0" borderId="0" applyNumberFormat="0" applyFill="0" applyBorder="0" applyProtection="0"/>
    <xf numFmtId="0" fontId="177" fillId="0" borderId="0" applyFill="0" applyBorder="0" applyProtection="0"/>
    <xf numFmtId="0" fontId="178" fillId="0" borderId="0"/>
    <xf numFmtId="0" fontId="177" fillId="0" borderId="0" applyNumberFormat="0" applyFill="0" applyBorder="0" applyProtection="0"/>
    <xf numFmtId="0" fontId="8" fillId="0" borderId="0" applyFill="0" applyBorder="0" applyProtection="0"/>
    <xf numFmtId="0" fontId="176" fillId="0" borderId="0" applyNumberFormat="0" applyFill="0" applyBorder="0" applyProtection="0"/>
    <xf numFmtId="0" fontId="176" fillId="0" borderId="0"/>
    <xf numFmtId="0" fontId="175" fillId="0" borderId="7" applyFill="0" applyBorder="0" applyProtection="0"/>
    <xf numFmtId="0" fontId="8" fillId="0" borderId="0" applyBorder="0" applyProtection="0">
      <alignment horizontal="right"/>
    </xf>
    <xf numFmtId="11" fontId="27" fillId="0" borderId="0" applyFont="0" applyFill="0" applyBorder="0" applyAlignment="0" applyProtection="0"/>
    <xf numFmtId="18" fontId="55" fillId="46" borderId="0" applyFont="0" applyFill="0" applyBorder="0" applyAlignment="0" applyProtection="0">
      <protection locked="0"/>
    </xf>
    <xf numFmtId="1" fontId="8" fillId="0" borderId="10" applyFill="0" applyBorder="0" applyProtection="0">
      <alignment horizontal="right"/>
    </xf>
    <xf numFmtId="0" fontId="30" fillId="0" borderId="0" applyNumberFormat="0" applyFill="0" applyBorder="0" applyAlignment="0" applyProtection="0"/>
    <xf numFmtId="0" fontId="36" fillId="0" borderId="0" applyNumberFormat="0" applyFill="0" applyBorder="0" applyAlignment="0" applyProtection="0"/>
    <xf numFmtId="0" fontId="8" fillId="0" borderId="0">
      <alignment horizontal="center"/>
    </xf>
    <xf numFmtId="196" fontId="8" fillId="0" borderId="0" applyFill="0" applyBorder="0" applyProtection="0"/>
    <xf numFmtId="0" fontId="179" fillId="0" borderId="56"/>
    <xf numFmtId="0" fontId="180" fillId="0" borderId="10"/>
    <xf numFmtId="196" fontId="8" fillId="0" borderId="0" applyNumberFormat="0" applyFill="0" applyBorder="0" applyAlignment="0" applyProtection="0"/>
    <xf numFmtId="38" fontId="8" fillId="0" borderId="0" applyFill="0" applyBorder="0" applyAlignment="0" applyProtection="0">
      <alignment horizontal="left"/>
    </xf>
    <xf numFmtId="0" fontId="177" fillId="0" borderId="0"/>
    <xf numFmtId="0" fontId="176" fillId="0" borderId="0"/>
    <xf numFmtId="0" fontId="181" fillId="0" borderId="0" applyNumberFormat="0" applyFont="0" applyFill="0" applyBorder="0" applyAlignment="0">
      <alignment horizontal="left" vertical="center"/>
    </xf>
    <xf numFmtId="0" fontId="182" fillId="0" borderId="0" applyFill="0" applyBorder="0" applyAlignment="0" applyProtection="0"/>
    <xf numFmtId="0" fontId="59" fillId="45" borderId="32"/>
    <xf numFmtId="0" fontId="183" fillId="0" borderId="24" applyNumberFormat="0" applyFill="0" applyAlignment="0" applyProtection="0"/>
    <xf numFmtId="0" fontId="184" fillId="0" borderId="0" applyFill="0" applyBorder="0" applyProtection="0"/>
    <xf numFmtId="0" fontId="184" fillId="0" borderId="0" applyFill="0" applyBorder="0" applyProtection="0"/>
    <xf numFmtId="0" fontId="184" fillId="0" borderId="43" applyFill="0" applyBorder="0" applyProtection="0">
      <alignment vertical="center"/>
    </xf>
    <xf numFmtId="40" fontId="27" fillId="0" borderId="0" applyFont="0" applyFill="0" applyBorder="0" applyAlignment="0" applyProtection="0">
      <protection locked="0"/>
    </xf>
    <xf numFmtId="0" fontId="29" fillId="0" borderId="0" applyBorder="0" applyProtection="0">
      <alignment horizontal="right"/>
    </xf>
    <xf numFmtId="236" fontId="8" fillId="0" borderId="0">
      <alignment horizontal="left"/>
      <protection locked="0"/>
    </xf>
    <xf numFmtId="0" fontId="30" fillId="0" borderId="57" applyNumberFormat="0" applyFont="0" applyAlignment="0">
      <alignment horizontal="left"/>
    </xf>
    <xf numFmtId="205" fontId="185" fillId="0" borderId="0">
      <alignment horizontal="right"/>
    </xf>
    <xf numFmtId="206" fontId="185" fillId="0" borderId="0">
      <alignment horizontal="right"/>
    </xf>
    <xf numFmtId="1" fontId="185" fillId="0" borderId="0">
      <alignment horizontal="left"/>
    </xf>
    <xf numFmtId="204" fontId="185" fillId="0" borderId="0">
      <alignment horizontal="right"/>
    </xf>
    <xf numFmtId="0" fontId="186" fillId="0" borderId="0">
      <alignment horizontal="fill"/>
    </xf>
    <xf numFmtId="6" fontId="27" fillId="0" borderId="0" applyFont="0" applyFill="0" applyBorder="0" applyAlignment="0" applyProtection="0">
      <protection locked="0"/>
    </xf>
    <xf numFmtId="0" fontId="51" fillId="0" borderId="0" applyFill="0" applyBorder="0" applyAlignment="0" applyProtection="0"/>
    <xf numFmtId="37" fontId="29" fillId="70" borderId="0" applyNumberFormat="0" applyBorder="0" applyAlignment="0" applyProtection="0"/>
    <xf numFmtId="37" fontId="29" fillId="0" borderId="0"/>
    <xf numFmtId="3" fontId="92" fillId="0" borderId="49" applyProtection="0"/>
    <xf numFmtId="0" fontId="27" fillId="0" borderId="0" applyNumberFormat="0"/>
    <xf numFmtId="38" fontId="27" fillId="0" borderId="0" applyFill="0" applyBorder="0" applyAlignment="0" applyProtection="0"/>
    <xf numFmtId="38" fontId="8" fillId="0" borderId="0" applyFill="0" applyBorder="0" applyAlignment="0" applyProtection="0">
      <alignment horizontal="left"/>
    </xf>
    <xf numFmtId="44" fontId="8" fillId="0" borderId="0" applyFont="0" applyFill="0" applyBorder="0" applyAlignment="0" applyProtection="0"/>
    <xf numFmtId="0" fontId="119" fillId="0" borderId="0" applyNumberFormat="0"/>
    <xf numFmtId="0" fontId="8" fillId="0" borderId="0" applyNumberFormat="0"/>
    <xf numFmtId="0" fontId="119" fillId="0" borderId="0" applyNumberFormat="0"/>
    <xf numFmtId="0" fontId="119" fillId="0" borderId="0" applyNumberFormat="0"/>
    <xf numFmtId="0" fontId="8" fillId="0" borderId="0" applyNumberFormat="0"/>
    <xf numFmtId="0" fontId="8" fillId="0" borderId="0" applyNumberFormat="0"/>
    <xf numFmtId="0" fontId="119" fillId="0" borderId="0" applyNumberFormat="0"/>
    <xf numFmtId="0" fontId="8" fillId="0" borderId="0" applyFont="0" applyFill="0" applyBorder="0" applyAlignment="0" applyProtection="0"/>
    <xf numFmtId="0" fontId="8" fillId="0" borderId="0" applyFont="0" applyFill="0" applyBorder="0" applyAlignment="0" applyProtection="0"/>
    <xf numFmtId="0" fontId="187" fillId="0" borderId="0" applyNumberFormat="0" applyFill="0" applyBorder="0" applyAlignment="0" applyProtection="0"/>
    <xf numFmtId="0" fontId="30" fillId="0" borderId="0" applyNumberFormat="0" applyFont="0" applyFill="0" applyBorder="0" applyAlignment="0" applyProtection="0"/>
    <xf numFmtId="0" fontId="150" fillId="0" borderId="0" applyNumberFormat="0" applyFont="0" applyFill="0" applyBorder="0" applyAlignment="0" applyProtection="0"/>
    <xf numFmtId="0" fontId="150" fillId="0" borderId="0" applyNumberFormat="0" applyFont="0" applyFill="0" applyBorder="0" applyAlignment="0" applyProtection="0"/>
    <xf numFmtId="0" fontId="46" fillId="46" borderId="0" applyNumberFormat="0" applyFont="0" applyAlignment="0" applyProtection="0"/>
    <xf numFmtId="0" fontId="46" fillId="46" borderId="2" applyNumberFormat="0" applyFont="0" applyAlignment="0" applyProtection="0">
      <protection locked="0"/>
    </xf>
    <xf numFmtId="0" fontId="188" fillId="0" borderId="0" applyNumberFormat="0" applyFill="0" applyBorder="0" applyAlignment="0" applyProtection="0"/>
    <xf numFmtId="1" fontId="27" fillId="0" borderId="0" applyFont="0" applyFill="0" applyBorder="0" applyAlignment="0" applyProtection="0"/>
    <xf numFmtId="0" fontId="8" fillId="0" borderId="31" applyNumberFormat="0" applyFill="0" applyBorder="0" applyAlignment="0" applyProtection="0"/>
    <xf numFmtId="0" fontId="8" fillId="0" borderId="31" applyNumberFormat="0" applyFill="0" applyBorder="0" applyAlignment="0" applyProtection="0"/>
    <xf numFmtId="0" fontId="8" fillId="0" borderId="31" applyNumberFormat="0" applyFill="0" applyBorder="0" applyAlignment="0" applyProtection="0"/>
    <xf numFmtId="0" fontId="30" fillId="0" borderId="0" applyFont="0" applyFill="0" applyBorder="0" applyAlignment="0" applyProtection="0">
      <alignment horizontal="right"/>
    </xf>
    <xf numFmtId="0" fontId="30" fillId="0" borderId="0" applyFont="0" applyFill="0" applyBorder="0" applyAlignment="0" applyProtection="0"/>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8" fontId="114" fillId="0" borderId="1" applyBorder="0" applyProtection="0">
      <alignment horizontal="right"/>
    </xf>
    <xf numFmtId="0" fontId="65" fillId="0" borderId="0" applyFont="0" applyFill="0" applyBorder="0" applyAlignment="0" applyProtection="0"/>
    <xf numFmtId="43" fontId="24" fillId="0" borderId="0" applyFont="0" applyFill="0" applyBorder="0" applyAlignment="0" applyProtection="0"/>
    <xf numFmtId="0" fontId="194" fillId="0" borderId="0" applyNumberFormat="0" applyFill="0" applyBorder="0" applyAlignment="0" applyProtection="0"/>
  </cellStyleXfs>
  <cellXfs count="336">
    <xf numFmtId="0" fontId="0" fillId="0" borderId="0" xfId="0"/>
    <xf numFmtId="0" fontId="2" fillId="0" borderId="0" xfId="0" applyFont="1"/>
    <xf numFmtId="0" fontId="3" fillId="0" borderId="0" xfId="0" applyFont="1" applyFill="1"/>
    <xf numFmtId="0" fontId="0" fillId="0" borderId="0" xfId="0" applyFill="1"/>
    <xf numFmtId="0" fontId="4" fillId="0" borderId="0" xfId="0" applyFont="1"/>
    <xf numFmtId="0" fontId="7" fillId="0" borderId="0" xfId="0" applyFont="1" applyFill="1" applyAlignment="1">
      <alignment horizontal="center"/>
    </xf>
    <xf numFmtId="164" fontId="0" fillId="0" borderId="0" xfId="0" applyNumberFormat="1"/>
    <xf numFmtId="164" fontId="2" fillId="0" borderId="0" xfId="0" applyNumberFormat="1" applyFont="1"/>
    <xf numFmtId="0" fontId="0" fillId="0" borderId="1" xfId="0" applyBorder="1"/>
    <xf numFmtId="167" fontId="10" fillId="0" borderId="0" xfId="0" applyNumberFormat="1" applyFont="1"/>
    <xf numFmtId="164" fontId="6" fillId="0" borderId="0" xfId="0" applyNumberFormat="1" applyFont="1"/>
    <xf numFmtId="164" fontId="5" fillId="0" borderId="0" xfId="0" applyNumberFormat="1" applyFont="1"/>
    <xf numFmtId="164" fontId="6" fillId="0" borderId="1" xfId="0" applyNumberFormat="1" applyFont="1" applyBorder="1"/>
    <xf numFmtId="164" fontId="5" fillId="0" borderId="1" xfId="0" applyNumberFormat="1" applyFont="1" applyBorder="1"/>
    <xf numFmtId="164" fontId="13" fillId="0" borderId="0" xfId="0" applyNumberFormat="1" applyFont="1"/>
    <xf numFmtId="164" fontId="6" fillId="0" borderId="0" xfId="0" applyNumberFormat="1" applyFont="1" applyBorder="1"/>
    <xf numFmtId="0" fontId="0" fillId="0" borderId="0" xfId="0" applyBorder="1"/>
    <xf numFmtId="165" fontId="6" fillId="0" borderId="0" xfId="0" applyNumberFormat="1" applyFont="1"/>
    <xf numFmtId="166" fontId="6" fillId="0" borderId="0" xfId="0" applyNumberFormat="1" applyFont="1" applyFill="1" applyBorder="1" applyAlignment="1"/>
    <xf numFmtId="164" fontId="5" fillId="0" borderId="0" xfId="0" applyNumberFormat="1" applyFont="1" applyBorder="1"/>
    <xf numFmtId="165" fontId="5" fillId="0" borderId="0" xfId="0" applyNumberFormat="1" applyFont="1"/>
    <xf numFmtId="0" fontId="2" fillId="0" borderId="0" xfId="0" applyFont="1" applyFill="1" applyBorder="1"/>
    <xf numFmtId="0" fontId="0" fillId="0" borderId="1" xfId="0" applyFill="1" applyBorder="1"/>
    <xf numFmtId="164" fontId="12" fillId="0" borderId="0" xfId="0" applyNumberFormat="1" applyFont="1"/>
    <xf numFmtId="164" fontId="15" fillId="0" borderId="0" xfId="0" applyNumberFormat="1" applyFont="1"/>
    <xf numFmtId="0" fontId="0" fillId="0" borderId="0" xfId="0" applyFont="1"/>
    <xf numFmtId="0" fontId="0" fillId="0" borderId="1" xfId="0" applyFont="1" applyBorder="1"/>
    <xf numFmtId="0" fontId="17" fillId="0" borderId="0" xfId="0" applyFont="1" applyAlignment="1">
      <alignment horizontal="center"/>
    </xf>
    <xf numFmtId="0" fontId="17" fillId="0" borderId="0" xfId="0" applyFont="1" applyAlignment="1">
      <alignment horizontal="left"/>
    </xf>
    <xf numFmtId="0" fontId="5" fillId="2" borderId="0" xfId="0" applyFont="1" applyFill="1" applyAlignment="1">
      <alignment horizontal="center"/>
    </xf>
    <xf numFmtId="0" fontId="13" fillId="3" borderId="0" xfId="0" applyNumberFormat="1" applyFont="1" applyFill="1" applyBorder="1" applyAlignment="1"/>
    <xf numFmtId="0" fontId="6" fillId="3" borderId="0" xfId="0" applyNumberFormat="1" applyFont="1" applyFill="1" applyBorder="1" applyAlignment="1"/>
    <xf numFmtId="0" fontId="3" fillId="4" borderId="0" xfId="0" applyFont="1" applyFill="1"/>
    <xf numFmtId="0" fontId="1" fillId="4" borderId="0" xfId="0" applyFont="1" applyFill="1"/>
    <xf numFmtId="164" fontId="13" fillId="0" borderId="0" xfId="0" applyNumberFormat="1" applyFont="1" applyBorder="1"/>
    <xf numFmtId="164" fontId="10" fillId="0" borderId="0" xfId="0" applyNumberFormat="1" applyFont="1"/>
    <xf numFmtId="0" fontId="0" fillId="0" borderId="0" xfId="0" applyFill="1" applyBorder="1"/>
    <xf numFmtId="0" fontId="0" fillId="0" borderId="0" xfId="0" applyFont="1" applyFill="1" applyBorder="1"/>
    <xf numFmtId="164" fontId="18" fillId="0" borderId="1" xfId="0" applyNumberFormat="1" applyFont="1" applyBorder="1"/>
    <xf numFmtId="164" fontId="18" fillId="0" borderId="0" xfId="0" applyNumberFormat="1" applyFont="1" applyBorder="1"/>
    <xf numFmtId="0" fontId="0" fillId="0" borderId="1" xfId="0" applyFont="1" applyFill="1" applyBorder="1"/>
    <xf numFmtId="0" fontId="4" fillId="0" borderId="0" xfId="0" applyFont="1" applyBorder="1"/>
    <xf numFmtId="0" fontId="0" fillId="0" borderId="3" xfId="0" applyBorder="1"/>
    <xf numFmtId="0" fontId="0" fillId="0" borderId="2" xfId="0" applyBorder="1"/>
    <xf numFmtId="0" fontId="0" fillId="0" borderId="5" xfId="0" applyBorder="1"/>
    <xf numFmtId="0" fontId="0" fillId="0" borderId="6" xfId="0" applyBorder="1"/>
    <xf numFmtId="0" fontId="2" fillId="0" borderId="7" xfId="0" applyFont="1" applyBorder="1"/>
    <xf numFmtId="0" fontId="2" fillId="0" borderId="0" xfId="0" applyFont="1" applyBorder="1"/>
    <xf numFmtId="0" fontId="0" fillId="0" borderId="5" xfId="0" applyFill="1" applyBorder="1"/>
    <xf numFmtId="0" fontId="0" fillId="0" borderId="7" xfId="0" applyFill="1" applyBorder="1"/>
    <xf numFmtId="0" fontId="0" fillId="0" borderId="7" xfId="0" applyFont="1" applyFill="1" applyBorder="1"/>
    <xf numFmtId="0" fontId="2" fillId="2" borderId="9" xfId="0" applyFont="1" applyFill="1" applyBorder="1"/>
    <xf numFmtId="0" fontId="0" fillId="2" borderId="10" xfId="0" applyFill="1" applyBorder="1"/>
    <xf numFmtId="164" fontId="13" fillId="2" borderId="10" xfId="0" applyNumberFormat="1" applyFont="1" applyFill="1" applyBorder="1"/>
    <xf numFmtId="0" fontId="0" fillId="0" borderId="11" xfId="0" applyBorder="1"/>
    <xf numFmtId="165" fontId="6" fillId="0" borderId="11" xfId="0" applyNumberFormat="1" applyFont="1" applyBorder="1"/>
    <xf numFmtId="0" fontId="0" fillId="5" borderId="1" xfId="0" applyFill="1" applyBorder="1"/>
    <xf numFmtId="165" fontId="6" fillId="0" borderId="13" xfId="0" applyNumberFormat="1" applyFont="1" applyBorder="1"/>
    <xf numFmtId="0" fontId="0" fillId="0" borderId="14" xfId="0" applyBorder="1"/>
    <xf numFmtId="165" fontId="19" fillId="0" borderId="11" xfId="0" applyNumberFormat="1" applyFont="1" applyBorder="1"/>
    <xf numFmtId="0" fontId="1" fillId="0" borderId="0" xfId="0" applyFont="1" applyFill="1" applyBorder="1"/>
    <xf numFmtId="0" fontId="0" fillId="7" borderId="0" xfId="0" applyFill="1"/>
    <xf numFmtId="173" fontId="20" fillId="0" borderId="4" xfId="0" applyNumberFormat="1" applyFont="1" applyBorder="1"/>
    <xf numFmtId="14" fontId="0" fillId="0" borderId="0" xfId="0" applyNumberFormat="1"/>
    <xf numFmtId="164" fontId="20" fillId="0" borderId="1" xfId="0" applyNumberFormat="1" applyFont="1" applyBorder="1"/>
    <xf numFmtId="174" fontId="20" fillId="0" borderId="6" xfId="2" applyNumberFormat="1" applyFont="1" applyBorder="1"/>
    <xf numFmtId="43" fontId="20" fillId="0" borderId="6" xfId="3" applyFont="1" applyBorder="1"/>
    <xf numFmtId="0" fontId="20" fillId="0" borderId="6" xfId="0" applyFont="1" applyBorder="1" applyAlignment="1">
      <alignment horizontal="right"/>
    </xf>
    <xf numFmtId="174" fontId="20" fillId="0" borderId="15" xfId="2" applyNumberFormat="1" applyFont="1" applyBorder="1"/>
    <xf numFmtId="174" fontId="5" fillId="0" borderId="6" xfId="0" applyNumberFormat="1" applyFont="1" applyBorder="1"/>
    <xf numFmtId="175" fontId="22" fillId="0" borderId="1" xfId="0" applyNumberFormat="1" applyFont="1" applyFill="1" applyBorder="1"/>
    <xf numFmtId="171" fontId="0" fillId="0" borderId="0" xfId="0" applyNumberFormat="1" applyFill="1" applyBorder="1"/>
    <xf numFmtId="0" fontId="2" fillId="5" borderId="6" xfId="0" applyFont="1" applyFill="1" applyBorder="1"/>
    <xf numFmtId="167" fontId="5" fillId="0" borderId="6" xfId="0" applyNumberFormat="1" applyFont="1" applyFill="1" applyBorder="1"/>
    <xf numFmtId="164" fontId="13" fillId="0" borderId="6" xfId="0" applyNumberFormat="1" applyFont="1" applyBorder="1"/>
    <xf numFmtId="164" fontId="6" fillId="0" borderId="6" xfId="0" applyNumberFormat="1" applyFont="1" applyBorder="1"/>
    <xf numFmtId="0" fontId="4" fillId="0" borderId="0" xfId="0" applyFont="1" applyFill="1" applyBorder="1"/>
    <xf numFmtId="0" fontId="0" fillId="0" borderId="2" xfId="0" applyFill="1" applyBorder="1"/>
    <xf numFmtId="0" fontId="4" fillId="0" borderId="5" xfId="0" quotePrefix="1" applyFont="1" applyFill="1" applyBorder="1"/>
    <xf numFmtId="9" fontId="189" fillId="7" borderId="58" xfId="0" applyNumberFormat="1" applyFont="1" applyFill="1" applyBorder="1" applyAlignment="1">
      <alignment horizontal="center"/>
    </xf>
    <xf numFmtId="9" fontId="189" fillId="7" borderId="59" xfId="0" applyNumberFormat="1" applyFont="1" applyFill="1" applyBorder="1" applyAlignment="1">
      <alignment horizontal="center"/>
    </xf>
    <xf numFmtId="0" fontId="2" fillId="7" borderId="60" xfId="0" applyFont="1" applyFill="1" applyBorder="1" applyAlignment="1">
      <alignment horizontal="center"/>
    </xf>
    <xf numFmtId="0" fontId="2" fillId="7" borderId="33" xfId="0" applyFont="1" applyFill="1" applyBorder="1" applyAlignment="1">
      <alignment horizontal="center"/>
    </xf>
    <xf numFmtId="9" fontId="189" fillId="7" borderId="61" xfId="0" applyNumberFormat="1" applyFont="1" applyFill="1" applyBorder="1" applyAlignment="1">
      <alignment horizontal="center"/>
    </xf>
    <xf numFmtId="9" fontId="189" fillId="7" borderId="62" xfId="0" applyNumberFormat="1" applyFont="1" applyFill="1" applyBorder="1" applyAlignment="1">
      <alignment horizontal="center"/>
    </xf>
    <xf numFmtId="0" fontId="1" fillId="6" borderId="3" xfId="0" applyFont="1" applyFill="1" applyBorder="1"/>
    <xf numFmtId="0" fontId="1" fillId="6" borderId="2" xfId="0" applyFont="1" applyFill="1" applyBorder="1"/>
    <xf numFmtId="0" fontId="3" fillId="6" borderId="2" xfId="0" applyFont="1" applyFill="1" applyBorder="1"/>
    <xf numFmtId="0" fontId="3" fillId="6" borderId="4" xfId="0" applyFont="1" applyFill="1" applyBorder="1"/>
    <xf numFmtId="0" fontId="0" fillId="0" borderId="7" xfId="0" applyBorder="1"/>
    <xf numFmtId="0" fontId="2" fillId="5" borderId="0" xfId="0" applyFont="1" applyFill="1" applyBorder="1"/>
    <xf numFmtId="0" fontId="0" fillId="5" borderId="0" xfId="0" applyFill="1" applyBorder="1"/>
    <xf numFmtId="0" fontId="0" fillId="5" borderId="6" xfId="0" applyFill="1" applyBorder="1"/>
    <xf numFmtId="0" fontId="2" fillId="5" borderId="7" xfId="0" applyFont="1" applyFill="1" applyBorder="1"/>
    <xf numFmtId="0" fontId="2" fillId="0" borderId="7" xfId="0" applyFont="1" applyFill="1" applyBorder="1"/>
    <xf numFmtId="0" fontId="4" fillId="0" borderId="0" xfId="0" applyFont="1" applyFill="1" applyBorder="1" applyAlignment="1">
      <alignment horizontal="center"/>
    </xf>
    <xf numFmtId="0" fontId="2" fillId="8" borderId="0" xfId="0" applyFont="1" applyFill="1" applyBorder="1" applyAlignment="1">
      <alignment horizontal="centerContinuous"/>
    </xf>
    <xf numFmtId="0" fontId="2" fillId="9" borderId="0" xfId="0" applyFont="1" applyFill="1" applyBorder="1" applyAlignment="1">
      <alignment horizontal="centerContinuous"/>
    </xf>
    <xf numFmtId="0" fontId="2" fillId="0" borderId="0" xfId="0" applyFont="1" applyFill="1" applyBorder="1" applyAlignment="1">
      <alignment horizontal="center"/>
    </xf>
    <xf numFmtId="175" fontId="22" fillId="0" borderId="0" xfId="0" applyNumberFormat="1" applyFont="1" applyFill="1" applyBorder="1"/>
    <xf numFmtId="172" fontId="22" fillId="0" borderId="0" xfId="0" applyNumberFormat="1" applyFont="1" applyFill="1" applyBorder="1"/>
    <xf numFmtId="0" fontId="0" fillId="0" borderId="5" xfId="0" applyFont="1" applyFill="1" applyBorder="1"/>
    <xf numFmtId="175" fontId="15" fillId="0" borderId="0" xfId="0" applyNumberFormat="1" applyFont="1" applyFill="1" applyBorder="1"/>
    <xf numFmtId="172" fontId="15" fillId="0" borderId="0" xfId="0" applyNumberFormat="1" applyFont="1" applyFill="1" applyBorder="1"/>
    <xf numFmtId="164" fontId="2" fillId="0" borderId="0" xfId="0" applyNumberFormat="1" applyFont="1" applyBorder="1"/>
    <xf numFmtId="167" fontId="10" fillId="0" borderId="0" xfId="0" applyNumberFormat="1" applyFont="1" applyBorder="1"/>
    <xf numFmtId="0" fontId="4" fillId="0" borderId="7" xfId="0" applyFont="1" applyBorder="1"/>
    <xf numFmtId="165" fontId="17" fillId="0" borderId="0" xfId="0" applyNumberFormat="1" applyFont="1" applyBorder="1"/>
    <xf numFmtId="0" fontId="14" fillId="0" borderId="7" xfId="0" applyFont="1" applyBorder="1"/>
    <xf numFmtId="0" fontId="21" fillId="0" borderId="7" xfId="0" applyFont="1" applyBorder="1"/>
    <xf numFmtId="0" fontId="14" fillId="0" borderId="0" xfId="0" applyFont="1" applyBorder="1"/>
    <xf numFmtId="0" fontId="1" fillId="41" borderId="0" xfId="0" applyFont="1" applyFill="1" applyBorder="1" applyAlignment="1">
      <alignment horizontal="center"/>
    </xf>
    <xf numFmtId="0" fontId="21" fillId="0" borderId="0" xfId="0" applyFont="1" applyBorder="1"/>
    <xf numFmtId="0" fontId="0" fillId="0" borderId="8" xfId="0" applyBorder="1"/>
    <xf numFmtId="0" fontId="2" fillId="71" borderId="0" xfId="0" applyFont="1" applyFill="1" applyBorder="1" applyAlignment="1">
      <alignment horizontal="centerContinuous"/>
    </xf>
    <xf numFmtId="0" fontId="2" fillId="71" borderId="6" xfId="0" applyFont="1" applyFill="1" applyBorder="1" applyAlignment="1">
      <alignment horizontal="centerContinuous"/>
    </xf>
    <xf numFmtId="165" fontId="0" fillId="0" borderId="1" xfId="0" applyNumberFormat="1" applyBorder="1" applyAlignment="1">
      <alignment horizontal="center"/>
    </xf>
    <xf numFmtId="164" fontId="15" fillId="0" borderId="0" xfId="0" applyNumberFormat="1" applyFont="1" applyBorder="1" applyAlignment="1">
      <alignment horizontal="center"/>
    </xf>
    <xf numFmtId="164" fontId="22" fillId="0" borderId="1" xfId="0" applyNumberFormat="1" applyFont="1" applyBorder="1" applyAlignment="1">
      <alignment horizontal="center"/>
    </xf>
    <xf numFmtId="0" fontId="0" fillId="9" borderId="0" xfId="0" applyFill="1" applyBorder="1"/>
    <xf numFmtId="0" fontId="2" fillId="9" borderId="0" xfId="0" applyFont="1" applyFill="1" applyBorder="1"/>
    <xf numFmtId="8" fontId="15" fillId="9" borderId="0" xfId="0" applyNumberFormat="1" applyFont="1" applyFill="1" applyBorder="1" applyAlignment="1">
      <alignment horizontal="center"/>
    </xf>
    <xf numFmtId="9" fontId="4" fillId="0" borderId="0" xfId="2" applyFont="1" applyFill="1" applyBorder="1" applyAlignment="1">
      <alignment horizontal="center"/>
    </xf>
    <xf numFmtId="0" fontId="1" fillId="41" borderId="0" xfId="0" applyFont="1" applyFill="1" applyAlignment="1">
      <alignment horizontal="center"/>
    </xf>
    <xf numFmtId="0" fontId="3" fillId="41" borderId="0" xfId="0" applyFont="1" applyFill="1"/>
    <xf numFmtId="0" fontId="1" fillId="41" borderId="4" xfId="0" applyFont="1" applyFill="1" applyBorder="1" applyAlignment="1">
      <alignment horizontal="center"/>
    </xf>
    <xf numFmtId="0" fontId="2" fillId="0" borderId="6" xfId="0" applyFont="1" applyBorder="1" applyAlignment="1">
      <alignment horizontal="center"/>
    </xf>
    <xf numFmtId="0" fontId="6" fillId="3" borderId="6" xfId="0" applyNumberFormat="1" applyFont="1" applyFill="1" applyBorder="1" applyAlignment="1"/>
    <xf numFmtId="164" fontId="6" fillId="0" borderId="8" xfId="0" applyNumberFormat="1" applyFont="1" applyBorder="1"/>
    <xf numFmtId="167" fontId="10" fillId="0" borderId="6" xfId="0" applyNumberFormat="1" applyFont="1" applyBorder="1"/>
    <xf numFmtId="164" fontId="2" fillId="0" borderId="6" xfId="0" applyNumberFormat="1" applyFont="1" applyBorder="1"/>
    <xf numFmtId="165" fontId="6" fillId="0" borderId="6" xfId="0" applyNumberFormat="1" applyFont="1" applyBorder="1"/>
    <xf numFmtId="166" fontId="6" fillId="0" borderId="6" xfId="0" applyNumberFormat="1" applyFont="1" applyFill="1" applyBorder="1" applyAlignment="1"/>
    <xf numFmtId="164" fontId="10" fillId="0" borderId="6" xfId="0" applyNumberFormat="1" applyFont="1" applyBorder="1"/>
    <xf numFmtId="0" fontId="17" fillId="0" borderId="6" xfId="0" applyFont="1" applyBorder="1" applyAlignment="1">
      <alignment horizontal="center"/>
    </xf>
    <xf numFmtId="0" fontId="1" fillId="41" borderId="45" xfId="0" applyFont="1" applyFill="1" applyBorder="1" applyAlignment="1">
      <alignment horizontal="center"/>
    </xf>
    <xf numFmtId="0" fontId="2" fillId="0" borderId="32" xfId="0" applyFont="1" applyBorder="1" applyAlignment="1">
      <alignment horizontal="center"/>
    </xf>
    <xf numFmtId="165" fontId="6" fillId="3" borderId="32" xfId="0" applyNumberFormat="1" applyFont="1" applyFill="1" applyBorder="1" applyAlignment="1"/>
    <xf numFmtId="165" fontId="6" fillId="0" borderId="32" xfId="0" applyNumberFormat="1" applyFont="1" applyBorder="1" applyAlignment="1"/>
    <xf numFmtId="164" fontId="6" fillId="0" borderId="32" xfId="0" applyNumberFormat="1" applyFont="1" applyBorder="1"/>
    <xf numFmtId="164" fontId="6" fillId="0" borderId="42" xfId="0" applyNumberFormat="1" applyFont="1" applyBorder="1"/>
    <xf numFmtId="164" fontId="13" fillId="0" borderId="32" xfId="0" applyNumberFormat="1" applyFont="1" applyBorder="1"/>
    <xf numFmtId="167" fontId="10" fillId="0" borderId="32" xfId="0" applyNumberFormat="1" applyFont="1" applyBorder="1"/>
    <xf numFmtId="164" fontId="2" fillId="0" borderId="32" xfId="0" applyNumberFormat="1" applyFont="1" applyBorder="1"/>
    <xf numFmtId="165" fontId="6" fillId="0" borderId="32" xfId="0" applyNumberFormat="1" applyFont="1" applyBorder="1"/>
    <xf numFmtId="166" fontId="6" fillId="0" borderId="32" xfId="0" applyNumberFormat="1" applyFont="1" applyFill="1" applyBorder="1" applyAlignment="1"/>
    <xf numFmtId="164" fontId="10" fillId="0" borderId="32" xfId="0" applyNumberFormat="1" applyFont="1" applyBorder="1"/>
    <xf numFmtId="0" fontId="17" fillId="0" borderId="32" xfId="0" applyFont="1" applyBorder="1" applyAlignment="1">
      <alignment horizontal="center"/>
    </xf>
    <xf numFmtId="0" fontId="2" fillId="2" borderId="0" xfId="0" applyFont="1" applyFill="1"/>
    <xf numFmtId="165" fontId="6" fillId="2" borderId="0" xfId="0" applyNumberFormat="1" applyFont="1" applyFill="1"/>
    <xf numFmtId="164" fontId="13" fillId="7" borderId="32" xfId="0" applyNumberFormat="1" applyFont="1" applyFill="1" applyBorder="1"/>
    <xf numFmtId="164" fontId="13" fillId="7" borderId="6" xfId="0" applyNumberFormat="1" applyFont="1" applyFill="1" applyBorder="1"/>
    <xf numFmtId="164" fontId="13" fillId="7" borderId="0" xfId="0" applyNumberFormat="1" applyFont="1" applyFill="1"/>
    <xf numFmtId="0" fontId="2" fillId="7" borderId="0" xfId="0" applyFont="1" applyFill="1"/>
    <xf numFmtId="167" fontId="5" fillId="0" borderId="0" xfId="0" applyNumberFormat="1" applyFont="1" applyFill="1"/>
    <xf numFmtId="172" fontId="5" fillId="0" borderId="0" xfId="0" applyNumberFormat="1" applyFont="1" applyFill="1"/>
    <xf numFmtId="165" fontId="18" fillId="0" borderId="0" xfId="0" applyNumberFormat="1" applyFont="1" applyFill="1"/>
    <xf numFmtId="174" fontId="10" fillId="0" borderId="0" xfId="2" applyNumberFormat="1" applyFont="1" applyFill="1" applyBorder="1"/>
    <xf numFmtId="0" fontId="4" fillId="0" borderId="7" xfId="0" applyFont="1" applyFill="1" applyBorder="1"/>
    <xf numFmtId="164" fontId="13" fillId="0" borderId="2" xfId="0" applyNumberFormat="1" applyFont="1" applyFill="1" applyBorder="1"/>
    <xf numFmtId="0" fontId="0" fillId="0" borderId="11" xfId="0" applyFill="1" applyBorder="1"/>
    <xf numFmtId="0" fontId="0" fillId="0" borderId="12" xfId="0" applyFill="1" applyBorder="1"/>
    <xf numFmtId="164" fontId="22" fillId="0" borderId="0" xfId="0" applyNumberFormat="1" applyFont="1" applyBorder="1"/>
    <xf numFmtId="0" fontId="0" fillId="0" borderId="5" xfId="0" applyFont="1" applyBorder="1"/>
    <xf numFmtId="165" fontId="23" fillId="0" borderId="0" xfId="0" applyNumberFormat="1" applyFont="1" applyBorder="1"/>
    <xf numFmtId="164" fontId="190" fillId="0" borderId="0" xfId="0" applyNumberFormat="1" applyFont="1" applyBorder="1"/>
    <xf numFmtId="0" fontId="1" fillId="0" borderId="0" xfId="0" applyFont="1" applyFill="1" applyBorder="1" applyAlignment="1">
      <alignment horizontal="center"/>
    </xf>
    <xf numFmtId="0" fontId="2" fillId="0" borderId="0" xfId="0" quotePrefix="1" applyFont="1" applyFill="1" applyBorder="1" applyAlignment="1">
      <alignment horizontal="center"/>
    </xf>
    <xf numFmtId="0" fontId="2" fillId="0" borderId="6" xfId="0" quotePrefix="1" applyFont="1" applyFill="1" applyBorder="1" applyAlignment="1">
      <alignment horizontal="center"/>
    </xf>
    <xf numFmtId="172" fontId="22" fillId="0" borderId="6" xfId="0" applyNumberFormat="1" applyFont="1" applyFill="1" applyBorder="1"/>
    <xf numFmtId="172" fontId="20" fillId="0" borderId="0" xfId="0" applyNumberFormat="1" applyFont="1" applyFill="1" applyBorder="1"/>
    <xf numFmtId="172" fontId="20" fillId="0" borderId="1" xfId="0" applyNumberFormat="1" applyFont="1" applyFill="1" applyBorder="1"/>
    <xf numFmtId="172" fontId="22" fillId="0" borderId="1" xfId="0" applyNumberFormat="1" applyFont="1" applyFill="1" applyBorder="1"/>
    <xf numFmtId="172" fontId="15" fillId="0" borderId="4" xfId="0" applyNumberFormat="1" applyFont="1" applyFill="1" applyBorder="1"/>
    <xf numFmtId="0" fontId="0" fillId="0" borderId="0" xfId="0" applyFont="1" applyBorder="1"/>
    <xf numFmtId="164" fontId="15" fillId="0" borderId="0" xfId="0" applyNumberFormat="1" applyFont="1" applyBorder="1"/>
    <xf numFmtId="0" fontId="15" fillId="0" borderId="0" xfId="0" applyFont="1" applyFill="1" applyBorder="1"/>
    <xf numFmtId="164" fontId="22" fillId="0" borderId="0" xfId="0" applyNumberFormat="1" applyFont="1" applyBorder="1" applyAlignment="1">
      <alignment horizontal="center"/>
    </xf>
    <xf numFmtId="0" fontId="2" fillId="72" borderId="0" xfId="0" applyFont="1" applyFill="1" applyBorder="1" applyAlignment="1">
      <alignment horizontal="centerContinuous"/>
    </xf>
    <xf numFmtId="164" fontId="22" fillId="0" borderId="0" xfId="0" applyNumberFormat="1" applyFont="1" applyFill="1" applyBorder="1" applyAlignment="1">
      <alignment horizontal="center"/>
    </xf>
    <xf numFmtId="164" fontId="22" fillId="0" borderId="1" xfId="0" applyNumberFormat="1" applyFont="1" applyFill="1" applyBorder="1" applyAlignment="1">
      <alignment horizontal="center"/>
    </xf>
    <xf numFmtId="0" fontId="0" fillId="0" borderId="64" xfId="0" applyBorder="1"/>
    <xf numFmtId="167" fontId="5" fillId="0" borderId="6" xfId="0" applyNumberFormat="1" applyFont="1" applyBorder="1"/>
    <xf numFmtId="167" fontId="5" fillId="0" borderId="63" xfId="0" applyNumberFormat="1" applyFont="1" applyBorder="1"/>
    <xf numFmtId="167" fontId="5" fillId="0" borderId="8" xfId="0" applyNumberFormat="1" applyFont="1" applyBorder="1"/>
    <xf numFmtId="171" fontId="20" fillId="0" borderId="1" xfId="0" applyNumberFormat="1" applyFont="1" applyBorder="1"/>
    <xf numFmtId="164" fontId="22" fillId="0" borderId="0" xfId="0" applyNumberFormat="1" applyFont="1"/>
    <xf numFmtId="0" fontId="4" fillId="0" borderId="1" xfId="0" applyFont="1" applyBorder="1"/>
    <xf numFmtId="167" fontId="10" fillId="0" borderId="1" xfId="0" applyNumberFormat="1" applyFont="1" applyBorder="1"/>
    <xf numFmtId="164" fontId="22" fillId="0" borderId="1" xfId="0" applyNumberFormat="1" applyFont="1" applyBorder="1"/>
    <xf numFmtId="164" fontId="192" fillId="0" borderId="32" xfId="0" applyNumberFormat="1" applyFont="1" applyBorder="1"/>
    <xf numFmtId="164" fontId="192" fillId="0" borderId="6" xfId="0" applyNumberFormat="1" applyFont="1" applyBorder="1"/>
    <xf numFmtId="0" fontId="14" fillId="0" borderId="0" xfId="0" applyFont="1"/>
    <xf numFmtId="164" fontId="2" fillId="0" borderId="45" xfId="0" applyNumberFormat="1" applyFont="1" applyBorder="1"/>
    <xf numFmtId="164" fontId="5" fillId="0" borderId="0" xfId="0" applyNumberFormat="1" applyFont="1" applyFill="1" applyBorder="1"/>
    <xf numFmtId="164" fontId="193" fillId="0" borderId="0" xfId="0" applyNumberFormat="1" applyFont="1" applyBorder="1"/>
    <xf numFmtId="164" fontId="13" fillId="0" borderId="0" xfId="0" applyNumberFormat="1" applyFont="1" applyFill="1" applyBorder="1"/>
    <xf numFmtId="167" fontId="7" fillId="0" borderId="0" xfId="0" applyNumberFormat="1" applyFont="1"/>
    <xf numFmtId="167" fontId="7" fillId="0" borderId="1" xfId="0" applyNumberFormat="1" applyFont="1" applyBorder="1"/>
    <xf numFmtId="0" fontId="21" fillId="0" borderId="0" xfId="0" applyFont="1"/>
    <xf numFmtId="9" fontId="0" fillId="0" borderId="0" xfId="2" applyFont="1"/>
    <xf numFmtId="0" fontId="0" fillId="71" borderId="36" xfId="0" applyFill="1" applyBorder="1"/>
    <xf numFmtId="164" fontId="190" fillId="0" borderId="0" xfId="0" applyNumberFormat="1" applyFont="1" applyBorder="1" applyAlignment="1">
      <alignment horizontal="center"/>
    </xf>
    <xf numFmtId="172" fontId="22" fillId="0" borderId="0" xfId="0" applyNumberFormat="1" applyFont="1" applyFill="1" applyBorder="1" applyAlignment="1">
      <alignment horizontal="center"/>
    </xf>
    <xf numFmtId="172" fontId="22" fillId="0" borderId="1" xfId="0" applyNumberFormat="1" applyFont="1" applyFill="1" applyBorder="1" applyAlignment="1">
      <alignment horizontal="center"/>
    </xf>
    <xf numFmtId="164" fontId="0" fillId="0" borderId="0" xfId="0" applyNumberFormat="1" applyAlignment="1">
      <alignment horizontal="center"/>
    </xf>
    <xf numFmtId="164" fontId="0" fillId="0" borderId="1" xfId="0" applyNumberFormat="1" applyBorder="1" applyAlignment="1">
      <alignment horizontal="center"/>
    </xf>
    <xf numFmtId="9" fontId="0" fillId="0" borderId="1" xfId="2" applyFont="1" applyBorder="1" applyAlignment="1">
      <alignment horizontal="center"/>
    </xf>
    <xf numFmtId="9" fontId="0" fillId="71" borderId="42" xfId="0" applyNumberFormat="1" applyFill="1" applyBorder="1" applyAlignment="1">
      <alignment horizontal="center"/>
    </xf>
    <xf numFmtId="9" fontId="0" fillId="71" borderId="36" xfId="0" applyNumberFormat="1" applyFill="1" applyBorder="1" applyAlignment="1">
      <alignment horizontal="center"/>
    </xf>
    <xf numFmtId="164" fontId="2" fillId="0" borderId="0" xfId="0" applyNumberFormat="1" applyFont="1" applyAlignment="1">
      <alignment horizontal="center"/>
    </xf>
    <xf numFmtId="164" fontId="0" fillId="0" borderId="8" xfId="0" applyNumberFormat="1" applyBorder="1" applyAlignment="1">
      <alignment horizontal="center"/>
    </xf>
    <xf numFmtId="0" fontId="196" fillId="0" borderId="0" xfId="0" applyFont="1" applyFill="1" applyBorder="1" applyAlignment="1">
      <alignment horizontal="center"/>
    </xf>
    <xf numFmtId="9" fontId="23" fillId="0" borderId="0" xfId="2" applyFont="1" applyFill="1" applyBorder="1" applyAlignment="1">
      <alignment horizontal="center"/>
    </xf>
    <xf numFmtId="0" fontId="0" fillId="0" borderId="0" xfId="0" applyBorder="1" applyAlignment="1">
      <alignment horizontal="center"/>
    </xf>
    <xf numFmtId="164" fontId="22" fillId="2" borderId="0" xfId="0" applyNumberFormat="1" applyFont="1" applyFill="1" applyBorder="1" applyAlignment="1">
      <alignment horizontal="center"/>
    </xf>
    <xf numFmtId="164" fontId="5" fillId="2" borderId="0" xfId="0" applyNumberFormat="1" applyFont="1" applyFill="1" applyBorder="1" applyAlignment="1">
      <alignment horizontal="center"/>
    </xf>
    <xf numFmtId="165" fontId="18" fillId="2" borderId="2" xfId="0" applyNumberFormat="1" applyFont="1" applyFill="1" applyBorder="1"/>
    <xf numFmtId="164" fontId="22" fillId="0" borderId="0" xfId="0" applyNumberFormat="1" applyFont="1" applyFill="1" applyBorder="1"/>
    <xf numFmtId="164" fontId="15" fillId="0" borderId="0" xfId="0" applyNumberFormat="1" applyFont="1" applyFill="1" applyBorder="1"/>
    <xf numFmtId="171" fontId="22" fillId="71" borderId="0" xfId="0" applyNumberFormat="1" applyFont="1" applyFill="1" applyBorder="1"/>
    <xf numFmtId="172" fontId="22" fillId="2" borderId="36" xfId="0" applyNumberFormat="1" applyFont="1" applyFill="1" applyBorder="1"/>
    <xf numFmtId="9" fontId="0" fillId="2" borderId="36" xfId="0" applyNumberFormat="1" applyFill="1" applyBorder="1" applyAlignment="1">
      <alignment horizontal="center"/>
    </xf>
    <xf numFmtId="9" fontId="5" fillId="2" borderId="36" xfId="0" applyNumberFormat="1" applyFont="1" applyFill="1" applyBorder="1" applyAlignment="1">
      <alignment horizontal="center"/>
    </xf>
    <xf numFmtId="164" fontId="22" fillId="2" borderId="1" xfId="0" applyNumberFormat="1" applyFont="1" applyFill="1" applyBorder="1"/>
    <xf numFmtId="164" fontId="5" fillId="2" borderId="1" xfId="0" applyNumberFormat="1" applyFont="1" applyFill="1" applyBorder="1"/>
    <xf numFmtId="172" fontId="0" fillId="2" borderId="1" xfId="0" applyNumberFormat="1" applyFill="1" applyBorder="1"/>
    <xf numFmtId="174" fontId="4" fillId="0" borderId="0" xfId="2" applyNumberFormat="1" applyFont="1" applyFill="1" applyBorder="1"/>
    <xf numFmtId="164" fontId="0" fillId="0" borderId="0" xfId="0" applyNumberFormat="1" applyFill="1" applyBorder="1"/>
    <xf numFmtId="164" fontId="4" fillId="0" borderId="0" xfId="0" applyNumberFormat="1" applyFont="1" applyFill="1" applyBorder="1"/>
    <xf numFmtId="164" fontId="0" fillId="2" borderId="36" xfId="0" applyNumberFormat="1" applyFont="1" applyFill="1" applyBorder="1"/>
    <xf numFmtId="164" fontId="5" fillId="2" borderId="36" xfId="0" applyNumberFormat="1" applyFont="1" applyFill="1" applyBorder="1"/>
    <xf numFmtId="164" fontId="18" fillId="2" borderId="1" xfId="0" applyNumberFormat="1" applyFont="1" applyFill="1" applyBorder="1"/>
    <xf numFmtId="0" fontId="0" fillId="0" borderId="7" xfId="0" applyFont="1" applyBorder="1"/>
    <xf numFmtId="0" fontId="22" fillId="0" borderId="7" xfId="1915" applyFont="1" applyBorder="1"/>
    <xf numFmtId="164" fontId="0" fillId="0" borderId="0" xfId="0" applyNumberFormat="1" applyFont="1" applyFill="1" applyBorder="1" applyAlignment="1">
      <alignment horizontal="center"/>
    </xf>
    <xf numFmtId="0" fontId="0" fillId="0" borderId="0" xfId="0" applyFont="1" applyFill="1"/>
    <xf numFmtId="0" fontId="0" fillId="0" borderId="6" xfId="0" applyFont="1" applyBorder="1"/>
    <xf numFmtId="0" fontId="0" fillId="2" borderId="0" xfId="0" applyFont="1" applyFill="1"/>
    <xf numFmtId="0" fontId="0" fillId="2" borderId="1" xfId="0" applyFont="1" applyFill="1" applyBorder="1"/>
    <xf numFmtId="0" fontId="0" fillId="7" borderId="0" xfId="0" applyFont="1" applyFill="1"/>
    <xf numFmtId="0" fontId="0" fillId="0" borderId="32" xfId="0" applyFont="1" applyBorder="1"/>
    <xf numFmtId="164" fontId="0" fillId="2" borderId="1" xfId="0" applyNumberFormat="1" applyFont="1" applyFill="1" applyBorder="1"/>
    <xf numFmtId="164" fontId="0" fillId="0" borderId="1" xfId="0" applyNumberFormat="1" applyFont="1" applyBorder="1"/>
    <xf numFmtId="164" fontId="0" fillId="0" borderId="0" xfId="0" applyNumberFormat="1" applyFont="1"/>
    <xf numFmtId="43" fontId="0" fillId="0" borderId="0" xfId="0" applyNumberFormat="1" applyFont="1"/>
    <xf numFmtId="170" fontId="0" fillId="0" borderId="0" xfId="0" applyNumberFormat="1" applyFont="1"/>
    <xf numFmtId="169" fontId="0" fillId="0" borderId="0" xfId="0" applyNumberFormat="1" applyFont="1"/>
    <xf numFmtId="0" fontId="22" fillId="0" borderId="0" xfId="0" applyFont="1" applyAlignment="1">
      <alignment vertical="top"/>
    </xf>
    <xf numFmtId="0" fontId="22" fillId="0" borderId="1" xfId="0" applyFont="1" applyBorder="1" applyAlignment="1">
      <alignment vertical="top"/>
    </xf>
    <xf numFmtId="0" fontId="15" fillId="7" borderId="0" xfId="0" applyFont="1" applyFill="1" applyAlignment="1">
      <alignment vertical="top"/>
    </xf>
    <xf numFmtId="164" fontId="22" fillId="0" borderId="0" xfId="0" applyNumberFormat="1" applyFont="1" applyAlignment="1">
      <alignment vertical="top"/>
    </xf>
    <xf numFmtId="0" fontId="15" fillId="0" borderId="0" xfId="0" applyFont="1" applyBorder="1" applyAlignment="1">
      <alignment vertical="top"/>
    </xf>
    <xf numFmtId="0" fontId="22" fillId="0" borderId="1" xfId="0" applyFont="1" applyFill="1" applyBorder="1" applyAlignment="1">
      <alignment vertical="top"/>
    </xf>
    <xf numFmtId="0" fontId="15" fillId="0" borderId="0" xfId="0" applyFont="1" applyFill="1" applyBorder="1" applyAlignment="1">
      <alignment vertical="top"/>
    </xf>
    <xf numFmtId="0" fontId="15" fillId="0" borderId="0" xfId="0" applyFont="1" applyAlignment="1">
      <alignment vertical="top"/>
    </xf>
    <xf numFmtId="3" fontId="0" fillId="0" borderId="0" xfId="0" applyNumberFormat="1" applyFont="1"/>
    <xf numFmtId="164" fontId="197" fillId="73" borderId="0" xfId="0" applyNumberFormat="1" applyFont="1" applyFill="1"/>
    <xf numFmtId="164" fontId="193" fillId="0" borderId="0" xfId="0" applyNumberFormat="1" applyFont="1" applyFill="1" applyBorder="1"/>
    <xf numFmtId="175" fontId="22" fillId="0" borderId="0" xfId="0" applyNumberFormat="1" applyFont="1" applyFill="1" applyBorder="1" applyAlignment="1">
      <alignment horizontal="center"/>
    </xf>
    <xf numFmtId="175" fontId="22" fillId="0" borderId="1" xfId="0" applyNumberFormat="1" applyFont="1" applyFill="1" applyBorder="1" applyAlignment="1">
      <alignment horizontal="center"/>
    </xf>
    <xf numFmtId="175" fontId="15" fillId="0" borderId="0" xfId="0" applyNumberFormat="1" applyFont="1" applyFill="1" applyBorder="1" applyAlignment="1">
      <alignment horizontal="center"/>
    </xf>
    <xf numFmtId="0" fontId="1" fillId="41" borderId="0" xfId="0" applyFont="1" applyFill="1"/>
    <xf numFmtId="0" fontId="1" fillId="41" borderId="0" xfId="0" quotePrefix="1" applyFont="1" applyFill="1" applyBorder="1" applyAlignment="1">
      <alignment horizontal="center"/>
    </xf>
    <xf numFmtId="171" fontId="0" fillId="0" borderId="1" xfId="0" applyNumberFormat="1" applyFill="1" applyBorder="1"/>
    <xf numFmtId="0" fontId="2" fillId="0" borderId="1" xfId="0" applyFont="1" applyBorder="1"/>
    <xf numFmtId="164" fontId="18" fillId="0" borderId="0" xfId="0" applyNumberFormat="1" applyFont="1" applyBorder="1" applyAlignment="1">
      <alignment horizontal="center"/>
    </xf>
    <xf numFmtId="164" fontId="18" fillId="0" borderId="1" xfId="0" applyNumberFormat="1" applyFont="1" applyBorder="1" applyAlignment="1">
      <alignment horizontal="center"/>
    </xf>
    <xf numFmtId="164" fontId="6" fillId="0" borderId="0" xfId="0" applyNumberFormat="1" applyFont="1" applyBorder="1" applyAlignment="1">
      <alignment horizontal="center"/>
    </xf>
    <xf numFmtId="164" fontId="6" fillId="0" borderId="1" xfId="0" applyNumberFormat="1" applyFont="1" applyBorder="1" applyAlignment="1">
      <alignment horizontal="center"/>
    </xf>
    <xf numFmtId="175" fontId="6" fillId="0" borderId="0" xfId="0" applyNumberFormat="1" applyFont="1" applyFill="1" applyBorder="1" applyAlignment="1">
      <alignment horizontal="center"/>
    </xf>
    <xf numFmtId="175" fontId="6" fillId="0" borderId="1" xfId="0" applyNumberFormat="1" applyFont="1" applyFill="1" applyBorder="1" applyAlignment="1">
      <alignment horizontal="center"/>
    </xf>
    <xf numFmtId="175" fontId="13" fillId="0" borderId="0" xfId="0" applyNumberFormat="1" applyFont="1" applyFill="1" applyBorder="1" applyAlignment="1">
      <alignment horizontal="center"/>
    </xf>
    <xf numFmtId="164" fontId="13" fillId="0" borderId="0" xfId="0" applyNumberFormat="1" applyFont="1" applyBorder="1" applyAlignment="1">
      <alignment horizontal="center"/>
    </xf>
    <xf numFmtId="9" fontId="23" fillId="0" borderId="1" xfId="2" applyFont="1" applyFill="1" applyBorder="1" applyAlignment="1">
      <alignment horizontal="center"/>
    </xf>
    <xf numFmtId="0" fontId="198" fillId="41" borderId="0" xfId="0" applyFont="1" applyFill="1" applyBorder="1"/>
    <xf numFmtId="164" fontId="22" fillId="0" borderId="6" xfId="0" applyNumberFormat="1" applyFont="1" applyBorder="1" applyAlignment="1">
      <alignment horizontal="center"/>
    </xf>
    <xf numFmtId="164" fontId="22" fillId="0" borderId="8" xfId="0" applyNumberFormat="1" applyFont="1" applyBorder="1" applyAlignment="1">
      <alignment horizontal="center"/>
    </xf>
    <xf numFmtId="172" fontId="5" fillId="0" borderId="0" xfId="0" applyNumberFormat="1" applyFont="1" applyFill="1" applyBorder="1"/>
    <xf numFmtId="172" fontId="5" fillId="0" borderId="1" xfId="0" applyNumberFormat="1" applyFont="1" applyFill="1" applyBorder="1"/>
    <xf numFmtId="172" fontId="5" fillId="2" borderId="36" xfId="0" applyNumberFormat="1" applyFont="1" applyFill="1" applyBorder="1"/>
    <xf numFmtId="175" fontId="5" fillId="2" borderId="36" xfId="0" applyNumberFormat="1" applyFont="1" applyFill="1" applyBorder="1" applyAlignment="1">
      <alignment horizontal="center"/>
    </xf>
    <xf numFmtId="0" fontId="195" fillId="0" borderId="0" xfId="0" applyFont="1" applyFill="1" applyBorder="1" applyAlignment="1">
      <alignment horizontal="centerContinuous"/>
    </xf>
    <xf numFmtId="0" fontId="15" fillId="0" borderId="0" xfId="0" applyFont="1" applyFill="1" applyBorder="1" applyAlignment="1">
      <alignment horizontal="centerContinuous"/>
    </xf>
    <xf numFmtId="172" fontId="0" fillId="0" borderId="0" xfId="0" applyNumberFormat="1" applyFill="1" applyBorder="1" applyAlignment="1">
      <alignment horizontal="center"/>
    </xf>
    <xf numFmtId="164" fontId="2" fillId="0" borderId="0" xfId="0" applyNumberFormat="1" applyFont="1" applyFill="1" applyBorder="1" applyAlignment="1">
      <alignment horizontal="center"/>
    </xf>
    <xf numFmtId="172" fontId="2" fillId="0" borderId="0" xfId="0" applyNumberFormat="1" applyFont="1" applyFill="1" applyBorder="1" applyAlignment="1">
      <alignment horizontal="center"/>
    </xf>
    <xf numFmtId="164" fontId="15" fillId="0" borderId="0" xfId="0" applyNumberFormat="1" applyFont="1" applyFill="1" applyBorder="1" applyAlignment="1">
      <alignment horizontal="center"/>
    </xf>
    <xf numFmtId="8" fontId="15" fillId="0" borderId="0" xfId="0" applyNumberFormat="1" applyFont="1" applyFill="1" applyBorder="1" applyAlignment="1">
      <alignment horizontal="center"/>
    </xf>
    <xf numFmtId="165" fontId="0" fillId="0" borderId="0" xfId="0" applyNumberFormat="1" applyFill="1" applyBorder="1" applyAlignment="1">
      <alignment horizontal="center"/>
    </xf>
    <xf numFmtId="9" fontId="191" fillId="0" borderId="0" xfId="0" applyNumberFormat="1" applyFont="1" applyBorder="1" applyAlignment="1">
      <alignment horizontal="center"/>
    </xf>
    <xf numFmtId="165" fontId="6" fillId="0" borderId="42" xfId="0" applyNumberFormat="1" applyFont="1" applyBorder="1"/>
    <xf numFmtId="165" fontId="6" fillId="0" borderId="8" xfId="0" applyNumberFormat="1" applyFont="1" applyBorder="1"/>
    <xf numFmtId="165" fontId="0" fillId="0" borderId="1" xfId="0" applyNumberFormat="1" applyFont="1" applyBorder="1"/>
    <xf numFmtId="165" fontId="6" fillId="0" borderId="1" xfId="0" applyNumberFormat="1" applyFont="1" applyBorder="1"/>
    <xf numFmtId="165" fontId="0" fillId="2" borderId="1" xfId="0" applyNumberFormat="1" applyFont="1" applyFill="1" applyBorder="1"/>
    <xf numFmtId="165" fontId="5" fillId="0" borderId="1" xfId="0" applyNumberFormat="1" applyFont="1" applyBorder="1"/>
    <xf numFmtId="165" fontId="6" fillId="0" borderId="0" xfId="0" applyNumberFormat="1" applyFont="1" applyBorder="1"/>
    <xf numFmtId="0" fontId="0" fillId="0" borderId="0" xfId="0" applyAlignment="1">
      <alignment horizontal="center"/>
    </xf>
    <xf numFmtId="164" fontId="4" fillId="0" borderId="1" xfId="0" applyNumberFormat="1" applyFont="1" applyBorder="1"/>
    <xf numFmtId="0" fontId="0" fillId="0" borderId="61" xfId="0" applyBorder="1" applyAlignment="1">
      <alignment horizontal="center"/>
    </xf>
    <xf numFmtId="9" fontId="0" fillId="0" borderId="62" xfId="0" applyNumberFormat="1" applyBorder="1" applyAlignment="1">
      <alignment horizontal="center"/>
    </xf>
    <xf numFmtId="164" fontId="6" fillId="0" borderId="1" xfId="0" applyNumberFormat="1" applyFont="1" applyFill="1" applyBorder="1"/>
    <xf numFmtId="0" fontId="4" fillId="0" borderId="0" xfId="0" applyFont="1" applyAlignment="1">
      <alignment horizontal="center"/>
    </xf>
    <xf numFmtId="164" fontId="2" fillId="0" borderId="0" xfId="0" applyNumberFormat="1" applyFont="1" applyAlignment="1">
      <alignment horizontal="right"/>
    </xf>
    <xf numFmtId="172" fontId="23" fillId="0" borderId="0" xfId="0" applyNumberFormat="1" applyFont="1" applyFill="1" applyBorder="1" applyAlignment="1">
      <alignment horizontal="right"/>
    </xf>
    <xf numFmtId="167" fontId="10" fillId="0" borderId="0" xfId="0" applyNumberFormat="1" applyFont="1" applyAlignment="1">
      <alignment horizontal="right"/>
    </xf>
    <xf numFmtId="9" fontId="0" fillId="0" borderId="65" xfId="0" applyNumberFormat="1" applyBorder="1" applyAlignment="1">
      <alignment horizontal="center"/>
    </xf>
    <xf numFmtId="0" fontId="0" fillId="0" borderId="65" xfId="0" applyBorder="1" applyAlignment="1">
      <alignment horizontal="center"/>
    </xf>
    <xf numFmtId="165" fontId="18" fillId="0" borderId="0" xfId="0" applyNumberFormat="1" applyFont="1" applyBorder="1"/>
    <xf numFmtId="167" fontId="17" fillId="0" borderId="0" xfId="0" applyNumberFormat="1" applyFont="1"/>
    <xf numFmtId="0" fontId="10" fillId="0" borderId="0" xfId="0" applyFont="1" applyAlignment="1">
      <alignment horizontal="center"/>
    </xf>
    <xf numFmtId="164" fontId="10" fillId="0" borderId="1" xfId="0" applyNumberFormat="1" applyFont="1" applyBorder="1"/>
    <xf numFmtId="164" fontId="12" fillId="0" borderId="0" xfId="0" applyNumberFormat="1" applyFont="1" applyFill="1" applyBorder="1"/>
    <xf numFmtId="0" fontId="7" fillId="0" borderId="0" xfId="0" applyFont="1" applyAlignment="1">
      <alignment horizontal="center"/>
    </xf>
    <xf numFmtId="164" fontId="7" fillId="0" borderId="1" xfId="0" applyNumberFormat="1" applyFont="1" applyBorder="1"/>
    <xf numFmtId="9" fontId="5" fillId="0" borderId="62" xfId="0" applyNumberFormat="1" applyFont="1" applyBorder="1" applyAlignment="1">
      <alignment horizontal="center"/>
    </xf>
    <xf numFmtId="164" fontId="5" fillId="0" borderId="1" xfId="0" applyNumberFormat="1" applyFont="1" applyFill="1" applyBorder="1"/>
    <xf numFmtId="9" fontId="5" fillId="0" borderId="65" xfId="0" applyNumberFormat="1" applyFont="1" applyBorder="1" applyAlignment="1">
      <alignment horizontal="center"/>
    </xf>
    <xf numFmtId="0" fontId="2" fillId="0" borderId="58" xfId="0" applyFont="1" applyBorder="1"/>
    <xf numFmtId="0" fontId="0" fillId="0" borderId="59" xfId="0" applyBorder="1"/>
    <xf numFmtId="164" fontId="13" fillId="0" borderId="66" xfId="0" applyNumberFormat="1" applyFont="1" applyBorder="1" applyAlignment="1">
      <alignment horizontal="right"/>
    </xf>
    <xf numFmtId="0" fontId="0" fillId="0" borderId="67" xfId="0" applyBorder="1"/>
    <xf numFmtId="172" fontId="17" fillId="0" borderId="68" xfId="0" applyNumberFormat="1" applyFont="1" applyFill="1" applyBorder="1" applyAlignment="1">
      <alignment horizontal="right"/>
    </xf>
    <xf numFmtId="0" fontId="0" fillId="0" borderId="60" xfId="0" applyBorder="1"/>
    <xf numFmtId="0" fontId="4" fillId="0" borderId="33" xfId="0" applyFont="1" applyBorder="1"/>
    <xf numFmtId="0" fontId="0" fillId="0" borderId="33" xfId="0" applyBorder="1"/>
    <xf numFmtId="167" fontId="10" fillId="0" borderId="69" xfId="0" applyNumberFormat="1" applyFont="1" applyBorder="1" applyAlignment="1">
      <alignment horizontal="right"/>
    </xf>
    <xf numFmtId="0" fontId="199" fillId="0" borderId="0" xfId="0" applyFont="1" applyFill="1" applyBorder="1"/>
    <xf numFmtId="164" fontId="190" fillId="0" borderId="66" xfId="0" applyNumberFormat="1" applyFont="1" applyBorder="1" applyAlignment="1">
      <alignment horizontal="right"/>
    </xf>
    <xf numFmtId="167" fontId="17" fillId="0" borderId="69" xfId="0" applyNumberFormat="1" applyFont="1" applyBorder="1" applyAlignment="1">
      <alignment horizontal="right"/>
    </xf>
    <xf numFmtId="0" fontId="4" fillId="0" borderId="67" xfId="0" applyFont="1" applyBorder="1"/>
    <xf numFmtId="0" fontId="4" fillId="0" borderId="60" xfId="0" applyFont="1" applyBorder="1"/>
    <xf numFmtId="167" fontId="17" fillId="0" borderId="0" xfId="0" applyNumberFormat="1" applyFont="1" applyBorder="1" applyAlignment="1">
      <alignment horizontal="right"/>
    </xf>
    <xf numFmtId="172" fontId="5" fillId="0" borderId="6" xfId="0" applyNumberFormat="1" applyFont="1" applyFill="1" applyBorder="1"/>
    <xf numFmtId="172" fontId="5" fillId="0" borderId="8" xfId="0" applyNumberFormat="1" applyFont="1" applyFill="1" applyBorder="1"/>
  </cellXfs>
  <cellStyles count="1916">
    <cellStyle name="$ 0 decimal" xfId="6"/>
    <cellStyle name="$ 1 decimal" xfId="7"/>
    <cellStyle name="$ 1 decimal 2" xfId="8"/>
    <cellStyle name="$ 2 decimals" xfId="9"/>
    <cellStyle name="%" xfId="10"/>
    <cellStyle name="% Input" xfId="11"/>
    <cellStyle name="% Presentation" xfId="12"/>
    <cellStyle name="_%(SignOnly)" xfId="13"/>
    <cellStyle name="_%(SignOnly)_5515616_3" xfId="14"/>
    <cellStyle name="_%(SignOnly)_5515616_3_5401007_6" xfId="15"/>
    <cellStyle name="_%(SignOnly)_5515616_3_5401007_6_Project Kentucky Derby Model v75" xfId="16"/>
    <cellStyle name="_%(SignOnly)_5515616_3_5401007_6_Project Kentucky Derby Model v76" xfId="17"/>
    <cellStyle name="_%(SignOnly)_5515616_3_5401007_6_SBSAModel116(Company)" xfId="18"/>
    <cellStyle name="_%(SignOnly)_5515616_3_5963478_1" xfId="19"/>
    <cellStyle name="_%(SignOnly)_5515616_3_FON" xfId="20"/>
    <cellStyle name="_%(SignOnly)_5515616_3_Put Analysis" xfId="21"/>
    <cellStyle name="_%(SignOnly)_5515616_3_Put Analysis.v2" xfId="22"/>
    <cellStyle name="_%(SignOnly)_5515616_3_Put Analysis.v2_Project Kentucky Derby Model v75" xfId="23"/>
    <cellStyle name="_%(SignOnly)_5515616_3_Put Analysis.v2_Project Kentucky Derby Model v76" xfId="24"/>
    <cellStyle name="_%(SignOnly)_5515616_3_Put Analysis.v2_SBSAModel116(Company)" xfId="25"/>
    <cellStyle name="_%(SignOnly)_5515616_3_Put Analysis_Project Kentucky Derby Model v75" xfId="26"/>
    <cellStyle name="_%(SignOnly)_5515616_3_Put Analysis_Project Kentucky Derby Model v76" xfId="27"/>
    <cellStyle name="_%(SignOnly)_5515616_3_Put Analysis_SBSAModel116(Company)" xfId="28"/>
    <cellStyle name="_%(SignOnly)_5515616_3_Spin Model v.2" xfId="29"/>
    <cellStyle name="_%(SignOnly)_5515616_3_Spin Model v.2_Project Kentucky Derby Model v75" xfId="30"/>
    <cellStyle name="_%(SignOnly)_5515616_3_Spin Model v.2_Project Kentucky Derby Model v76" xfId="31"/>
    <cellStyle name="_%(SignOnly)_5515616_3_Spin Model v.2_SBSAModel116(Company)" xfId="32"/>
    <cellStyle name="_%(SignOnly)_5517854_3" xfId="33"/>
    <cellStyle name="_%(SignOnly)_5517854_3_5401007_6" xfId="34"/>
    <cellStyle name="_%(SignOnly)_5517854_3_5401007_6_Project Kentucky Derby Model v75" xfId="35"/>
    <cellStyle name="_%(SignOnly)_5517854_3_5401007_6_Project Kentucky Derby Model v76" xfId="36"/>
    <cellStyle name="_%(SignOnly)_5517854_3_5401007_6_SBSAModel116(Company)" xfId="37"/>
    <cellStyle name="_%(SignOnly)_5517854_3_5963478_1" xfId="38"/>
    <cellStyle name="_%(SignOnly)_5517854_3_FON" xfId="39"/>
    <cellStyle name="_%(SignOnly)_5517854_3_Put Analysis" xfId="40"/>
    <cellStyle name="_%(SignOnly)_5517854_3_Put Analysis.v2" xfId="41"/>
    <cellStyle name="_%(SignOnly)_5517854_3_Put Analysis.v2_Project Kentucky Derby Model v75" xfId="42"/>
    <cellStyle name="_%(SignOnly)_5517854_3_Put Analysis.v2_Project Kentucky Derby Model v76" xfId="43"/>
    <cellStyle name="_%(SignOnly)_5517854_3_Put Analysis.v2_SBSAModel116(Company)" xfId="44"/>
    <cellStyle name="_%(SignOnly)_5517854_3_Put Analysis_Project Kentucky Derby Model v75" xfId="45"/>
    <cellStyle name="_%(SignOnly)_5517854_3_Put Analysis_Project Kentucky Derby Model v76" xfId="46"/>
    <cellStyle name="_%(SignOnly)_5517854_3_Put Analysis_SBSAModel116(Company)" xfId="47"/>
    <cellStyle name="_%(SignOnly)_5517854_3_Spin Model v.2" xfId="48"/>
    <cellStyle name="_%(SignOnly)_5517854_3_Spin Model v.2_Project Kentucky Derby Model v75" xfId="49"/>
    <cellStyle name="_%(SignOnly)_5517854_3_Spin Model v.2_Project Kentucky Derby Model v76" xfId="50"/>
    <cellStyle name="_%(SignOnly)_5517854_3_Spin Model v.2_SBSAModel116(Company)" xfId="51"/>
    <cellStyle name="_%(SignOnly)_Book3" xfId="52"/>
    <cellStyle name="_%(SignOnly)_Book3_5401007_6" xfId="53"/>
    <cellStyle name="_%(SignOnly)_Book3_5401007_6_Project Kentucky Derby Model v75" xfId="54"/>
    <cellStyle name="_%(SignOnly)_Book3_5401007_6_Project Kentucky Derby Model v76" xfId="55"/>
    <cellStyle name="_%(SignOnly)_Book3_5401007_6_SBSAModel116(Company)" xfId="56"/>
    <cellStyle name="_%(SignOnly)_Book3_5963478_1" xfId="57"/>
    <cellStyle name="_%(SignOnly)_Book3_FON" xfId="58"/>
    <cellStyle name="_%(SignOnly)_Book3_Put Analysis" xfId="59"/>
    <cellStyle name="_%(SignOnly)_Book3_Put Analysis.v2" xfId="60"/>
    <cellStyle name="_%(SignOnly)_Book3_Put Analysis.v2_Project Kentucky Derby Model v75" xfId="61"/>
    <cellStyle name="_%(SignOnly)_Book3_Put Analysis.v2_Project Kentucky Derby Model v76" xfId="62"/>
    <cellStyle name="_%(SignOnly)_Book3_Put Analysis.v2_SBSAModel116(Company)" xfId="63"/>
    <cellStyle name="_%(SignOnly)_Book3_Put Analysis_Project Kentucky Derby Model v75" xfId="64"/>
    <cellStyle name="_%(SignOnly)_Book3_Put Analysis_Project Kentucky Derby Model v76" xfId="65"/>
    <cellStyle name="_%(SignOnly)_Book3_Put Analysis_SBSAModel116(Company)" xfId="66"/>
    <cellStyle name="_%(SignOnly)_Book3_Spin Model v.2" xfId="67"/>
    <cellStyle name="_%(SignOnly)_Book3_Spin Model v.2_Project Kentucky Derby Model v75" xfId="68"/>
    <cellStyle name="_%(SignOnly)_Book3_Spin Model v.2_Project Kentucky Derby Model v76" xfId="69"/>
    <cellStyle name="_%(SignOnly)_Book3_Spin Model v.2_SBSAModel116(Company)" xfId="70"/>
    <cellStyle name="_%(SignSpaceOnly)" xfId="71"/>
    <cellStyle name="_%(SignSpaceOnly)_5515616_3" xfId="72"/>
    <cellStyle name="_%(SignSpaceOnly)_5515616_3_5401007_6" xfId="73"/>
    <cellStyle name="_%(SignSpaceOnly)_5515616_3_5963478_1" xfId="74"/>
    <cellStyle name="_%(SignSpaceOnly)_5515616_3_FON" xfId="75"/>
    <cellStyle name="_%(SignSpaceOnly)_5515616_3_Put Analysis" xfId="76"/>
    <cellStyle name="_%(SignSpaceOnly)_5515616_3_Put Analysis.v2" xfId="77"/>
    <cellStyle name="_%(SignSpaceOnly)_5515616_3_Spin Model v.2" xfId="78"/>
    <cellStyle name="_%(SignSpaceOnly)_5517854_3" xfId="79"/>
    <cellStyle name="_%(SignSpaceOnly)_5517854_3_5401007_6" xfId="80"/>
    <cellStyle name="_%(SignSpaceOnly)_5517854_3_5963478_1" xfId="81"/>
    <cellStyle name="_%(SignSpaceOnly)_5517854_3_FON" xfId="82"/>
    <cellStyle name="_%(SignSpaceOnly)_5517854_3_Put Analysis" xfId="83"/>
    <cellStyle name="_%(SignSpaceOnly)_5517854_3_Put Analysis.v2" xfId="84"/>
    <cellStyle name="_%(SignSpaceOnly)_5517854_3_Spin Model v.2" xfId="85"/>
    <cellStyle name="_%(SignSpaceOnly)_Book3" xfId="86"/>
    <cellStyle name="_%(SignSpaceOnly)_Book3_5401007_6" xfId="87"/>
    <cellStyle name="_%(SignSpaceOnly)_Book3_5963478_1" xfId="88"/>
    <cellStyle name="_%(SignSpaceOnly)_Book3_FON" xfId="89"/>
    <cellStyle name="_%(SignSpaceOnly)_Book3_Put Analysis" xfId="90"/>
    <cellStyle name="_%(SignSpaceOnly)_Book3_Put Analysis.v2" xfId="91"/>
    <cellStyle name="_%(SignSpaceOnly)_Book3_Spin Model v.2" xfId="92"/>
    <cellStyle name="_AMB_Model2" xfId="93"/>
    <cellStyle name="_Comma" xfId="94"/>
    <cellStyle name="_Comma_5515616_3" xfId="95"/>
    <cellStyle name="_Comma_5515616_3_5401007_6" xfId="96"/>
    <cellStyle name="_Comma_5515616_3_5963478_1" xfId="97"/>
    <cellStyle name="_Comma_5515616_3_FON" xfId="98"/>
    <cellStyle name="_Comma_5515616_3_Put Analysis" xfId="99"/>
    <cellStyle name="_Comma_5515616_3_Put Analysis.v2" xfId="100"/>
    <cellStyle name="_Comma_5515616_3_Spin Model v.2" xfId="101"/>
    <cellStyle name="_Comma_5517854_3" xfId="102"/>
    <cellStyle name="_Comma_5517854_3_5401007_6" xfId="103"/>
    <cellStyle name="_Comma_5517854_3_5963478_1" xfId="104"/>
    <cellStyle name="_Comma_5517854_3_FON" xfId="105"/>
    <cellStyle name="_Comma_5517854_3_Put Analysis" xfId="106"/>
    <cellStyle name="_Comma_5517854_3_Put Analysis.v2" xfId="107"/>
    <cellStyle name="_Comma_5517854_3_Spin Model v.2" xfId="108"/>
    <cellStyle name="_Comma_Book3" xfId="109"/>
    <cellStyle name="_Comma_Book3_5401007_6" xfId="110"/>
    <cellStyle name="_Comma_Book3_5963478_1" xfId="111"/>
    <cellStyle name="_Comma_Book3_FON" xfId="112"/>
    <cellStyle name="_Comma_Book3_Put Analysis" xfId="113"/>
    <cellStyle name="_Comma_Book3_Put Analysis.v2" xfId="114"/>
    <cellStyle name="_Comma_Book3_Spin Model v.2" xfId="115"/>
    <cellStyle name="_Comma_Combined Synergy Presentation" xfId="116"/>
    <cellStyle name="_Comma_Combined Synergy Presentation_5515616_3" xfId="117"/>
    <cellStyle name="_Comma_Combined Synergy Presentation_5515616_3_5401007_6" xfId="118"/>
    <cellStyle name="_Comma_Combined Synergy Presentation_5515616_3_5963478_1" xfId="119"/>
    <cellStyle name="_Comma_Combined Synergy Presentation_5515616_3_FON" xfId="120"/>
    <cellStyle name="_Comma_Combined Synergy Presentation_5515616_3_Put Analysis" xfId="121"/>
    <cellStyle name="_Comma_Combined Synergy Presentation_5515616_3_Put Analysis.v2" xfId="122"/>
    <cellStyle name="_Comma_Combined Synergy Presentation_5515616_3_Spin Model v.2" xfId="123"/>
    <cellStyle name="_Comma_Combined Synergy Presentation_5517854_3" xfId="124"/>
    <cellStyle name="_Comma_Combined Synergy Presentation_5517854_3_5401007_6" xfId="125"/>
    <cellStyle name="_Comma_Combined Synergy Presentation_5517854_3_5963478_1" xfId="126"/>
    <cellStyle name="_Comma_Combined Synergy Presentation_5517854_3_FON" xfId="127"/>
    <cellStyle name="_Comma_Combined Synergy Presentation_5517854_3_Put Analysis" xfId="128"/>
    <cellStyle name="_Comma_Combined Synergy Presentation_5517854_3_Put Analysis.v2" xfId="129"/>
    <cellStyle name="_Comma_Combined Synergy Presentation_5517854_3_Spin Model v.2" xfId="130"/>
    <cellStyle name="_Comma_Combined Synergy Presentation_Book3" xfId="131"/>
    <cellStyle name="_Comma_Combined Synergy Presentation_Book3_5401007_6" xfId="132"/>
    <cellStyle name="_Comma_Combined Synergy Presentation_Book3_5963478_1" xfId="133"/>
    <cellStyle name="_Comma_Combined Synergy Presentation_Book3_FON" xfId="134"/>
    <cellStyle name="_Comma_Combined Synergy Presentation_Book3_Put Analysis" xfId="135"/>
    <cellStyle name="_Comma_Combined Synergy Presentation_Book3_Put Analysis.v2" xfId="136"/>
    <cellStyle name="_Comma_Combined Synergy Presentation_Book3_Spin Model v.2" xfId="137"/>
    <cellStyle name="_Comma_Synergy Analysis" xfId="138"/>
    <cellStyle name="_Comma_Synergy Analysis_co-advisors" xfId="139"/>
    <cellStyle name="_Comma_Synergy Analysis_co-advisors_Project Kentucky Derby Model v75" xfId="140"/>
    <cellStyle name="_Comma_Synergy Analysis_co-advisors_Project Kentucky Derby Model v76" xfId="141"/>
    <cellStyle name="_Comma_Synergy Analysis_co-advisors_SBSAModel116(Company)" xfId="142"/>
    <cellStyle name="_Comma_Synergy Analysis_Project Kentucky Derby Model v75" xfId="143"/>
    <cellStyle name="_Comma_Synergy Analysis_Project Kentucky Derby Model v76" xfId="144"/>
    <cellStyle name="_Comma_Synergy Analysis_SBSAModel116(Company)" xfId="145"/>
    <cellStyle name="_Comma_Synergy Calc 1.1 rev 5-yr aug high1_bpace" xfId="146"/>
    <cellStyle name="_Comma_Synergy Calc 1.1 rev 5-yr aug high1_bpace_5515616_3" xfId="147"/>
    <cellStyle name="_Comma_Synergy Calc 1.1 rev 5-yr aug high1_bpace_5515616_3_5401007_6" xfId="148"/>
    <cellStyle name="_Comma_Synergy Calc 1.1 rev 5-yr aug high1_bpace_5515616_3_5963478_1" xfId="149"/>
    <cellStyle name="_Comma_Synergy Calc 1.1 rev 5-yr aug high1_bpace_5515616_3_FON" xfId="150"/>
    <cellStyle name="_Comma_Synergy Calc 1.1 rev 5-yr aug high1_bpace_5515616_3_Put Analysis" xfId="151"/>
    <cellStyle name="_Comma_Synergy Calc 1.1 rev 5-yr aug high1_bpace_5515616_3_Put Analysis.v2" xfId="152"/>
    <cellStyle name="_Comma_Synergy Calc 1.1 rev 5-yr aug high1_bpace_5515616_3_Spin Model v.2" xfId="153"/>
    <cellStyle name="_Comma_Synergy Calc 1.1 rev 5-yr aug high1_bpace_5517854_3" xfId="154"/>
    <cellStyle name="_Comma_Synergy Calc 1.1 rev 5-yr aug high1_bpace_5517854_3_5401007_6" xfId="155"/>
    <cellStyle name="_Comma_Synergy Calc 1.1 rev 5-yr aug high1_bpace_5517854_3_5963478_1" xfId="156"/>
    <cellStyle name="_Comma_Synergy Calc 1.1 rev 5-yr aug high1_bpace_5517854_3_FON" xfId="157"/>
    <cellStyle name="_Comma_Synergy Calc 1.1 rev 5-yr aug high1_bpace_5517854_3_Put Analysis" xfId="158"/>
    <cellStyle name="_Comma_Synergy Calc 1.1 rev 5-yr aug high1_bpace_5517854_3_Put Analysis.v2" xfId="159"/>
    <cellStyle name="_Comma_Synergy Calc 1.1 rev 5-yr aug high1_bpace_5517854_3_Spin Model v.2" xfId="160"/>
    <cellStyle name="_Comma_Synergy Calc 1.1 rev 5-yr aug high1_bpace_Book3" xfId="161"/>
    <cellStyle name="_Comma_Synergy Calc 1.1 rev 5-yr aug high1_bpace_Book3_5401007_6" xfId="162"/>
    <cellStyle name="_Comma_Synergy Calc 1.1 rev 5-yr aug high1_bpace_Book3_5963478_1" xfId="163"/>
    <cellStyle name="_Comma_Synergy Calc 1.1 rev 5-yr aug high1_bpace_Book3_FON" xfId="164"/>
    <cellStyle name="_Comma_Synergy Calc 1.1 rev 5-yr aug high1_bpace_Book3_Put Analysis" xfId="165"/>
    <cellStyle name="_Comma_Synergy Calc 1.1 rev 5-yr aug high1_bpace_Book3_Put Analysis.v2" xfId="166"/>
    <cellStyle name="_Comma_Synergy Calc 1.1 rev 5-yr aug high1_bpace_Book3_Spin Model v.2" xfId="167"/>
    <cellStyle name="_Comma_Synergy Detail _gs" xfId="168"/>
    <cellStyle name="_Comma_Synergy Detail _gs_5515616_3" xfId="169"/>
    <cellStyle name="_Comma_Synergy Detail _gs_5515616_3_5401007_6" xfId="170"/>
    <cellStyle name="_Comma_Synergy Detail _gs_5515616_3_5963478_1" xfId="171"/>
    <cellStyle name="_Comma_Synergy Detail _gs_5515616_3_FON" xfId="172"/>
    <cellStyle name="_Comma_Synergy Detail _gs_5515616_3_Put Analysis" xfId="173"/>
    <cellStyle name="_Comma_Synergy Detail _gs_5515616_3_Put Analysis.v2" xfId="174"/>
    <cellStyle name="_Comma_Synergy Detail _gs_5515616_3_Spin Model v.2" xfId="175"/>
    <cellStyle name="_Comma_Synergy Detail _gs_5517854_3" xfId="176"/>
    <cellStyle name="_Comma_Synergy Detail _gs_5517854_3_5401007_6" xfId="177"/>
    <cellStyle name="_Comma_Synergy Detail _gs_5517854_3_5963478_1" xfId="178"/>
    <cellStyle name="_Comma_Synergy Detail _gs_5517854_3_FON" xfId="179"/>
    <cellStyle name="_Comma_Synergy Detail _gs_5517854_3_Put Analysis" xfId="180"/>
    <cellStyle name="_Comma_Synergy Detail _gs_5517854_3_Put Analysis.v2" xfId="181"/>
    <cellStyle name="_Comma_Synergy Detail _gs_5517854_3_Spin Model v.2" xfId="182"/>
    <cellStyle name="_Comma_Synergy Detail _gs_Book3" xfId="183"/>
    <cellStyle name="_Comma_Synergy Detail _gs_Book3_5401007_6" xfId="184"/>
    <cellStyle name="_Comma_Synergy Detail _gs_Book3_5963478_1" xfId="185"/>
    <cellStyle name="_Comma_Synergy Detail _gs_Book3_FON" xfId="186"/>
    <cellStyle name="_Comma_Synergy Detail _gs_Book3_Put Analysis" xfId="187"/>
    <cellStyle name="_Comma_Synergy Detail _gs_Book3_Put Analysis.v2" xfId="188"/>
    <cellStyle name="_Comma_Synergy Detail _gs_Book3_Spin Model v.2" xfId="189"/>
    <cellStyle name="_Currency" xfId="190"/>
    <cellStyle name="_Currency_5515616_3" xfId="191"/>
    <cellStyle name="_Currency_5515616_3_5401007_6" xfId="192"/>
    <cellStyle name="_Currency_5515616_3_5963478_1" xfId="193"/>
    <cellStyle name="_Currency_5515616_3_FON" xfId="194"/>
    <cellStyle name="_Currency_5515616_3_Put Analysis" xfId="195"/>
    <cellStyle name="_Currency_5515616_3_Put Analysis.v2" xfId="196"/>
    <cellStyle name="_Currency_5515616_3_Spin Model v.2" xfId="197"/>
    <cellStyle name="_Currency_5517854_3" xfId="198"/>
    <cellStyle name="_Currency_5517854_3_5401007_6" xfId="199"/>
    <cellStyle name="_Currency_5517854_3_5963478_1" xfId="200"/>
    <cellStyle name="_Currency_5517854_3_FON" xfId="201"/>
    <cellStyle name="_Currency_5517854_3_Put Analysis" xfId="202"/>
    <cellStyle name="_Currency_5517854_3_Put Analysis.v2" xfId="203"/>
    <cellStyle name="_Currency_5517854_3_Spin Model v.2" xfId="204"/>
    <cellStyle name="_Currency_Book3" xfId="205"/>
    <cellStyle name="_Currency_Book3_5401007_6" xfId="206"/>
    <cellStyle name="_Currency_Book3_5963478_1" xfId="207"/>
    <cellStyle name="_Currency_Book3_FON" xfId="208"/>
    <cellStyle name="_Currency_Book3_Put Analysis" xfId="209"/>
    <cellStyle name="_Currency_Book3_Put Analysis.v2" xfId="210"/>
    <cellStyle name="_Currency_Book3_Spin Model v.2" xfId="211"/>
    <cellStyle name="_Currency_Combined Synergy Presentation" xfId="212"/>
    <cellStyle name="_Currency_Combined Synergy Presentation_5515616_3" xfId="213"/>
    <cellStyle name="_Currency_Combined Synergy Presentation_5515616_3_5401007_6" xfId="214"/>
    <cellStyle name="_Currency_Combined Synergy Presentation_5515616_3_5963478_1" xfId="215"/>
    <cellStyle name="_Currency_Combined Synergy Presentation_5515616_3_FON" xfId="216"/>
    <cellStyle name="_Currency_Combined Synergy Presentation_5515616_3_Put Analysis" xfId="217"/>
    <cellStyle name="_Currency_Combined Synergy Presentation_5515616_3_Put Analysis.v2" xfId="218"/>
    <cellStyle name="_Currency_Combined Synergy Presentation_5515616_3_Spin Model v.2" xfId="219"/>
    <cellStyle name="_Currency_Combined Synergy Presentation_5517854_3" xfId="220"/>
    <cellStyle name="_Currency_Combined Synergy Presentation_5517854_3_5401007_6" xfId="221"/>
    <cellStyle name="_Currency_Combined Synergy Presentation_5517854_3_5963478_1" xfId="222"/>
    <cellStyle name="_Currency_Combined Synergy Presentation_5517854_3_FON" xfId="223"/>
    <cellStyle name="_Currency_Combined Synergy Presentation_5517854_3_Put Analysis" xfId="224"/>
    <cellStyle name="_Currency_Combined Synergy Presentation_5517854_3_Put Analysis.v2" xfId="225"/>
    <cellStyle name="_Currency_Combined Synergy Presentation_5517854_3_Spin Model v.2" xfId="226"/>
    <cellStyle name="_Currency_Combined Synergy Presentation_Book3" xfId="227"/>
    <cellStyle name="_Currency_Combined Synergy Presentation_Book3_5401007_6" xfId="228"/>
    <cellStyle name="_Currency_Combined Synergy Presentation_Book3_5963478_1" xfId="229"/>
    <cellStyle name="_Currency_Combined Synergy Presentation_Book3_FON" xfId="230"/>
    <cellStyle name="_Currency_Combined Synergy Presentation_Book3_Put Analysis" xfId="231"/>
    <cellStyle name="_Currency_Combined Synergy Presentation_Book3_Put Analysis.v2" xfId="232"/>
    <cellStyle name="_Currency_Combined Synergy Presentation_Book3_Spin Model v.2" xfId="233"/>
    <cellStyle name="_Currency_Synergy Analysis" xfId="234"/>
    <cellStyle name="_Currency_Synergy Analysis_5515616_3" xfId="235"/>
    <cellStyle name="_Currency_Synergy Analysis_5515616_3_5401007_6" xfId="236"/>
    <cellStyle name="_Currency_Synergy Analysis_5515616_3_5963478_1" xfId="237"/>
    <cellStyle name="_Currency_Synergy Analysis_5515616_3_FON" xfId="238"/>
    <cellStyle name="_Currency_Synergy Analysis_5515616_3_Put Analysis" xfId="239"/>
    <cellStyle name="_Currency_Synergy Analysis_5515616_3_Put Analysis.v2" xfId="240"/>
    <cellStyle name="_Currency_Synergy Analysis_5515616_3_Spin Model v.2" xfId="241"/>
    <cellStyle name="_Currency_Synergy Analysis_5517854_3" xfId="242"/>
    <cellStyle name="_Currency_Synergy Analysis_5517854_3_5401007_6" xfId="243"/>
    <cellStyle name="_Currency_Synergy Analysis_5517854_3_5963478_1" xfId="244"/>
    <cellStyle name="_Currency_Synergy Analysis_5517854_3_FON" xfId="245"/>
    <cellStyle name="_Currency_Synergy Analysis_5517854_3_Put Analysis" xfId="246"/>
    <cellStyle name="_Currency_Synergy Analysis_5517854_3_Put Analysis.v2" xfId="247"/>
    <cellStyle name="_Currency_Synergy Analysis_5517854_3_Spin Model v.2" xfId="248"/>
    <cellStyle name="_Currency_Synergy Analysis_Book3" xfId="249"/>
    <cellStyle name="_Currency_Synergy Analysis_Book3_5401007_6" xfId="250"/>
    <cellStyle name="_Currency_Synergy Analysis_Book3_5963478_1" xfId="251"/>
    <cellStyle name="_Currency_Synergy Analysis_Book3_FON" xfId="252"/>
    <cellStyle name="_Currency_Synergy Analysis_Book3_Put Analysis" xfId="253"/>
    <cellStyle name="_Currency_Synergy Analysis_Book3_Put Analysis.v2" xfId="254"/>
    <cellStyle name="_Currency_Synergy Analysis_Book3_Spin Model v.2" xfId="255"/>
    <cellStyle name="_Currency_Synergy Analysis_co-advisors" xfId="256"/>
    <cellStyle name="_Currency_Synergy Analysis_co-advisors_5515616_3" xfId="257"/>
    <cellStyle name="_Currency_Synergy Analysis_co-advisors_5515616_3_5401007_6" xfId="258"/>
    <cellStyle name="_Currency_Synergy Analysis_co-advisors_5515616_3_5963478_1" xfId="259"/>
    <cellStyle name="_Currency_Synergy Analysis_co-advisors_5515616_3_FON" xfId="260"/>
    <cellStyle name="_Currency_Synergy Analysis_co-advisors_5515616_3_Put Analysis" xfId="261"/>
    <cellStyle name="_Currency_Synergy Analysis_co-advisors_5515616_3_Put Analysis.v2" xfId="262"/>
    <cellStyle name="_Currency_Synergy Analysis_co-advisors_5515616_3_Spin Model v.2" xfId="263"/>
    <cellStyle name="_Currency_Synergy Analysis_co-advisors_5517854_3" xfId="264"/>
    <cellStyle name="_Currency_Synergy Analysis_co-advisors_5517854_3_5401007_6" xfId="265"/>
    <cellStyle name="_Currency_Synergy Analysis_co-advisors_5517854_3_5963478_1" xfId="266"/>
    <cellStyle name="_Currency_Synergy Analysis_co-advisors_5517854_3_FON" xfId="267"/>
    <cellStyle name="_Currency_Synergy Analysis_co-advisors_5517854_3_Put Analysis" xfId="268"/>
    <cellStyle name="_Currency_Synergy Analysis_co-advisors_5517854_3_Put Analysis.v2" xfId="269"/>
    <cellStyle name="_Currency_Synergy Analysis_co-advisors_5517854_3_Spin Model v.2" xfId="270"/>
    <cellStyle name="_Currency_Synergy Analysis_co-advisors_Book3" xfId="271"/>
    <cellStyle name="_Currency_Synergy Analysis_co-advisors_Book3_5401007_6" xfId="272"/>
    <cellStyle name="_Currency_Synergy Analysis_co-advisors_Book3_5963478_1" xfId="273"/>
    <cellStyle name="_Currency_Synergy Analysis_co-advisors_Book3_FON" xfId="274"/>
    <cellStyle name="_Currency_Synergy Analysis_co-advisors_Book3_Put Analysis" xfId="275"/>
    <cellStyle name="_Currency_Synergy Analysis_co-advisors_Book3_Put Analysis.v2" xfId="276"/>
    <cellStyle name="_Currency_Synergy Analysis_co-advisors_Book3_Spin Model v.2" xfId="277"/>
    <cellStyle name="_Currency_Synergy Calc 1.1 rev 5-yr aug high1_bpace" xfId="278"/>
    <cellStyle name="_Currency_Synergy Calc 1.1 rev 5-yr aug high1_bpace_5515616_3" xfId="279"/>
    <cellStyle name="_Currency_Synergy Calc 1.1 rev 5-yr aug high1_bpace_5515616_3_5401007_6" xfId="280"/>
    <cellStyle name="_Currency_Synergy Calc 1.1 rev 5-yr aug high1_bpace_5515616_3_5963478_1" xfId="281"/>
    <cellStyle name="_Currency_Synergy Calc 1.1 rev 5-yr aug high1_bpace_5515616_3_FON" xfId="282"/>
    <cellStyle name="_Currency_Synergy Calc 1.1 rev 5-yr aug high1_bpace_5515616_3_Put Analysis" xfId="283"/>
    <cellStyle name="_Currency_Synergy Calc 1.1 rev 5-yr aug high1_bpace_5515616_3_Put Analysis.v2" xfId="284"/>
    <cellStyle name="_Currency_Synergy Calc 1.1 rev 5-yr aug high1_bpace_5515616_3_Spin Model v.2" xfId="285"/>
    <cellStyle name="_Currency_Synergy Calc 1.1 rev 5-yr aug high1_bpace_5517854_3" xfId="286"/>
    <cellStyle name="_Currency_Synergy Calc 1.1 rev 5-yr aug high1_bpace_5517854_3_5401007_6" xfId="287"/>
    <cellStyle name="_Currency_Synergy Calc 1.1 rev 5-yr aug high1_bpace_5517854_3_5963478_1" xfId="288"/>
    <cellStyle name="_Currency_Synergy Calc 1.1 rev 5-yr aug high1_bpace_5517854_3_FON" xfId="289"/>
    <cellStyle name="_Currency_Synergy Calc 1.1 rev 5-yr aug high1_bpace_5517854_3_Put Analysis" xfId="290"/>
    <cellStyle name="_Currency_Synergy Calc 1.1 rev 5-yr aug high1_bpace_5517854_3_Put Analysis.v2" xfId="291"/>
    <cellStyle name="_Currency_Synergy Calc 1.1 rev 5-yr aug high1_bpace_5517854_3_Spin Model v.2" xfId="292"/>
    <cellStyle name="_Currency_Synergy Calc 1.1 rev 5-yr aug high1_bpace_Book3" xfId="293"/>
    <cellStyle name="_Currency_Synergy Calc 1.1 rev 5-yr aug high1_bpace_Book3_5401007_6" xfId="294"/>
    <cellStyle name="_Currency_Synergy Calc 1.1 rev 5-yr aug high1_bpace_Book3_5963478_1" xfId="295"/>
    <cellStyle name="_Currency_Synergy Calc 1.1 rev 5-yr aug high1_bpace_Book3_FON" xfId="296"/>
    <cellStyle name="_Currency_Synergy Calc 1.1 rev 5-yr aug high1_bpace_Book3_Put Analysis" xfId="297"/>
    <cellStyle name="_Currency_Synergy Calc 1.1 rev 5-yr aug high1_bpace_Book3_Put Analysis.v2" xfId="298"/>
    <cellStyle name="_Currency_Synergy Calc 1.1 rev 5-yr aug high1_bpace_Book3_Spin Model v.2" xfId="299"/>
    <cellStyle name="_Currency_Synergy Detail _gs" xfId="300"/>
    <cellStyle name="_Currency_Synergy Detail _gs_5515616_3" xfId="301"/>
    <cellStyle name="_Currency_Synergy Detail _gs_5515616_3_5401007_6" xfId="302"/>
    <cellStyle name="_Currency_Synergy Detail _gs_5515616_3_5963478_1" xfId="303"/>
    <cellStyle name="_Currency_Synergy Detail _gs_5515616_3_FON" xfId="304"/>
    <cellStyle name="_Currency_Synergy Detail _gs_5515616_3_Put Analysis" xfId="305"/>
    <cellStyle name="_Currency_Synergy Detail _gs_5515616_3_Put Analysis.v2" xfId="306"/>
    <cellStyle name="_Currency_Synergy Detail _gs_5515616_3_Spin Model v.2" xfId="307"/>
    <cellStyle name="_Currency_Synergy Detail _gs_5517854_3" xfId="308"/>
    <cellStyle name="_Currency_Synergy Detail _gs_5517854_3_5401007_6" xfId="309"/>
    <cellStyle name="_Currency_Synergy Detail _gs_5517854_3_5963478_1" xfId="310"/>
    <cellStyle name="_Currency_Synergy Detail _gs_5517854_3_FON" xfId="311"/>
    <cellStyle name="_Currency_Synergy Detail _gs_5517854_3_Put Analysis" xfId="312"/>
    <cellStyle name="_Currency_Synergy Detail _gs_5517854_3_Put Analysis.v2" xfId="313"/>
    <cellStyle name="_Currency_Synergy Detail _gs_5517854_3_Spin Model v.2" xfId="314"/>
    <cellStyle name="_Currency_Synergy Detail _gs_Book3" xfId="315"/>
    <cellStyle name="_Currency_Synergy Detail _gs_Book3_5401007_6" xfId="316"/>
    <cellStyle name="_Currency_Synergy Detail _gs_Book3_5963478_1" xfId="317"/>
    <cellStyle name="_Currency_Synergy Detail _gs_Book3_FON" xfId="318"/>
    <cellStyle name="_Currency_Synergy Detail _gs_Book3_Put Analysis" xfId="319"/>
    <cellStyle name="_Currency_Synergy Detail _gs_Book3_Put Analysis.v2" xfId="320"/>
    <cellStyle name="_Currency_Synergy Detail _gs_Book3_Spin Model v.2" xfId="321"/>
    <cellStyle name="_CurrencySpace" xfId="322"/>
    <cellStyle name="_CurrencySpace_5515616_3" xfId="323"/>
    <cellStyle name="_CurrencySpace_5517854_3" xfId="324"/>
    <cellStyle name="_CurrencySpace_Book3" xfId="325"/>
    <cellStyle name="_CurrencySpace_Combined Synergy Presentation" xfId="326"/>
    <cellStyle name="_CurrencySpace_Combined Synergy Presentation_5515616_3" xfId="327"/>
    <cellStyle name="_CurrencySpace_Combined Synergy Presentation_5517854_3" xfId="328"/>
    <cellStyle name="_CurrencySpace_Combined Synergy Presentation_Book3" xfId="329"/>
    <cellStyle name="_CurrencySpace_Synergy Analysis" xfId="330"/>
    <cellStyle name="_CurrencySpace_Synergy Analysis_co-advisors" xfId="331"/>
    <cellStyle name="_CurrencySpace_Synergy Calc 1.1 rev 5-yr aug high1_bpace" xfId="332"/>
    <cellStyle name="_CurrencySpace_Synergy Calc 1.1 rev 5-yr aug high1_bpace_5515616_3" xfId="333"/>
    <cellStyle name="_CurrencySpace_Synergy Calc 1.1 rev 5-yr aug high1_bpace_5517854_3" xfId="334"/>
    <cellStyle name="_CurrencySpace_Synergy Calc 1.1 rev 5-yr aug high1_bpace_Book3" xfId="335"/>
    <cellStyle name="_CurrencySpace_Synergy Detail _gs" xfId="336"/>
    <cellStyle name="_CurrencySpace_Synergy Detail _gs_5515616_3" xfId="337"/>
    <cellStyle name="_CurrencySpace_Synergy Detail _gs_5517854_3" xfId="338"/>
    <cellStyle name="_CurrencySpace_Synergy Detail _gs_Book3" xfId="339"/>
    <cellStyle name="_DRE_Model" xfId="340"/>
    <cellStyle name="_Euro" xfId="341"/>
    <cellStyle name="_Euro_5515616_3" xfId="342"/>
    <cellStyle name="_Euro_5515616_3_5401007_6" xfId="343"/>
    <cellStyle name="_Euro_5515616_3_5963478_1" xfId="344"/>
    <cellStyle name="_Euro_5515616_3_FON" xfId="345"/>
    <cellStyle name="_Euro_5515616_3_Put Analysis" xfId="346"/>
    <cellStyle name="_Euro_5515616_3_Put Analysis.v2" xfId="347"/>
    <cellStyle name="_Euro_5515616_3_Spin Model v.2" xfId="348"/>
    <cellStyle name="_Euro_5517854_3" xfId="349"/>
    <cellStyle name="_Euro_5517854_3_5401007_6" xfId="350"/>
    <cellStyle name="_Euro_5517854_3_5963478_1" xfId="351"/>
    <cellStyle name="_Euro_5517854_3_FON" xfId="352"/>
    <cellStyle name="_Euro_5517854_3_Put Analysis" xfId="353"/>
    <cellStyle name="_Euro_5517854_3_Put Analysis.v2" xfId="354"/>
    <cellStyle name="_Euro_5517854_3_Spin Model v.2" xfId="355"/>
    <cellStyle name="_Euro_Book3" xfId="356"/>
    <cellStyle name="_Euro_Book3_5401007_6" xfId="357"/>
    <cellStyle name="_Euro_Book3_5963478_1" xfId="358"/>
    <cellStyle name="_Euro_Book3_FON" xfId="359"/>
    <cellStyle name="_Euro_Book3_Put Analysis" xfId="360"/>
    <cellStyle name="_Euro_Book3_Put Analysis.v2" xfId="361"/>
    <cellStyle name="_Euro_Book3_Spin Model v.2" xfId="362"/>
    <cellStyle name="_Heading" xfId="363"/>
    <cellStyle name="_Highlight" xfId="364"/>
    <cellStyle name="_Multiple" xfId="365"/>
    <cellStyle name="_Multiple_5515616_3" xfId="366"/>
    <cellStyle name="_Multiple_5515616_3_5401007_6" xfId="367"/>
    <cellStyle name="_Multiple_5515616_3_5963478_1" xfId="368"/>
    <cellStyle name="_Multiple_5515616_3_FON" xfId="369"/>
    <cellStyle name="_Multiple_5515616_3_Put Analysis" xfId="370"/>
    <cellStyle name="_Multiple_5515616_3_Put Analysis.v2" xfId="371"/>
    <cellStyle name="_Multiple_5515616_3_Spin Model v.2" xfId="372"/>
    <cellStyle name="_Multiple_5517854_3" xfId="373"/>
    <cellStyle name="_Multiple_5517854_3_5401007_6" xfId="374"/>
    <cellStyle name="_Multiple_5517854_3_5963478_1" xfId="375"/>
    <cellStyle name="_Multiple_5517854_3_FON" xfId="376"/>
    <cellStyle name="_Multiple_5517854_3_Put Analysis" xfId="377"/>
    <cellStyle name="_Multiple_5517854_3_Put Analysis.v2" xfId="378"/>
    <cellStyle name="_Multiple_5517854_3_Spin Model v.2" xfId="379"/>
    <cellStyle name="_Multiple_Book3" xfId="380"/>
    <cellStyle name="_Multiple_Book3_5401007_6" xfId="381"/>
    <cellStyle name="_Multiple_Book3_5963478_1" xfId="382"/>
    <cellStyle name="_Multiple_Book3_FON" xfId="383"/>
    <cellStyle name="_Multiple_Book3_Put Analysis" xfId="384"/>
    <cellStyle name="_Multiple_Book3_Put Analysis.v2" xfId="385"/>
    <cellStyle name="_Multiple_Book3_Spin Model v.2" xfId="386"/>
    <cellStyle name="_Multiple_Combined Synergy Presentation" xfId="387"/>
    <cellStyle name="_Multiple_Combined Synergy Presentation_5515616_3" xfId="388"/>
    <cellStyle name="_Multiple_Combined Synergy Presentation_5515616_3_5401007_6" xfId="389"/>
    <cellStyle name="_Multiple_Combined Synergy Presentation_5515616_3_5963478_1" xfId="390"/>
    <cellStyle name="_Multiple_Combined Synergy Presentation_5515616_3_FON" xfId="391"/>
    <cellStyle name="_Multiple_Combined Synergy Presentation_5515616_3_Put Analysis" xfId="392"/>
    <cellStyle name="_Multiple_Combined Synergy Presentation_5515616_3_Put Analysis.v2" xfId="393"/>
    <cellStyle name="_Multiple_Combined Synergy Presentation_5515616_3_Spin Model v.2" xfId="394"/>
    <cellStyle name="_Multiple_Combined Synergy Presentation_5517854_3" xfId="395"/>
    <cellStyle name="_Multiple_Combined Synergy Presentation_5517854_3_5401007_6" xfId="396"/>
    <cellStyle name="_Multiple_Combined Synergy Presentation_5517854_3_5963478_1" xfId="397"/>
    <cellStyle name="_Multiple_Combined Synergy Presentation_5517854_3_FON" xfId="398"/>
    <cellStyle name="_Multiple_Combined Synergy Presentation_5517854_3_Put Analysis" xfId="399"/>
    <cellStyle name="_Multiple_Combined Synergy Presentation_5517854_3_Put Analysis.v2" xfId="400"/>
    <cellStyle name="_Multiple_Combined Synergy Presentation_5517854_3_Spin Model v.2" xfId="401"/>
    <cellStyle name="_Multiple_Combined Synergy Presentation_Book3" xfId="402"/>
    <cellStyle name="_Multiple_Combined Synergy Presentation_Book3_5401007_6" xfId="403"/>
    <cellStyle name="_Multiple_Combined Synergy Presentation_Book3_5963478_1" xfId="404"/>
    <cellStyle name="_Multiple_Combined Synergy Presentation_Book3_FON" xfId="405"/>
    <cellStyle name="_Multiple_Combined Synergy Presentation_Book3_Put Analysis" xfId="406"/>
    <cellStyle name="_Multiple_Combined Synergy Presentation_Book3_Put Analysis.v2" xfId="407"/>
    <cellStyle name="_Multiple_Combined Synergy Presentation_Book3_Spin Model v.2" xfId="408"/>
    <cellStyle name="_Multiple_Synergy Analysis_co-advisors" xfId="409"/>
    <cellStyle name="_Multiple_Synergy Analysis_co-advisors_5515616_3" xfId="410"/>
    <cellStyle name="_Multiple_Synergy Analysis_co-advisors_5515616_3_5401007_6" xfId="411"/>
    <cellStyle name="_Multiple_Synergy Analysis_co-advisors_5515616_3_5401007_6_Project Kentucky Derby Model v75" xfId="412"/>
    <cellStyle name="_Multiple_Synergy Analysis_co-advisors_5515616_3_5401007_6_Project Kentucky Derby Model v76" xfId="413"/>
    <cellStyle name="_Multiple_Synergy Analysis_co-advisors_5515616_3_5401007_6_SBSAModel116(Company)" xfId="414"/>
    <cellStyle name="_Multiple_Synergy Analysis_co-advisors_5515616_3_5963478_1" xfId="415"/>
    <cellStyle name="_Multiple_Synergy Analysis_co-advisors_5515616_3_FON" xfId="416"/>
    <cellStyle name="_Multiple_Synergy Analysis_co-advisors_5515616_3_Put Analysis" xfId="417"/>
    <cellStyle name="_Multiple_Synergy Analysis_co-advisors_5515616_3_Put Analysis.v2" xfId="418"/>
    <cellStyle name="_Multiple_Synergy Analysis_co-advisors_5515616_3_Put Analysis.v2_Project Kentucky Derby Model v75" xfId="419"/>
    <cellStyle name="_Multiple_Synergy Analysis_co-advisors_5515616_3_Put Analysis.v2_Project Kentucky Derby Model v76" xfId="420"/>
    <cellStyle name="_Multiple_Synergy Analysis_co-advisors_5515616_3_Put Analysis.v2_SBSAModel116(Company)" xfId="421"/>
    <cellStyle name="_Multiple_Synergy Analysis_co-advisors_5515616_3_Put Analysis_Project Kentucky Derby Model v75" xfId="422"/>
    <cellStyle name="_Multiple_Synergy Analysis_co-advisors_5515616_3_Put Analysis_Project Kentucky Derby Model v76" xfId="423"/>
    <cellStyle name="_Multiple_Synergy Analysis_co-advisors_5515616_3_Put Analysis_SBSAModel116(Company)" xfId="424"/>
    <cellStyle name="_Multiple_Synergy Analysis_co-advisors_5515616_3_Spin Model v.2" xfId="425"/>
    <cellStyle name="_Multiple_Synergy Analysis_co-advisors_5515616_3_Spin Model v.2_Project Kentucky Derby Model v75" xfId="426"/>
    <cellStyle name="_Multiple_Synergy Analysis_co-advisors_5515616_3_Spin Model v.2_Project Kentucky Derby Model v76" xfId="427"/>
    <cellStyle name="_Multiple_Synergy Analysis_co-advisors_5515616_3_Spin Model v.2_SBSAModel116(Company)" xfId="428"/>
    <cellStyle name="_Multiple_Synergy Analysis_co-advisors_5517854_3" xfId="429"/>
    <cellStyle name="_Multiple_Synergy Analysis_co-advisors_5517854_3_5401007_6" xfId="430"/>
    <cellStyle name="_Multiple_Synergy Analysis_co-advisors_5517854_3_5401007_6_Project Kentucky Derby Model v75" xfId="431"/>
    <cellStyle name="_Multiple_Synergy Analysis_co-advisors_5517854_3_5401007_6_Project Kentucky Derby Model v76" xfId="432"/>
    <cellStyle name="_Multiple_Synergy Analysis_co-advisors_5517854_3_5401007_6_SBSAModel116(Company)" xfId="433"/>
    <cellStyle name="_Multiple_Synergy Analysis_co-advisors_5517854_3_5963478_1" xfId="434"/>
    <cellStyle name="_Multiple_Synergy Analysis_co-advisors_5517854_3_FON" xfId="435"/>
    <cellStyle name="_Multiple_Synergy Analysis_co-advisors_5517854_3_Put Analysis" xfId="436"/>
    <cellStyle name="_Multiple_Synergy Analysis_co-advisors_5517854_3_Put Analysis.v2" xfId="437"/>
    <cellStyle name="_Multiple_Synergy Analysis_co-advisors_5517854_3_Put Analysis.v2_Project Kentucky Derby Model v75" xfId="438"/>
    <cellStyle name="_Multiple_Synergy Analysis_co-advisors_5517854_3_Put Analysis.v2_Project Kentucky Derby Model v76" xfId="439"/>
    <cellStyle name="_Multiple_Synergy Analysis_co-advisors_5517854_3_Put Analysis.v2_SBSAModel116(Company)" xfId="440"/>
    <cellStyle name="_Multiple_Synergy Analysis_co-advisors_5517854_3_Put Analysis_Project Kentucky Derby Model v75" xfId="441"/>
    <cellStyle name="_Multiple_Synergy Analysis_co-advisors_5517854_3_Put Analysis_Project Kentucky Derby Model v76" xfId="442"/>
    <cellStyle name="_Multiple_Synergy Analysis_co-advisors_5517854_3_Put Analysis_SBSAModel116(Company)" xfId="443"/>
    <cellStyle name="_Multiple_Synergy Analysis_co-advisors_5517854_3_Spin Model v.2" xfId="444"/>
    <cellStyle name="_Multiple_Synergy Analysis_co-advisors_5517854_3_Spin Model v.2_Project Kentucky Derby Model v75" xfId="445"/>
    <cellStyle name="_Multiple_Synergy Analysis_co-advisors_5517854_3_Spin Model v.2_Project Kentucky Derby Model v76" xfId="446"/>
    <cellStyle name="_Multiple_Synergy Analysis_co-advisors_5517854_3_Spin Model v.2_SBSAModel116(Company)" xfId="447"/>
    <cellStyle name="_Multiple_Synergy Analysis_co-advisors_Book3" xfId="448"/>
    <cellStyle name="_Multiple_Synergy Analysis_co-advisors_Book3_5401007_6" xfId="449"/>
    <cellStyle name="_Multiple_Synergy Analysis_co-advisors_Book3_5401007_6_Project Kentucky Derby Model v75" xfId="450"/>
    <cellStyle name="_Multiple_Synergy Analysis_co-advisors_Book3_5401007_6_Project Kentucky Derby Model v76" xfId="451"/>
    <cellStyle name="_Multiple_Synergy Analysis_co-advisors_Book3_5401007_6_SBSAModel116(Company)" xfId="452"/>
    <cellStyle name="_Multiple_Synergy Analysis_co-advisors_Book3_5963478_1" xfId="453"/>
    <cellStyle name="_Multiple_Synergy Analysis_co-advisors_Book3_FON" xfId="454"/>
    <cellStyle name="_Multiple_Synergy Analysis_co-advisors_Book3_Put Analysis" xfId="455"/>
    <cellStyle name="_Multiple_Synergy Analysis_co-advisors_Book3_Put Analysis.v2" xfId="456"/>
    <cellStyle name="_Multiple_Synergy Analysis_co-advisors_Book3_Put Analysis.v2_Project Kentucky Derby Model v75" xfId="457"/>
    <cellStyle name="_Multiple_Synergy Analysis_co-advisors_Book3_Put Analysis.v2_Project Kentucky Derby Model v76" xfId="458"/>
    <cellStyle name="_Multiple_Synergy Analysis_co-advisors_Book3_Put Analysis.v2_SBSAModel116(Company)" xfId="459"/>
    <cellStyle name="_Multiple_Synergy Analysis_co-advisors_Book3_Put Analysis_Project Kentucky Derby Model v75" xfId="460"/>
    <cellStyle name="_Multiple_Synergy Analysis_co-advisors_Book3_Put Analysis_Project Kentucky Derby Model v76" xfId="461"/>
    <cellStyle name="_Multiple_Synergy Analysis_co-advisors_Book3_Put Analysis_SBSAModel116(Company)" xfId="462"/>
    <cellStyle name="_Multiple_Synergy Analysis_co-advisors_Book3_Spin Model v.2" xfId="463"/>
    <cellStyle name="_Multiple_Synergy Analysis_co-advisors_Book3_Spin Model v.2_Project Kentucky Derby Model v75" xfId="464"/>
    <cellStyle name="_Multiple_Synergy Analysis_co-advisors_Book3_Spin Model v.2_Project Kentucky Derby Model v76" xfId="465"/>
    <cellStyle name="_Multiple_Synergy Analysis_co-advisors_Book3_Spin Model v.2_SBSAModel116(Company)" xfId="466"/>
    <cellStyle name="_MultipleSpace" xfId="467"/>
    <cellStyle name="_MultipleSpace_5515616_3" xfId="468"/>
    <cellStyle name="_MultipleSpace_5515616_3_5401007_6" xfId="469"/>
    <cellStyle name="_MultipleSpace_5515616_3_5963478_1" xfId="470"/>
    <cellStyle name="_MultipleSpace_5515616_3_FON" xfId="471"/>
    <cellStyle name="_MultipleSpace_5515616_3_Put Analysis" xfId="472"/>
    <cellStyle name="_MultipleSpace_5515616_3_Put Analysis.v2" xfId="473"/>
    <cellStyle name="_MultipleSpace_5515616_3_Spin Model v.2" xfId="474"/>
    <cellStyle name="_MultipleSpace_5517854_3" xfId="475"/>
    <cellStyle name="_MultipleSpace_5517854_3_5401007_6" xfId="476"/>
    <cellStyle name="_MultipleSpace_5517854_3_5963478_1" xfId="477"/>
    <cellStyle name="_MultipleSpace_5517854_3_FON" xfId="478"/>
    <cellStyle name="_MultipleSpace_5517854_3_Put Analysis" xfId="479"/>
    <cellStyle name="_MultipleSpace_5517854_3_Put Analysis.v2" xfId="480"/>
    <cellStyle name="_MultipleSpace_5517854_3_Spin Model v.2" xfId="481"/>
    <cellStyle name="_MultipleSpace_Book3" xfId="482"/>
    <cellStyle name="_MultipleSpace_Book3_5401007_6" xfId="483"/>
    <cellStyle name="_MultipleSpace_Book3_5963478_1" xfId="484"/>
    <cellStyle name="_MultipleSpace_Book3_FON" xfId="485"/>
    <cellStyle name="_MultipleSpace_Book3_Put Analysis" xfId="486"/>
    <cellStyle name="_MultipleSpace_Book3_Put Analysis.v2" xfId="487"/>
    <cellStyle name="_MultipleSpace_Book3_Spin Model v.2" xfId="488"/>
    <cellStyle name="_MultipleSpace_Combined Synergy Presentation" xfId="489"/>
    <cellStyle name="_MultipleSpace_Combined Synergy Presentation_5515616_3" xfId="490"/>
    <cellStyle name="_MultipleSpace_Combined Synergy Presentation_5515616_3_5401007_6" xfId="491"/>
    <cellStyle name="_MultipleSpace_Combined Synergy Presentation_5515616_3_5963478_1" xfId="492"/>
    <cellStyle name="_MultipleSpace_Combined Synergy Presentation_5515616_3_FON" xfId="493"/>
    <cellStyle name="_MultipleSpace_Combined Synergy Presentation_5515616_3_Put Analysis" xfId="494"/>
    <cellStyle name="_MultipleSpace_Combined Synergy Presentation_5515616_3_Put Analysis.v2" xfId="495"/>
    <cellStyle name="_MultipleSpace_Combined Synergy Presentation_5515616_3_Spin Model v.2" xfId="496"/>
    <cellStyle name="_MultipleSpace_Combined Synergy Presentation_5517854_3" xfId="497"/>
    <cellStyle name="_MultipleSpace_Combined Synergy Presentation_5517854_3_5401007_6" xfId="498"/>
    <cellStyle name="_MultipleSpace_Combined Synergy Presentation_5517854_3_5963478_1" xfId="499"/>
    <cellStyle name="_MultipleSpace_Combined Synergy Presentation_5517854_3_FON" xfId="500"/>
    <cellStyle name="_MultipleSpace_Combined Synergy Presentation_5517854_3_Put Analysis" xfId="501"/>
    <cellStyle name="_MultipleSpace_Combined Synergy Presentation_5517854_3_Put Analysis.v2" xfId="502"/>
    <cellStyle name="_MultipleSpace_Combined Synergy Presentation_5517854_3_Spin Model v.2" xfId="503"/>
    <cellStyle name="_MultipleSpace_Combined Synergy Presentation_Book3" xfId="504"/>
    <cellStyle name="_MultipleSpace_Combined Synergy Presentation_Book3_5401007_6" xfId="505"/>
    <cellStyle name="_MultipleSpace_Combined Synergy Presentation_Book3_5963478_1" xfId="506"/>
    <cellStyle name="_MultipleSpace_Combined Synergy Presentation_Book3_FON" xfId="507"/>
    <cellStyle name="_MultipleSpace_Combined Synergy Presentation_Book3_Put Analysis" xfId="508"/>
    <cellStyle name="_MultipleSpace_Combined Synergy Presentation_Book3_Put Analysis.v2" xfId="509"/>
    <cellStyle name="_MultipleSpace_Combined Synergy Presentation_Book3_Spin Model v.2" xfId="510"/>
    <cellStyle name="_MultipleSpace_Synergy Analysis" xfId="511"/>
    <cellStyle name="_MultipleSpace_Synergy Analysis_5515616_3" xfId="512"/>
    <cellStyle name="_MultipleSpace_Synergy Analysis_5515616_3_5401007_6" xfId="513"/>
    <cellStyle name="_MultipleSpace_Synergy Analysis_5515616_3_5401007_6_Project Kentucky Derby Model v75" xfId="514"/>
    <cellStyle name="_MultipleSpace_Synergy Analysis_5515616_3_5401007_6_Project Kentucky Derby Model v76" xfId="515"/>
    <cellStyle name="_MultipleSpace_Synergy Analysis_5515616_3_5401007_6_SBSAModel116(Company)" xfId="516"/>
    <cellStyle name="_MultipleSpace_Synergy Analysis_5515616_3_5963478_1" xfId="517"/>
    <cellStyle name="_MultipleSpace_Synergy Analysis_5515616_3_FON" xfId="518"/>
    <cellStyle name="_MultipleSpace_Synergy Analysis_5515616_3_Put Analysis" xfId="519"/>
    <cellStyle name="_MultipleSpace_Synergy Analysis_5515616_3_Put Analysis.v2" xfId="520"/>
    <cellStyle name="_MultipleSpace_Synergy Analysis_5515616_3_Put Analysis.v2_Project Kentucky Derby Model v75" xfId="521"/>
    <cellStyle name="_MultipleSpace_Synergy Analysis_5515616_3_Put Analysis.v2_Project Kentucky Derby Model v76" xfId="522"/>
    <cellStyle name="_MultipleSpace_Synergy Analysis_5515616_3_Put Analysis.v2_SBSAModel116(Company)" xfId="523"/>
    <cellStyle name="_MultipleSpace_Synergy Analysis_5515616_3_Put Analysis_Project Kentucky Derby Model v75" xfId="524"/>
    <cellStyle name="_MultipleSpace_Synergy Analysis_5515616_3_Put Analysis_Project Kentucky Derby Model v76" xfId="525"/>
    <cellStyle name="_MultipleSpace_Synergy Analysis_5515616_3_Put Analysis_SBSAModel116(Company)" xfId="526"/>
    <cellStyle name="_MultipleSpace_Synergy Analysis_5515616_3_Spin Model v.2" xfId="527"/>
    <cellStyle name="_MultipleSpace_Synergy Analysis_5515616_3_Spin Model v.2_Project Kentucky Derby Model v75" xfId="528"/>
    <cellStyle name="_MultipleSpace_Synergy Analysis_5515616_3_Spin Model v.2_Project Kentucky Derby Model v76" xfId="529"/>
    <cellStyle name="_MultipleSpace_Synergy Analysis_5515616_3_Spin Model v.2_SBSAModel116(Company)" xfId="530"/>
    <cellStyle name="_MultipleSpace_Synergy Analysis_5517854_3" xfId="531"/>
    <cellStyle name="_MultipleSpace_Synergy Analysis_5517854_3_5401007_6" xfId="532"/>
    <cellStyle name="_MultipleSpace_Synergy Analysis_5517854_3_5401007_6_Project Kentucky Derby Model v75" xfId="533"/>
    <cellStyle name="_MultipleSpace_Synergy Analysis_5517854_3_5401007_6_Project Kentucky Derby Model v76" xfId="534"/>
    <cellStyle name="_MultipleSpace_Synergy Analysis_5517854_3_5401007_6_SBSAModel116(Company)" xfId="535"/>
    <cellStyle name="_MultipleSpace_Synergy Analysis_5517854_3_5963478_1" xfId="536"/>
    <cellStyle name="_MultipleSpace_Synergy Analysis_5517854_3_FON" xfId="537"/>
    <cellStyle name="_MultipleSpace_Synergy Analysis_5517854_3_Put Analysis" xfId="538"/>
    <cellStyle name="_MultipleSpace_Synergy Analysis_5517854_3_Put Analysis.v2" xfId="539"/>
    <cellStyle name="_MultipleSpace_Synergy Analysis_5517854_3_Put Analysis.v2_Project Kentucky Derby Model v75" xfId="540"/>
    <cellStyle name="_MultipleSpace_Synergy Analysis_5517854_3_Put Analysis.v2_Project Kentucky Derby Model v76" xfId="541"/>
    <cellStyle name="_MultipleSpace_Synergy Analysis_5517854_3_Put Analysis.v2_SBSAModel116(Company)" xfId="542"/>
    <cellStyle name="_MultipleSpace_Synergy Analysis_5517854_3_Put Analysis_Project Kentucky Derby Model v75" xfId="543"/>
    <cellStyle name="_MultipleSpace_Synergy Analysis_5517854_3_Put Analysis_Project Kentucky Derby Model v76" xfId="544"/>
    <cellStyle name="_MultipleSpace_Synergy Analysis_5517854_3_Put Analysis_SBSAModel116(Company)" xfId="545"/>
    <cellStyle name="_MultipleSpace_Synergy Analysis_5517854_3_Spin Model v.2" xfId="546"/>
    <cellStyle name="_MultipleSpace_Synergy Analysis_5517854_3_Spin Model v.2_Project Kentucky Derby Model v75" xfId="547"/>
    <cellStyle name="_MultipleSpace_Synergy Analysis_5517854_3_Spin Model v.2_Project Kentucky Derby Model v76" xfId="548"/>
    <cellStyle name="_MultipleSpace_Synergy Analysis_5517854_3_Spin Model v.2_SBSAModel116(Company)" xfId="549"/>
    <cellStyle name="_MultipleSpace_Synergy Analysis_Book3" xfId="550"/>
    <cellStyle name="_MultipleSpace_Synergy Analysis_Book3_5401007_6" xfId="551"/>
    <cellStyle name="_MultipleSpace_Synergy Analysis_Book3_5401007_6_Project Kentucky Derby Model v75" xfId="552"/>
    <cellStyle name="_MultipleSpace_Synergy Analysis_Book3_5401007_6_Project Kentucky Derby Model v76" xfId="553"/>
    <cellStyle name="_MultipleSpace_Synergy Analysis_Book3_5401007_6_SBSAModel116(Company)" xfId="554"/>
    <cellStyle name="_MultipleSpace_Synergy Analysis_Book3_5963478_1" xfId="555"/>
    <cellStyle name="_MultipleSpace_Synergy Analysis_Book3_FON" xfId="556"/>
    <cellStyle name="_MultipleSpace_Synergy Analysis_Book3_Put Analysis" xfId="557"/>
    <cellStyle name="_MultipleSpace_Synergy Analysis_Book3_Put Analysis.v2" xfId="558"/>
    <cellStyle name="_MultipleSpace_Synergy Analysis_Book3_Put Analysis.v2_Project Kentucky Derby Model v75" xfId="559"/>
    <cellStyle name="_MultipleSpace_Synergy Analysis_Book3_Put Analysis.v2_Project Kentucky Derby Model v76" xfId="560"/>
    <cellStyle name="_MultipleSpace_Synergy Analysis_Book3_Put Analysis.v2_SBSAModel116(Company)" xfId="561"/>
    <cellStyle name="_MultipleSpace_Synergy Analysis_Book3_Put Analysis_Project Kentucky Derby Model v75" xfId="562"/>
    <cellStyle name="_MultipleSpace_Synergy Analysis_Book3_Put Analysis_Project Kentucky Derby Model v76" xfId="563"/>
    <cellStyle name="_MultipleSpace_Synergy Analysis_Book3_Put Analysis_SBSAModel116(Company)" xfId="564"/>
    <cellStyle name="_MultipleSpace_Synergy Analysis_Book3_Spin Model v.2" xfId="565"/>
    <cellStyle name="_MultipleSpace_Synergy Analysis_Book3_Spin Model v.2_Project Kentucky Derby Model v75" xfId="566"/>
    <cellStyle name="_MultipleSpace_Synergy Analysis_Book3_Spin Model v.2_Project Kentucky Derby Model v76" xfId="567"/>
    <cellStyle name="_MultipleSpace_Synergy Analysis_Book3_Spin Model v.2_SBSAModel116(Company)" xfId="568"/>
    <cellStyle name="_MultipleSpace_Synergy Analysis_co-advisors" xfId="569"/>
    <cellStyle name="_MultipleSpace_Synergy Analysis_co-advisors_5515616_3" xfId="570"/>
    <cellStyle name="_MultipleSpace_Synergy Analysis_co-advisors_5515616_3_5401007_6" xfId="571"/>
    <cellStyle name="_MultipleSpace_Synergy Analysis_co-advisors_5515616_3_5401007_6_Project Kentucky Derby Model v75" xfId="572"/>
    <cellStyle name="_MultipleSpace_Synergy Analysis_co-advisors_5515616_3_5401007_6_Project Kentucky Derby Model v76" xfId="573"/>
    <cellStyle name="_MultipleSpace_Synergy Analysis_co-advisors_5515616_3_5401007_6_SBSAModel116(Company)" xfId="574"/>
    <cellStyle name="_MultipleSpace_Synergy Analysis_co-advisors_5515616_3_5963478_1" xfId="575"/>
    <cellStyle name="_MultipleSpace_Synergy Analysis_co-advisors_5515616_3_FON" xfId="576"/>
    <cellStyle name="_MultipleSpace_Synergy Analysis_co-advisors_5515616_3_Put Analysis" xfId="577"/>
    <cellStyle name="_MultipleSpace_Synergy Analysis_co-advisors_5515616_3_Put Analysis.v2" xfId="578"/>
    <cellStyle name="_MultipleSpace_Synergy Analysis_co-advisors_5515616_3_Put Analysis.v2_Project Kentucky Derby Model v75" xfId="579"/>
    <cellStyle name="_MultipleSpace_Synergy Analysis_co-advisors_5515616_3_Put Analysis.v2_Project Kentucky Derby Model v76" xfId="580"/>
    <cellStyle name="_MultipleSpace_Synergy Analysis_co-advisors_5515616_3_Put Analysis.v2_SBSAModel116(Company)" xfId="581"/>
    <cellStyle name="_MultipleSpace_Synergy Analysis_co-advisors_5515616_3_Put Analysis_Project Kentucky Derby Model v75" xfId="582"/>
    <cellStyle name="_MultipleSpace_Synergy Analysis_co-advisors_5515616_3_Put Analysis_Project Kentucky Derby Model v76" xfId="583"/>
    <cellStyle name="_MultipleSpace_Synergy Analysis_co-advisors_5515616_3_Put Analysis_SBSAModel116(Company)" xfId="584"/>
    <cellStyle name="_MultipleSpace_Synergy Analysis_co-advisors_5515616_3_Spin Model v.2" xfId="585"/>
    <cellStyle name="_MultipleSpace_Synergy Analysis_co-advisors_5515616_3_Spin Model v.2_Project Kentucky Derby Model v75" xfId="586"/>
    <cellStyle name="_MultipleSpace_Synergy Analysis_co-advisors_5515616_3_Spin Model v.2_Project Kentucky Derby Model v76" xfId="587"/>
    <cellStyle name="_MultipleSpace_Synergy Analysis_co-advisors_5515616_3_Spin Model v.2_SBSAModel116(Company)" xfId="588"/>
    <cellStyle name="_MultipleSpace_Synergy Analysis_co-advisors_5517854_3" xfId="589"/>
    <cellStyle name="_MultipleSpace_Synergy Analysis_co-advisors_5517854_3_5401007_6" xfId="590"/>
    <cellStyle name="_MultipleSpace_Synergy Analysis_co-advisors_5517854_3_5401007_6_Project Kentucky Derby Model v75" xfId="591"/>
    <cellStyle name="_MultipleSpace_Synergy Analysis_co-advisors_5517854_3_5401007_6_Project Kentucky Derby Model v76" xfId="592"/>
    <cellStyle name="_MultipleSpace_Synergy Analysis_co-advisors_5517854_3_5401007_6_SBSAModel116(Company)" xfId="593"/>
    <cellStyle name="_MultipleSpace_Synergy Analysis_co-advisors_5517854_3_5963478_1" xfId="594"/>
    <cellStyle name="_MultipleSpace_Synergy Analysis_co-advisors_5517854_3_FON" xfId="595"/>
    <cellStyle name="_MultipleSpace_Synergy Analysis_co-advisors_5517854_3_Put Analysis" xfId="596"/>
    <cellStyle name="_MultipleSpace_Synergy Analysis_co-advisors_5517854_3_Put Analysis.v2" xfId="597"/>
    <cellStyle name="_MultipleSpace_Synergy Analysis_co-advisors_5517854_3_Put Analysis.v2_Project Kentucky Derby Model v75" xfId="598"/>
    <cellStyle name="_MultipleSpace_Synergy Analysis_co-advisors_5517854_3_Put Analysis.v2_Project Kentucky Derby Model v76" xfId="599"/>
    <cellStyle name="_MultipleSpace_Synergy Analysis_co-advisors_5517854_3_Put Analysis.v2_SBSAModel116(Company)" xfId="600"/>
    <cellStyle name="_MultipleSpace_Synergy Analysis_co-advisors_5517854_3_Put Analysis_Project Kentucky Derby Model v75" xfId="601"/>
    <cellStyle name="_MultipleSpace_Synergy Analysis_co-advisors_5517854_3_Put Analysis_Project Kentucky Derby Model v76" xfId="602"/>
    <cellStyle name="_MultipleSpace_Synergy Analysis_co-advisors_5517854_3_Put Analysis_SBSAModel116(Company)" xfId="603"/>
    <cellStyle name="_MultipleSpace_Synergy Analysis_co-advisors_5517854_3_Spin Model v.2" xfId="604"/>
    <cellStyle name="_MultipleSpace_Synergy Analysis_co-advisors_5517854_3_Spin Model v.2_Project Kentucky Derby Model v75" xfId="605"/>
    <cellStyle name="_MultipleSpace_Synergy Analysis_co-advisors_5517854_3_Spin Model v.2_Project Kentucky Derby Model v76" xfId="606"/>
    <cellStyle name="_MultipleSpace_Synergy Analysis_co-advisors_5517854_3_Spin Model v.2_SBSAModel116(Company)" xfId="607"/>
    <cellStyle name="_MultipleSpace_Synergy Analysis_co-advisors_Book3" xfId="608"/>
    <cellStyle name="_MultipleSpace_Synergy Analysis_co-advisors_Book3_5401007_6" xfId="609"/>
    <cellStyle name="_MultipleSpace_Synergy Analysis_co-advisors_Book3_5401007_6_Project Kentucky Derby Model v75" xfId="610"/>
    <cellStyle name="_MultipleSpace_Synergy Analysis_co-advisors_Book3_5401007_6_Project Kentucky Derby Model v76" xfId="611"/>
    <cellStyle name="_MultipleSpace_Synergy Analysis_co-advisors_Book3_5401007_6_SBSAModel116(Company)" xfId="612"/>
    <cellStyle name="_MultipleSpace_Synergy Analysis_co-advisors_Book3_5963478_1" xfId="613"/>
    <cellStyle name="_MultipleSpace_Synergy Analysis_co-advisors_Book3_FON" xfId="614"/>
    <cellStyle name="_MultipleSpace_Synergy Analysis_co-advisors_Book3_Put Analysis" xfId="615"/>
    <cellStyle name="_MultipleSpace_Synergy Analysis_co-advisors_Book3_Put Analysis.v2" xfId="616"/>
    <cellStyle name="_MultipleSpace_Synergy Analysis_co-advisors_Book3_Put Analysis.v2_Project Kentucky Derby Model v75" xfId="617"/>
    <cellStyle name="_MultipleSpace_Synergy Analysis_co-advisors_Book3_Put Analysis.v2_Project Kentucky Derby Model v76" xfId="618"/>
    <cellStyle name="_MultipleSpace_Synergy Analysis_co-advisors_Book3_Put Analysis.v2_SBSAModel116(Company)" xfId="619"/>
    <cellStyle name="_MultipleSpace_Synergy Analysis_co-advisors_Book3_Put Analysis_Project Kentucky Derby Model v75" xfId="620"/>
    <cellStyle name="_MultipleSpace_Synergy Analysis_co-advisors_Book3_Put Analysis_Project Kentucky Derby Model v76" xfId="621"/>
    <cellStyle name="_MultipleSpace_Synergy Analysis_co-advisors_Book3_Put Analysis_SBSAModel116(Company)" xfId="622"/>
    <cellStyle name="_MultipleSpace_Synergy Analysis_co-advisors_Book3_Spin Model v.2" xfId="623"/>
    <cellStyle name="_MultipleSpace_Synergy Analysis_co-advisors_Book3_Spin Model v.2_Project Kentucky Derby Model v75" xfId="624"/>
    <cellStyle name="_MultipleSpace_Synergy Analysis_co-advisors_Book3_Spin Model v.2_Project Kentucky Derby Model v76" xfId="625"/>
    <cellStyle name="_MultipleSpace_Synergy Analysis_co-advisors_Book3_Spin Model v.2_SBSAModel116(Company)" xfId="626"/>
    <cellStyle name="_MultipleSpace_Synergy Calc 1.1 rev 5-yr aug high1_bpace" xfId="627"/>
    <cellStyle name="_MultipleSpace_Synergy Calc 1.1 rev 5-yr aug high1_bpace_5515616_3" xfId="628"/>
    <cellStyle name="_MultipleSpace_Synergy Calc 1.1 rev 5-yr aug high1_bpace_5515616_3_5401007_6" xfId="629"/>
    <cellStyle name="_MultipleSpace_Synergy Calc 1.1 rev 5-yr aug high1_bpace_5515616_3_5963478_1" xfId="630"/>
    <cellStyle name="_MultipleSpace_Synergy Calc 1.1 rev 5-yr aug high1_bpace_5515616_3_FON" xfId="631"/>
    <cellStyle name="_MultipleSpace_Synergy Calc 1.1 rev 5-yr aug high1_bpace_5515616_3_Put Analysis" xfId="632"/>
    <cellStyle name="_MultipleSpace_Synergy Calc 1.1 rev 5-yr aug high1_bpace_5515616_3_Put Analysis.v2" xfId="633"/>
    <cellStyle name="_MultipleSpace_Synergy Calc 1.1 rev 5-yr aug high1_bpace_5515616_3_Spin Model v.2" xfId="634"/>
    <cellStyle name="_MultipleSpace_Synergy Calc 1.1 rev 5-yr aug high1_bpace_5517854_3" xfId="635"/>
    <cellStyle name="_MultipleSpace_Synergy Calc 1.1 rev 5-yr aug high1_bpace_5517854_3_5401007_6" xfId="636"/>
    <cellStyle name="_MultipleSpace_Synergy Calc 1.1 rev 5-yr aug high1_bpace_5517854_3_5963478_1" xfId="637"/>
    <cellStyle name="_MultipleSpace_Synergy Calc 1.1 rev 5-yr aug high1_bpace_5517854_3_FON" xfId="638"/>
    <cellStyle name="_MultipleSpace_Synergy Calc 1.1 rev 5-yr aug high1_bpace_5517854_3_Put Analysis" xfId="639"/>
    <cellStyle name="_MultipleSpace_Synergy Calc 1.1 rev 5-yr aug high1_bpace_5517854_3_Put Analysis.v2" xfId="640"/>
    <cellStyle name="_MultipleSpace_Synergy Calc 1.1 rev 5-yr aug high1_bpace_5517854_3_Spin Model v.2" xfId="641"/>
    <cellStyle name="_MultipleSpace_Synergy Calc 1.1 rev 5-yr aug high1_bpace_Book3" xfId="642"/>
    <cellStyle name="_MultipleSpace_Synergy Calc 1.1 rev 5-yr aug high1_bpace_Book3_5401007_6" xfId="643"/>
    <cellStyle name="_MultipleSpace_Synergy Calc 1.1 rev 5-yr aug high1_bpace_Book3_5963478_1" xfId="644"/>
    <cellStyle name="_MultipleSpace_Synergy Calc 1.1 rev 5-yr aug high1_bpace_Book3_FON" xfId="645"/>
    <cellStyle name="_MultipleSpace_Synergy Calc 1.1 rev 5-yr aug high1_bpace_Book3_Put Analysis" xfId="646"/>
    <cellStyle name="_MultipleSpace_Synergy Calc 1.1 rev 5-yr aug high1_bpace_Book3_Put Analysis.v2" xfId="647"/>
    <cellStyle name="_MultipleSpace_Synergy Calc 1.1 rev 5-yr aug high1_bpace_Book3_Spin Model v.2" xfId="648"/>
    <cellStyle name="_MultipleSpace_Synergy Detail _gs" xfId="649"/>
    <cellStyle name="_MultipleSpace_Synergy Detail _gs_5515616_3" xfId="650"/>
    <cellStyle name="_MultipleSpace_Synergy Detail _gs_5515616_3_5401007_6" xfId="651"/>
    <cellStyle name="_MultipleSpace_Synergy Detail _gs_5515616_3_5401007_6_Project Kentucky Derby Model v75" xfId="652"/>
    <cellStyle name="_MultipleSpace_Synergy Detail _gs_5515616_3_5401007_6_Project Kentucky Derby Model v76" xfId="653"/>
    <cellStyle name="_MultipleSpace_Synergy Detail _gs_5515616_3_5401007_6_SBSAModel116(Company)" xfId="654"/>
    <cellStyle name="_MultipleSpace_Synergy Detail _gs_5515616_3_5963478_1" xfId="655"/>
    <cellStyle name="_MultipleSpace_Synergy Detail _gs_5515616_3_FON" xfId="656"/>
    <cellStyle name="_MultipleSpace_Synergy Detail _gs_5515616_3_Put Analysis" xfId="657"/>
    <cellStyle name="_MultipleSpace_Synergy Detail _gs_5515616_3_Put Analysis.v2" xfId="658"/>
    <cellStyle name="_MultipleSpace_Synergy Detail _gs_5515616_3_Put Analysis.v2_Project Kentucky Derby Model v75" xfId="659"/>
    <cellStyle name="_MultipleSpace_Synergy Detail _gs_5515616_3_Put Analysis.v2_Project Kentucky Derby Model v76" xfId="660"/>
    <cellStyle name="_MultipleSpace_Synergy Detail _gs_5515616_3_Put Analysis.v2_SBSAModel116(Company)" xfId="661"/>
    <cellStyle name="_MultipleSpace_Synergy Detail _gs_5515616_3_Put Analysis_Project Kentucky Derby Model v75" xfId="662"/>
    <cellStyle name="_MultipleSpace_Synergy Detail _gs_5515616_3_Put Analysis_Project Kentucky Derby Model v76" xfId="663"/>
    <cellStyle name="_MultipleSpace_Synergy Detail _gs_5515616_3_Put Analysis_SBSAModel116(Company)" xfId="664"/>
    <cellStyle name="_MultipleSpace_Synergy Detail _gs_5515616_3_Spin Model v.2" xfId="665"/>
    <cellStyle name="_MultipleSpace_Synergy Detail _gs_5515616_3_Spin Model v.2_Project Kentucky Derby Model v75" xfId="666"/>
    <cellStyle name="_MultipleSpace_Synergy Detail _gs_5515616_3_Spin Model v.2_Project Kentucky Derby Model v76" xfId="667"/>
    <cellStyle name="_MultipleSpace_Synergy Detail _gs_5515616_3_Spin Model v.2_SBSAModel116(Company)" xfId="668"/>
    <cellStyle name="_MultipleSpace_Synergy Detail _gs_5517854_3" xfId="669"/>
    <cellStyle name="_MultipleSpace_Synergy Detail _gs_5517854_3_5401007_6" xfId="670"/>
    <cellStyle name="_MultipleSpace_Synergy Detail _gs_5517854_3_5401007_6_Project Kentucky Derby Model v75" xfId="671"/>
    <cellStyle name="_MultipleSpace_Synergy Detail _gs_5517854_3_5401007_6_Project Kentucky Derby Model v76" xfId="672"/>
    <cellStyle name="_MultipleSpace_Synergy Detail _gs_5517854_3_5401007_6_SBSAModel116(Company)" xfId="673"/>
    <cellStyle name="_MultipleSpace_Synergy Detail _gs_5517854_3_5963478_1" xfId="674"/>
    <cellStyle name="_MultipleSpace_Synergy Detail _gs_5517854_3_FON" xfId="675"/>
    <cellStyle name="_MultipleSpace_Synergy Detail _gs_5517854_3_Put Analysis" xfId="676"/>
    <cellStyle name="_MultipleSpace_Synergy Detail _gs_5517854_3_Put Analysis.v2" xfId="677"/>
    <cellStyle name="_MultipleSpace_Synergy Detail _gs_5517854_3_Put Analysis.v2_Project Kentucky Derby Model v75" xfId="678"/>
    <cellStyle name="_MultipleSpace_Synergy Detail _gs_5517854_3_Put Analysis.v2_Project Kentucky Derby Model v76" xfId="679"/>
    <cellStyle name="_MultipleSpace_Synergy Detail _gs_5517854_3_Put Analysis.v2_SBSAModel116(Company)" xfId="680"/>
    <cellStyle name="_MultipleSpace_Synergy Detail _gs_5517854_3_Put Analysis_Project Kentucky Derby Model v75" xfId="681"/>
    <cellStyle name="_MultipleSpace_Synergy Detail _gs_5517854_3_Put Analysis_Project Kentucky Derby Model v76" xfId="682"/>
    <cellStyle name="_MultipleSpace_Synergy Detail _gs_5517854_3_Put Analysis_SBSAModel116(Company)" xfId="683"/>
    <cellStyle name="_MultipleSpace_Synergy Detail _gs_5517854_3_Spin Model v.2" xfId="684"/>
    <cellStyle name="_MultipleSpace_Synergy Detail _gs_5517854_3_Spin Model v.2_Project Kentucky Derby Model v75" xfId="685"/>
    <cellStyle name="_MultipleSpace_Synergy Detail _gs_5517854_3_Spin Model v.2_Project Kentucky Derby Model v76" xfId="686"/>
    <cellStyle name="_MultipleSpace_Synergy Detail _gs_5517854_3_Spin Model v.2_SBSAModel116(Company)" xfId="687"/>
    <cellStyle name="_MultipleSpace_Synergy Detail _gs_Book3" xfId="688"/>
    <cellStyle name="_MultipleSpace_Synergy Detail _gs_Book3_5401007_6" xfId="689"/>
    <cellStyle name="_MultipleSpace_Synergy Detail _gs_Book3_5401007_6_Project Kentucky Derby Model v75" xfId="690"/>
    <cellStyle name="_MultipleSpace_Synergy Detail _gs_Book3_5401007_6_Project Kentucky Derby Model v76" xfId="691"/>
    <cellStyle name="_MultipleSpace_Synergy Detail _gs_Book3_5401007_6_SBSAModel116(Company)" xfId="692"/>
    <cellStyle name="_MultipleSpace_Synergy Detail _gs_Book3_5963478_1" xfId="693"/>
    <cellStyle name="_MultipleSpace_Synergy Detail _gs_Book3_FON" xfId="694"/>
    <cellStyle name="_MultipleSpace_Synergy Detail _gs_Book3_Put Analysis" xfId="695"/>
    <cellStyle name="_MultipleSpace_Synergy Detail _gs_Book3_Put Analysis.v2" xfId="696"/>
    <cellStyle name="_MultipleSpace_Synergy Detail _gs_Book3_Put Analysis.v2_Project Kentucky Derby Model v75" xfId="697"/>
    <cellStyle name="_MultipleSpace_Synergy Detail _gs_Book3_Put Analysis.v2_Project Kentucky Derby Model v76" xfId="698"/>
    <cellStyle name="_MultipleSpace_Synergy Detail _gs_Book3_Put Analysis.v2_SBSAModel116(Company)" xfId="699"/>
    <cellStyle name="_MultipleSpace_Synergy Detail _gs_Book3_Put Analysis_Project Kentucky Derby Model v75" xfId="700"/>
    <cellStyle name="_MultipleSpace_Synergy Detail _gs_Book3_Put Analysis_Project Kentucky Derby Model v76" xfId="701"/>
    <cellStyle name="_MultipleSpace_Synergy Detail _gs_Book3_Put Analysis_SBSAModel116(Company)" xfId="702"/>
    <cellStyle name="_MultipleSpace_Synergy Detail _gs_Book3_Spin Model v.2" xfId="703"/>
    <cellStyle name="_MultipleSpace_Synergy Detail _gs_Book3_Spin Model v.2_Project Kentucky Derby Model v75" xfId="704"/>
    <cellStyle name="_MultipleSpace_Synergy Detail _gs_Book3_Spin Model v.2_Project Kentucky Derby Model v76" xfId="705"/>
    <cellStyle name="_MultipleSpace_Synergy Detail _gs_Book3_Spin Model v.2_SBSAModel116(Company)" xfId="706"/>
    <cellStyle name="_Percent" xfId="707"/>
    <cellStyle name="_Percent_5515616_3" xfId="708"/>
    <cellStyle name="_Percent_5515616_3_5401007_6" xfId="709"/>
    <cellStyle name="_Percent_5515616_3_5963478_1" xfId="710"/>
    <cellStyle name="_Percent_5515616_3_FON" xfId="711"/>
    <cellStyle name="_Percent_5515616_3_Put Analysis" xfId="712"/>
    <cellStyle name="_Percent_5515616_3_Put Analysis.v2" xfId="713"/>
    <cellStyle name="_Percent_5515616_3_Spin Model v.2" xfId="714"/>
    <cellStyle name="_Percent_5517854_3" xfId="715"/>
    <cellStyle name="_Percent_5517854_3_5401007_6" xfId="716"/>
    <cellStyle name="_Percent_5517854_3_5963478_1" xfId="717"/>
    <cellStyle name="_Percent_5517854_3_FON" xfId="718"/>
    <cellStyle name="_Percent_5517854_3_Put Analysis" xfId="719"/>
    <cellStyle name="_Percent_5517854_3_Put Analysis.v2" xfId="720"/>
    <cellStyle name="_Percent_5517854_3_Spin Model v.2" xfId="721"/>
    <cellStyle name="_Percent_Book3" xfId="722"/>
    <cellStyle name="_Percent_Book3_5401007_6" xfId="723"/>
    <cellStyle name="_Percent_Book3_5963478_1" xfId="724"/>
    <cellStyle name="_Percent_Book3_FON" xfId="725"/>
    <cellStyle name="_Percent_Book3_Put Analysis" xfId="726"/>
    <cellStyle name="_Percent_Book3_Put Analysis.v2" xfId="727"/>
    <cellStyle name="_Percent_Book3_Spin Model v.2" xfId="728"/>
    <cellStyle name="_PercentSpace" xfId="729"/>
    <cellStyle name="_PercentSpace_5515616_3" xfId="730"/>
    <cellStyle name="_PercentSpace_5515616_3_5401007_6" xfId="731"/>
    <cellStyle name="_PercentSpace_5515616_3_5401007_6_Project Kentucky Derby Model v75" xfId="732"/>
    <cellStyle name="_PercentSpace_5515616_3_5401007_6_Project Kentucky Derby Model v76" xfId="733"/>
    <cellStyle name="_PercentSpace_5515616_3_5401007_6_SBSAModel116(Company)" xfId="734"/>
    <cellStyle name="_PercentSpace_5515616_3_5963478_1" xfId="735"/>
    <cellStyle name="_PercentSpace_5515616_3_FON" xfId="736"/>
    <cellStyle name="_PercentSpace_5515616_3_Put Analysis" xfId="737"/>
    <cellStyle name="_PercentSpace_5515616_3_Put Analysis.v2" xfId="738"/>
    <cellStyle name="_PercentSpace_5515616_3_Put Analysis.v2_Project Kentucky Derby Model v75" xfId="739"/>
    <cellStyle name="_PercentSpace_5515616_3_Put Analysis.v2_Project Kentucky Derby Model v76" xfId="740"/>
    <cellStyle name="_PercentSpace_5515616_3_Put Analysis.v2_SBSAModel116(Company)" xfId="741"/>
    <cellStyle name="_PercentSpace_5515616_3_Put Analysis_Project Kentucky Derby Model v75" xfId="742"/>
    <cellStyle name="_PercentSpace_5515616_3_Put Analysis_Project Kentucky Derby Model v76" xfId="743"/>
    <cellStyle name="_PercentSpace_5515616_3_Put Analysis_SBSAModel116(Company)" xfId="744"/>
    <cellStyle name="_PercentSpace_5515616_3_Spin Model v.2" xfId="745"/>
    <cellStyle name="_PercentSpace_5515616_3_Spin Model v.2_Project Kentucky Derby Model v75" xfId="746"/>
    <cellStyle name="_PercentSpace_5515616_3_Spin Model v.2_Project Kentucky Derby Model v76" xfId="747"/>
    <cellStyle name="_PercentSpace_5515616_3_Spin Model v.2_SBSAModel116(Company)" xfId="748"/>
    <cellStyle name="_PercentSpace_5517854_3" xfId="749"/>
    <cellStyle name="_PercentSpace_5517854_3_5401007_6" xfId="750"/>
    <cellStyle name="_PercentSpace_5517854_3_5401007_6_Project Kentucky Derby Model v75" xfId="751"/>
    <cellStyle name="_PercentSpace_5517854_3_5401007_6_Project Kentucky Derby Model v76" xfId="752"/>
    <cellStyle name="_PercentSpace_5517854_3_5401007_6_SBSAModel116(Company)" xfId="753"/>
    <cellStyle name="_PercentSpace_5517854_3_5963478_1" xfId="754"/>
    <cellStyle name="_PercentSpace_5517854_3_FON" xfId="755"/>
    <cellStyle name="_PercentSpace_5517854_3_Put Analysis" xfId="756"/>
    <cellStyle name="_PercentSpace_5517854_3_Put Analysis.v2" xfId="757"/>
    <cellStyle name="_PercentSpace_5517854_3_Put Analysis.v2_Project Kentucky Derby Model v75" xfId="758"/>
    <cellStyle name="_PercentSpace_5517854_3_Put Analysis.v2_Project Kentucky Derby Model v76" xfId="759"/>
    <cellStyle name="_PercentSpace_5517854_3_Put Analysis.v2_SBSAModel116(Company)" xfId="760"/>
    <cellStyle name="_PercentSpace_5517854_3_Put Analysis_Project Kentucky Derby Model v75" xfId="761"/>
    <cellStyle name="_PercentSpace_5517854_3_Put Analysis_Project Kentucky Derby Model v76" xfId="762"/>
    <cellStyle name="_PercentSpace_5517854_3_Put Analysis_SBSAModel116(Company)" xfId="763"/>
    <cellStyle name="_PercentSpace_5517854_3_Spin Model v.2" xfId="764"/>
    <cellStyle name="_PercentSpace_5517854_3_Spin Model v.2_Project Kentucky Derby Model v75" xfId="765"/>
    <cellStyle name="_PercentSpace_5517854_3_Spin Model v.2_Project Kentucky Derby Model v76" xfId="766"/>
    <cellStyle name="_PercentSpace_5517854_3_Spin Model v.2_SBSAModel116(Company)" xfId="767"/>
    <cellStyle name="_PercentSpace_Book3" xfId="768"/>
    <cellStyle name="_PercentSpace_Book3_5401007_6" xfId="769"/>
    <cellStyle name="_PercentSpace_Book3_5401007_6_Project Kentucky Derby Model v75" xfId="770"/>
    <cellStyle name="_PercentSpace_Book3_5401007_6_Project Kentucky Derby Model v76" xfId="771"/>
    <cellStyle name="_PercentSpace_Book3_5401007_6_SBSAModel116(Company)" xfId="772"/>
    <cellStyle name="_PercentSpace_Book3_5963478_1" xfId="773"/>
    <cellStyle name="_PercentSpace_Book3_FON" xfId="774"/>
    <cellStyle name="_PercentSpace_Book3_Put Analysis" xfId="775"/>
    <cellStyle name="_PercentSpace_Book3_Put Analysis.v2" xfId="776"/>
    <cellStyle name="_PercentSpace_Book3_Put Analysis.v2_Project Kentucky Derby Model v75" xfId="777"/>
    <cellStyle name="_PercentSpace_Book3_Put Analysis.v2_Project Kentucky Derby Model v76" xfId="778"/>
    <cellStyle name="_PercentSpace_Book3_Put Analysis.v2_SBSAModel116(Company)" xfId="779"/>
    <cellStyle name="_PercentSpace_Book3_Put Analysis_Project Kentucky Derby Model v75" xfId="780"/>
    <cellStyle name="_PercentSpace_Book3_Put Analysis_Project Kentucky Derby Model v76" xfId="781"/>
    <cellStyle name="_PercentSpace_Book3_Put Analysis_SBSAModel116(Company)" xfId="782"/>
    <cellStyle name="_PercentSpace_Book3_Spin Model v.2" xfId="783"/>
    <cellStyle name="_PercentSpace_Book3_Spin Model v.2_Project Kentucky Derby Model v75" xfId="784"/>
    <cellStyle name="_PercentSpace_Book3_Spin Model v.2_Project Kentucky Derby Model v76" xfId="785"/>
    <cellStyle name="_PercentSpace_Book3_Spin Model v.2_SBSAModel116(Company)" xfId="786"/>
    <cellStyle name="_PercentSpace_Synergy Detail _gs" xfId="787"/>
    <cellStyle name="_PercentSpace_Synergy Detail _gs_5515616_3" xfId="788"/>
    <cellStyle name="_PercentSpace_Synergy Detail _gs_5515616_3_5401007_6" xfId="789"/>
    <cellStyle name="_PercentSpace_Synergy Detail _gs_5515616_3_5963478_1" xfId="790"/>
    <cellStyle name="_PercentSpace_Synergy Detail _gs_5515616_3_FON" xfId="791"/>
    <cellStyle name="_PercentSpace_Synergy Detail _gs_5515616_3_Put Analysis" xfId="792"/>
    <cellStyle name="_PercentSpace_Synergy Detail _gs_5515616_3_Put Analysis.v2" xfId="793"/>
    <cellStyle name="_PercentSpace_Synergy Detail _gs_5515616_3_Spin Model v.2" xfId="794"/>
    <cellStyle name="_PercentSpace_Synergy Detail _gs_5517854_3" xfId="795"/>
    <cellStyle name="_PercentSpace_Synergy Detail _gs_5517854_3_5401007_6" xfId="796"/>
    <cellStyle name="_PercentSpace_Synergy Detail _gs_5517854_3_5963478_1" xfId="797"/>
    <cellStyle name="_PercentSpace_Synergy Detail _gs_5517854_3_FON" xfId="798"/>
    <cellStyle name="_PercentSpace_Synergy Detail _gs_5517854_3_Put Analysis" xfId="799"/>
    <cellStyle name="_PercentSpace_Synergy Detail _gs_5517854_3_Put Analysis.v2" xfId="800"/>
    <cellStyle name="_PercentSpace_Synergy Detail _gs_5517854_3_Spin Model v.2" xfId="801"/>
    <cellStyle name="_PercentSpace_Synergy Detail _gs_Book3" xfId="802"/>
    <cellStyle name="_PercentSpace_Synergy Detail _gs_Book3_5401007_6" xfId="803"/>
    <cellStyle name="_PercentSpace_Synergy Detail _gs_Book3_5963478_1" xfId="804"/>
    <cellStyle name="_PercentSpace_Synergy Detail _gs_Book3_FON" xfId="805"/>
    <cellStyle name="_PercentSpace_Synergy Detail _gs_Book3_Put Analysis" xfId="806"/>
    <cellStyle name="_PercentSpace_Synergy Detail _gs_Book3_Put Analysis.v2" xfId="807"/>
    <cellStyle name="_PercentSpace_Synergy Detail _gs_Book3_Spin Model v.2" xfId="808"/>
    <cellStyle name="_SubHeading" xfId="809"/>
    <cellStyle name="_SubHeading_Combined Synergy Presentation" xfId="810"/>
    <cellStyle name="_SubHeading_prestemp" xfId="811"/>
    <cellStyle name="_SubHeading_Synergy Analysis" xfId="812"/>
    <cellStyle name="_SubHeading_Synergy Analysis_co-advisors" xfId="813"/>
    <cellStyle name="_SubHeading_Synergy Calc 1.1 rev 5-yr aug high1_bpace" xfId="814"/>
    <cellStyle name="_Table" xfId="815"/>
    <cellStyle name="_Table_Combined Synergy Presentation" xfId="816"/>
    <cellStyle name="_Table_Synergy Analysis" xfId="817"/>
    <cellStyle name="_Table_Synergy Analysis_co-advisors" xfId="818"/>
    <cellStyle name="_Table_Synergy Calc 1.1 rev 5-yr aug high1_bpace" xfId="819"/>
    <cellStyle name="_TableHead" xfId="820"/>
    <cellStyle name="_TableRowHead" xfId="821"/>
    <cellStyle name="_TableSuperHead" xfId="822"/>
    <cellStyle name="_TableSuperHead_Combined Synergy Presentation" xfId="823"/>
    <cellStyle name="_TableSuperHead_Synergy Analysis" xfId="824"/>
    <cellStyle name="_TableSuperHead_Synergy Analysis_co-advisors" xfId="825"/>
    <cellStyle name="_TableSuperHead_Synergy Calc 1.1 rev 5-yr aug high1_bpace" xfId="826"/>
    <cellStyle name="£ BP" xfId="827"/>
    <cellStyle name="¥ JY" xfId="828"/>
    <cellStyle name="=C:\WINNT35\SYSTEM32\COMMAND.COM" xfId="829"/>
    <cellStyle name="=C:\WINNT35\SYSTEM32\COMMAND.COM 2" xfId="830"/>
    <cellStyle name="=C:\WINNT35\SYSTEM32\COMMAND.COM 3" xfId="831"/>
    <cellStyle name="0" xfId="832"/>
    <cellStyle name="0%" xfId="833"/>
    <cellStyle name="0.0" xfId="834"/>
    <cellStyle name="0.0%" xfId="835"/>
    <cellStyle name="0.0_5401007_6" xfId="836"/>
    <cellStyle name="0.00" xfId="837"/>
    <cellStyle name="0.00%" xfId="838"/>
    <cellStyle name="0_300615_12" xfId="839"/>
    <cellStyle name="0_5401007_6" xfId="840"/>
    <cellStyle name="0_5894860_1" xfId="841"/>
    <cellStyle name="0_5963478_1" xfId="842"/>
    <cellStyle name="0_Affiliates-Public Valuation" xfId="843"/>
    <cellStyle name="0_BP2" xfId="844"/>
    <cellStyle name="0_FON" xfId="845"/>
    <cellStyle name="0_Put Analysis" xfId="846"/>
    <cellStyle name="0_Put Analysis.v2" xfId="847"/>
    <cellStyle name="0_Sheet1" xfId="848"/>
    <cellStyle name="0_Spin Model v.2" xfId="849"/>
    <cellStyle name="000" xfId="850"/>
    <cellStyle name="12" xfId="851"/>
    <cellStyle name="1Decimal" xfId="852"/>
    <cellStyle name="20% - Accent1 2" xfId="853"/>
    <cellStyle name="20% - Accent2 2" xfId="854"/>
    <cellStyle name="20% - Accent3 2" xfId="855"/>
    <cellStyle name="20% - Accent4 2" xfId="856"/>
    <cellStyle name="20% - Accent5 2" xfId="857"/>
    <cellStyle name="20% - Accent6 2" xfId="858"/>
    <cellStyle name="2DecimalPercent" xfId="859"/>
    <cellStyle name="2Decimals" xfId="860"/>
    <cellStyle name="40% - Accent1 2" xfId="861"/>
    <cellStyle name="40% - Accent2 2" xfId="862"/>
    <cellStyle name="40% - Accent3 2" xfId="863"/>
    <cellStyle name="40% - Accent4 2" xfId="864"/>
    <cellStyle name="40% - Accent5 2" xfId="865"/>
    <cellStyle name="40% - Accent6 2" xfId="866"/>
    <cellStyle name="60% - Accent1 2" xfId="867"/>
    <cellStyle name="60% - Accent2 2" xfId="868"/>
    <cellStyle name="60% - Accent3 2" xfId="869"/>
    <cellStyle name="60% - Accent4 2" xfId="870"/>
    <cellStyle name="60% - Accent5 2" xfId="871"/>
    <cellStyle name="60% - Accent6 2" xfId="872"/>
    <cellStyle name="752131" xfId="873"/>
    <cellStyle name="Accent1 2" xfId="874"/>
    <cellStyle name="Accent2 2" xfId="875"/>
    <cellStyle name="Accent3 2" xfId="876"/>
    <cellStyle name="Accent4 2" xfId="877"/>
    <cellStyle name="Accent5 2" xfId="878"/>
    <cellStyle name="Accent6 2" xfId="879"/>
    <cellStyle name="Acctg" xfId="880"/>
    <cellStyle name="Acctg$" xfId="881"/>
    <cellStyle name="Acctg_5515616_3" xfId="882"/>
    <cellStyle name="active" xfId="883"/>
    <cellStyle name="Actual Date" xfId="884"/>
    <cellStyle name="AFE" xfId="885"/>
    <cellStyle name="args.style" xfId="886"/>
    <cellStyle name="Arial 10" xfId="887"/>
    <cellStyle name="Arial 12" xfId="888"/>
    <cellStyle name="Arial6Bold" xfId="889"/>
    <cellStyle name="Arial8Bold" xfId="890"/>
    <cellStyle name="Arial8Italic" xfId="891"/>
    <cellStyle name="ArialNormal" xfId="892"/>
    <cellStyle name="Array" xfId="893"/>
    <cellStyle name="Array Enter" xfId="894"/>
    <cellStyle name="Bad 2" xfId="895"/>
    <cellStyle name="Balance" xfId="896"/>
    <cellStyle name="BalanceSheet" xfId="897"/>
    <cellStyle name="black" xfId="898"/>
    <cellStyle name="Black Days" xfId="899"/>
    <cellStyle name="Black Decimal" xfId="900"/>
    <cellStyle name="Black Dollar" xfId="901"/>
    <cellStyle name="Black EPS" xfId="902"/>
    <cellStyle name="Black Percent" xfId="903"/>
    <cellStyle name="Black Percent2" xfId="904"/>
    <cellStyle name="Black Times" xfId="905"/>
    <cellStyle name="Black Times Two Deci" xfId="906"/>
    <cellStyle name="Black Times Two Deci2" xfId="907"/>
    <cellStyle name="Black Times_1164468_1" xfId="908"/>
    <cellStyle name="Black Times2" xfId="909"/>
    <cellStyle name="BLACK_Affiliates-Public Valuation" xfId="910"/>
    <cellStyle name="BlackStrike" xfId="911"/>
    <cellStyle name="BlackText" xfId="912"/>
    <cellStyle name="Blank Out" xfId="913"/>
    <cellStyle name="Blue" xfId="914"/>
    <cellStyle name="Blue Decimal" xfId="915"/>
    <cellStyle name="Blue Dollar" xfId="916"/>
    <cellStyle name="Blue EPS" xfId="917"/>
    <cellStyle name="Blue Text" xfId="918"/>
    <cellStyle name="Blue Zero Deci" xfId="919"/>
    <cellStyle name="blue$00" xfId="920"/>
    <cellStyle name="blue_333149_13" xfId="921"/>
    <cellStyle name="bluenodec" xfId="922"/>
    <cellStyle name="bluepercent" xfId="923"/>
    <cellStyle name="Body" xfId="924"/>
    <cellStyle name="bold" xfId="925"/>
    <cellStyle name="bold big" xfId="926"/>
    <cellStyle name="Bold/Border" xfId="927"/>
    <cellStyle name="bold_Cellular 3Q01_no NextWave_in progress" xfId="928"/>
    <cellStyle name="BoldText" xfId="929"/>
    <cellStyle name="BoldText 2" xfId="930"/>
    <cellStyle name="BoldText 3" xfId="931"/>
    <cellStyle name="Border" xfId="932"/>
    <cellStyle name="Border Heavy" xfId="933"/>
    <cellStyle name="Border Thin" xfId="934"/>
    <cellStyle name="Border_Affiliates-Public Valuation" xfId="935"/>
    <cellStyle name="Bottom Edge" xfId="936"/>
    <cellStyle name="British Pound" xfId="937"/>
    <cellStyle name="Bullet" xfId="938"/>
    <cellStyle name="Calc Currency (0)" xfId="939"/>
    <cellStyle name="Calc Currency (0) 2" xfId="940"/>
    <cellStyle name="Calculation 2" xfId="941"/>
    <cellStyle name="Case" xfId="942"/>
    <cellStyle name="Cash Flow Statement" xfId="943"/>
    <cellStyle name="CashFlow" xfId="944"/>
    <cellStyle name="Category Name" xfId="945"/>
    <cellStyle name="Centered Heading" xfId="946"/>
    <cellStyle name="Cents" xfId="947"/>
    <cellStyle name="Changeable" xfId="948"/>
    <cellStyle name="Chart Fonts" xfId="949"/>
    <cellStyle name="Check" xfId="950"/>
    <cellStyle name="Check Cell 2" xfId="951"/>
    <cellStyle name="Clean" xfId="952"/>
    <cellStyle name="colheadleft" xfId="953"/>
    <cellStyle name="colheadright" xfId="954"/>
    <cellStyle name="Color" xfId="955"/>
    <cellStyle name="Column Headings" xfId="956"/>
    <cellStyle name="Comma" xfId="3" builtinId="3"/>
    <cellStyle name="Comma  - Style1" xfId="957"/>
    <cellStyle name="Comma  - Style2" xfId="958"/>
    <cellStyle name="Comma  - Style3" xfId="959"/>
    <cellStyle name="Comma  - Style4" xfId="960"/>
    <cellStyle name="Comma  - Style5" xfId="961"/>
    <cellStyle name="Comma  - Style6" xfId="962"/>
    <cellStyle name="Comma  - Style7" xfId="963"/>
    <cellStyle name="Comma  - Style8" xfId="964"/>
    <cellStyle name="Comma [0] 2" xfId="965"/>
    <cellStyle name="Comma [1]" xfId="966"/>
    <cellStyle name="Comma 0" xfId="967"/>
    <cellStyle name="Comma 0*" xfId="968"/>
    <cellStyle name="Comma 0_87c_01_" xfId="969"/>
    <cellStyle name="Comma 10" xfId="970"/>
    <cellStyle name="Comma 2" xfId="971"/>
    <cellStyle name="Comma 2 2" xfId="972"/>
    <cellStyle name="Comma 2 2 2" xfId="973"/>
    <cellStyle name="Comma 2 2 2 2" xfId="974"/>
    <cellStyle name="Comma 2 2 3" xfId="975"/>
    <cellStyle name="Comma 2 3" xfId="976"/>
    <cellStyle name="Comma 2 3 2" xfId="977"/>
    <cellStyle name="Comma 2 3 2 2" xfId="978"/>
    <cellStyle name="Comma 2 3 3" xfId="979"/>
    <cellStyle name="Comma 2 4" xfId="980"/>
    <cellStyle name="Comma 2 4 2" xfId="981"/>
    <cellStyle name="Comma 2 4 2 2" xfId="982"/>
    <cellStyle name="Comma 2 4 3" xfId="983"/>
    <cellStyle name="Comma 2 5" xfId="984"/>
    <cellStyle name="Comma 2 6" xfId="985"/>
    <cellStyle name="Comma 2 6 2" xfId="986"/>
    <cellStyle name="Comma 2 7" xfId="987"/>
    <cellStyle name="Comma 2 8" xfId="988"/>
    <cellStyle name="Comma 2*" xfId="989"/>
    <cellStyle name="Comma 2_333149_13" xfId="990"/>
    <cellStyle name="Comma 3" xfId="1"/>
    <cellStyle name="Comma 3 2" xfId="992"/>
    <cellStyle name="Comma 3*" xfId="993"/>
    <cellStyle name="Comma 3_MAA SS Comps" xfId="991"/>
    <cellStyle name="Comma 4" xfId="994"/>
    <cellStyle name="Comma 5" xfId="1914"/>
    <cellStyle name="Comma Cents" xfId="995"/>
    <cellStyle name="Comma Input" xfId="996"/>
    <cellStyle name="Comma*" xfId="997"/>
    <cellStyle name="Comma0" xfId="998"/>
    <cellStyle name="Comma0 - Modelo1" xfId="999"/>
    <cellStyle name="Comma0 - Style1" xfId="1000"/>
    <cellStyle name="Comma1" xfId="1001"/>
    <cellStyle name="Comma1 - Modelo2" xfId="1002"/>
    <cellStyle name="Comma1 - Style2" xfId="1003"/>
    <cellStyle name="Comma1_315274_14" xfId="1004"/>
    <cellStyle name="Comma2" xfId="1005"/>
    <cellStyle name="Comma3" xfId="1006"/>
    <cellStyle name="CommaKM" xfId="1007"/>
    <cellStyle name="Company Name" xfId="1008"/>
    <cellStyle name="CompanyName" xfId="1009"/>
    <cellStyle name="Copied" xfId="1010"/>
    <cellStyle name="Cover Date" xfId="1011"/>
    <cellStyle name="Cover Subtitle" xfId="1012"/>
    <cellStyle name="Cover Title" xfId="1013"/>
    <cellStyle name="Coverage" xfId="1014"/>
    <cellStyle name="Cur" xfId="1015"/>
    <cellStyle name="Currency - UK" xfId="1016"/>
    <cellStyle name="Currency [1]" xfId="1017"/>
    <cellStyle name="Currency [2]" xfId="1018"/>
    <cellStyle name="Currency 0" xfId="1019"/>
    <cellStyle name="Currency 2" xfId="1020"/>
    <cellStyle name="Currency 2 2" xfId="1021"/>
    <cellStyle name="Currency 2*" xfId="1022"/>
    <cellStyle name="Currency 2_% Change" xfId="1023"/>
    <cellStyle name="Currency 3" xfId="1024"/>
    <cellStyle name="Currency 3 2" xfId="1025"/>
    <cellStyle name="Currency 3*" xfId="1026"/>
    <cellStyle name="Currency 4" xfId="1027"/>
    <cellStyle name="Currency 5" xfId="1028"/>
    <cellStyle name="Currency Input" xfId="1029"/>
    <cellStyle name="Currency*" xfId="1030"/>
    <cellStyle name="Currency0" xfId="1031"/>
    <cellStyle name="Currency1" xfId="1032"/>
    <cellStyle name="Currency1Blue" xfId="1033"/>
    <cellStyle name="Currency2" xfId="1034"/>
    <cellStyle name="Currency3" xfId="1035"/>
    <cellStyle name="Dash" xfId="1036"/>
    <cellStyle name="Date" xfId="1037"/>
    <cellStyle name="Date [d-mmm-yy]" xfId="1038"/>
    <cellStyle name="Date [mm-d-yy]" xfId="1039"/>
    <cellStyle name="Date [mm-d-yyyy]" xfId="1040"/>
    <cellStyle name="Date [mmm-d-yyyy]" xfId="1041"/>
    <cellStyle name="Date [mmm-yy]" xfId="1042"/>
    <cellStyle name="date 2" xfId="1043"/>
    <cellStyle name="date 3" xfId="1044"/>
    <cellStyle name="date 4" xfId="1045"/>
    <cellStyle name="date 5" xfId="1046"/>
    <cellStyle name="Date Aligned" xfId="1047"/>
    <cellStyle name="Date Aligned*" xfId="1048"/>
    <cellStyle name="Date Aligned_8sxj01_" xfId="1049"/>
    <cellStyle name="Date Day" xfId="1050"/>
    <cellStyle name="date month-year" xfId="1051"/>
    <cellStyle name="Date Year" xfId="1052"/>
    <cellStyle name="Date_04-10-03 NO Distribution" xfId="1053"/>
    <cellStyle name="Date1" xfId="1054"/>
    <cellStyle name="Date2" xfId="1055"/>
    <cellStyle name="Dates" xfId="1056"/>
    <cellStyle name="DateYear" xfId="1057"/>
    <cellStyle name="DateYearEstimate" xfId="1058"/>
    <cellStyle name="DateYearWholeEstimate" xfId="1059"/>
    <cellStyle name="decimal 0" xfId="1060"/>
    <cellStyle name="decimal 1" xfId="1061"/>
    <cellStyle name="decimal 2" xfId="1062"/>
    <cellStyle name="Deutschmark" xfId="1063"/>
    <cellStyle name="Dezimal [0]_Compiling Utility Macros" xfId="1064"/>
    <cellStyle name="Dezimal_Compiling Utility Macros" xfId="1065"/>
    <cellStyle name="Dia" xfId="1066"/>
    <cellStyle name="dolar" xfId="1067"/>
    <cellStyle name="dolar whole" xfId="1068"/>
    <cellStyle name="dollar" xfId="1069"/>
    <cellStyle name="Dollar (Canadian)" xfId="1070"/>
    <cellStyle name="Dollar Whole" xfId="1071"/>
    <cellStyle name="Dollar_4Q02 Note Figures" xfId="1072"/>
    <cellStyle name="Dollars" xfId="1073"/>
    <cellStyle name="DollarWhole" xfId="1074"/>
    <cellStyle name="Dotted Line" xfId="1075"/>
    <cellStyle name="Double Accounting" xfId="1076"/>
    <cellStyle name="dp*NumberGeneral" xfId="1077"/>
    <cellStyle name="Driver" xfId="1078"/>
    <cellStyle name="Encabez1" xfId="1079"/>
    <cellStyle name="Encabez2" xfId="1080"/>
    <cellStyle name="Entered" xfId="1081"/>
    <cellStyle name="Est - $" xfId="1082"/>
    <cellStyle name="Est - %" xfId="1083"/>
    <cellStyle name="Est 0,000.0" xfId="1084"/>
    <cellStyle name="Euro" xfId="1085"/>
    <cellStyle name="Explanatory Text 2" xfId="1086"/>
    <cellStyle name="F2" xfId="1087"/>
    <cellStyle name="F3" xfId="1088"/>
    <cellStyle name="F4" xfId="1089"/>
    <cellStyle name="F5" xfId="1090"/>
    <cellStyle name="F6" xfId="1091"/>
    <cellStyle name="F7" xfId="1092"/>
    <cellStyle name="F8" xfId="1093"/>
    <cellStyle name="FF_EURO" xfId="1094"/>
    <cellStyle name="Fijo" xfId="1095"/>
    <cellStyle name="Financiero" xfId="1096"/>
    <cellStyle name="Fixed" xfId="1097"/>
    <cellStyle name="Fixed0" xfId="1098"/>
    <cellStyle name="Footer SBILogo1" xfId="1099"/>
    <cellStyle name="Footer SBILogo2" xfId="1100"/>
    <cellStyle name="Footnote" xfId="1101"/>
    <cellStyle name="Footnote Reference" xfId="1102"/>
    <cellStyle name="Footnote_% Change" xfId="1103"/>
    <cellStyle name="Formula" xfId="1104"/>
    <cellStyle name="fourdecplace" xfId="1105"/>
    <cellStyle name="Gen. Number" xfId="1106"/>
    <cellStyle name="Gen. Percent" xfId="1107"/>
    <cellStyle name="Gen.Number" xfId="1108"/>
    <cellStyle name="Gen_Black_pD" xfId="1109"/>
    <cellStyle name="General" xfId="1110"/>
    <cellStyle name="Good 2" xfId="1111"/>
    <cellStyle name="Grand Total" xfId="1112"/>
    <cellStyle name="Grey" xfId="1113"/>
    <cellStyle name="growth" xfId="1114"/>
    <cellStyle name="GrowthLarge" xfId="1115"/>
    <cellStyle name="GrowthRate" xfId="1116"/>
    <cellStyle name="GrowthSeq" xfId="1117"/>
    <cellStyle name="GrowthSmall" xfId="1118"/>
    <cellStyle name="Hard Percent" xfId="1119"/>
    <cellStyle name="Head 1" xfId="1120"/>
    <cellStyle name="head1" xfId="1121"/>
    <cellStyle name="head2" xfId="1122"/>
    <cellStyle name="Header" xfId="1123"/>
    <cellStyle name="Header Draft Stamp" xfId="1124"/>
    <cellStyle name="Header_% Change" xfId="1125"/>
    <cellStyle name="Header1" xfId="1126"/>
    <cellStyle name="Header2" xfId="1127"/>
    <cellStyle name="heading" xfId="1128"/>
    <cellStyle name="Heading 1 2" xfId="1129"/>
    <cellStyle name="Heading 1 Above" xfId="1130"/>
    <cellStyle name="Heading 1+" xfId="1131"/>
    <cellStyle name="Heading 1+ 2" xfId="1132"/>
    <cellStyle name="Heading 1+ 3" xfId="1133"/>
    <cellStyle name="Heading 1+ 4" xfId="1134"/>
    <cellStyle name="Heading 2 2" xfId="1135"/>
    <cellStyle name="Heading 2 Below" xfId="1136"/>
    <cellStyle name="Heading 2+" xfId="1137"/>
    <cellStyle name="Heading 2+ 2" xfId="1138"/>
    <cellStyle name="Heading 2+ 3" xfId="1139"/>
    <cellStyle name="Heading 2+ 4" xfId="1140"/>
    <cellStyle name="Heading 3 2" xfId="1141"/>
    <cellStyle name="Heading 3+" xfId="1142"/>
    <cellStyle name="Heading 4 2" xfId="1143"/>
    <cellStyle name="Heading No Underline" xfId="1144"/>
    <cellStyle name="Heading With Underline" xfId="1145"/>
    <cellStyle name="Heading1" xfId="1146"/>
    <cellStyle name="Heading2" xfId="1147"/>
    <cellStyle name="HEADINGS" xfId="1148"/>
    <cellStyle name="HEADINGSTOP" xfId="1149"/>
    <cellStyle name="HeadlineStyle" xfId="1150"/>
    <cellStyle name="HeadlineStyle 2" xfId="1151"/>
    <cellStyle name="HeadlineStyleJustified" xfId="1152"/>
    <cellStyle name="HIGHLIGHT" xfId="1153"/>
    <cellStyle name="Hipervínculo_VARPXQ21" xfId="1154"/>
    <cellStyle name="Hyperlink" xfId="1915" builtinId="8"/>
    <cellStyle name="Hyperlink 2" xfId="1155"/>
    <cellStyle name="Hyperlink 3" xfId="1156"/>
    <cellStyle name="Income" xfId="1157"/>
    <cellStyle name="income statement" xfId="1158"/>
    <cellStyle name="Income_Project Kentucky Derby Model v75" xfId="1159"/>
    <cellStyle name="IncomeStatement" xfId="1160"/>
    <cellStyle name="incomestatment" xfId="1161"/>
    <cellStyle name="Index" xfId="1162"/>
    <cellStyle name="Input [yellow]" xfId="1163"/>
    <cellStyle name="Input 2" xfId="1164"/>
    <cellStyle name="Input 3" xfId="1165"/>
    <cellStyle name="Input 4" xfId="1166"/>
    <cellStyle name="Input 5" xfId="1167"/>
    <cellStyle name="Input cell" xfId="1168"/>
    <cellStyle name="Input Currency" xfId="1169"/>
    <cellStyle name="Input Currency 2" xfId="1170"/>
    <cellStyle name="Input Currency_Exchange Ratio Analysis" xfId="1171"/>
    <cellStyle name="Input Multiple" xfId="1172"/>
    <cellStyle name="Input Percent" xfId="1173"/>
    <cellStyle name="Input1" xfId="1174"/>
    <cellStyle name="Input2" xfId="1175"/>
    <cellStyle name="InputCurrency" xfId="1176"/>
    <cellStyle name="InputCurrency2" xfId="1177"/>
    <cellStyle name="InputMultiple1" xfId="1178"/>
    <cellStyle name="InputPercent1" xfId="1179"/>
    <cellStyle name="Inputs" xfId="1180"/>
    <cellStyle name="Integer" xfId="1181"/>
    <cellStyle name="kopregel" xfId="1182"/>
    <cellStyle name="KP_Normal" xfId="1183"/>
    <cellStyle name="Lable8Left" xfId="1184"/>
    <cellStyle name="LeftSubtitle" xfId="1185"/>
    <cellStyle name="Lines" xfId="1186"/>
    <cellStyle name="Linked" xfId="1187"/>
    <cellStyle name="Linked Cell 2" xfId="1188"/>
    <cellStyle name="Lira" xfId="1189"/>
    <cellStyle name="Long Date" xfId="1190"/>
    <cellStyle name="MacroCode" xfId="1191"/>
    <cellStyle name="magrins" xfId="1192"/>
    <cellStyle name="margin" xfId="1193"/>
    <cellStyle name="Margins" xfId="1194"/>
    <cellStyle name="margsin" xfId="1195"/>
    <cellStyle name="marign" xfId="1196"/>
    <cellStyle name="marigns" xfId="1197"/>
    <cellStyle name="Mike" xfId="1198"/>
    <cellStyle name="Millares [0]_ MATRIZ DE ELIMINACIONES" xfId="1199"/>
    <cellStyle name="Millares_ MATRIZ DE ELIMINACIONES" xfId="1200"/>
    <cellStyle name="Milliers [0]_CREATIVE" xfId="1201"/>
    <cellStyle name="Milliers_CREATIVE" xfId="1202"/>
    <cellStyle name="Moneda [0]_ MATRIZ DE ELIMINACIONES" xfId="1203"/>
    <cellStyle name="Moneda_ MATRIZ DE ELIMINACIONES" xfId="1204"/>
    <cellStyle name="Monétaire [0]_CREATIVE" xfId="1205"/>
    <cellStyle name="Monétaire_CREATIVE" xfId="1206"/>
    <cellStyle name="Multiple" xfId="1207"/>
    <cellStyle name="Multiple Without" xfId="1208"/>
    <cellStyle name="Multiple_ACCC" xfId="1209"/>
    <cellStyle name="Multiple1" xfId="1210"/>
    <cellStyle name="MultipleBelow" xfId="1211"/>
    <cellStyle name="Multiples" xfId="1212"/>
    <cellStyle name="NavStyleDefault" xfId="1213"/>
    <cellStyle name="nbr" xfId="1214"/>
    <cellStyle name="Neutral 2" xfId="1215"/>
    <cellStyle name="no dec" xfId="1216"/>
    <cellStyle name="Nor" xfId="1217"/>
    <cellStyle name="Nor}al_Sheet1 (2)" xfId="1218"/>
    <cellStyle name="Normal" xfId="0" builtinId="0"/>
    <cellStyle name="Normal - Style1" xfId="1219"/>
    <cellStyle name="Normal - Style1 2" xfId="1220"/>
    <cellStyle name="Normal 0" xfId="1221"/>
    <cellStyle name="Normal 10" xfId="1222"/>
    <cellStyle name="Normal 11" xfId="1223"/>
    <cellStyle name="Normal 12" xfId="1224"/>
    <cellStyle name="Normal 13" xfId="1225"/>
    <cellStyle name="Normal 14" xfId="1226"/>
    <cellStyle name="Normal 15" xfId="1227"/>
    <cellStyle name="Normal 16" xfId="1228"/>
    <cellStyle name="Normal 17" xfId="1229"/>
    <cellStyle name="Normal 2" xfId="4"/>
    <cellStyle name="Normal 2 2" xfId="1231"/>
    <cellStyle name="Normal 2 2 2" xfId="1232"/>
    <cellStyle name="Normal 2 2 2 2" xfId="1233"/>
    <cellStyle name="Normal 2 2 3" xfId="1234"/>
    <cellStyle name="Normal 2 3" xfId="1235"/>
    <cellStyle name="Normal 2 3 2" xfId="1236"/>
    <cellStyle name="Normal 2 3 2 2" xfId="1237"/>
    <cellStyle name="Normal 2 3 3" xfId="1238"/>
    <cellStyle name="Normal 2 4" xfId="1239"/>
    <cellStyle name="Normal 2 4 2" xfId="1240"/>
    <cellStyle name="Normal 2 4 2 2" xfId="1241"/>
    <cellStyle name="Normal 2 4 3" xfId="1242"/>
    <cellStyle name="Normal 2 5" xfId="1243"/>
    <cellStyle name="Normal 2 6" xfId="1244"/>
    <cellStyle name="Normal 2 6 2" xfId="1245"/>
    <cellStyle name="Normal 2 6 2 2" xfId="1246"/>
    <cellStyle name="Normal 2 6 3" xfId="1247"/>
    <cellStyle name="Normal 2 7" xfId="1248"/>
    <cellStyle name="Normal 2 8" xfId="1249"/>
    <cellStyle name="Normal 2_MAA SS Comps" xfId="1230"/>
    <cellStyle name="Normal 3" xfId="1250"/>
    <cellStyle name="Normal 3 2" xfId="1251"/>
    <cellStyle name="Normal 3 2 2" xfId="1252"/>
    <cellStyle name="Normal 3 2 2 2" xfId="1253"/>
    <cellStyle name="Normal 3 2 3" xfId="1254"/>
    <cellStyle name="Normal 3 3" xfId="1255"/>
    <cellStyle name="Normal 3 3 2" xfId="1256"/>
    <cellStyle name="Normal 3 3 2 2" xfId="1257"/>
    <cellStyle name="Normal 3 3 3" xfId="1258"/>
    <cellStyle name="Normal 3 4" xfId="1259"/>
    <cellStyle name="Normal 3 4 2" xfId="1260"/>
    <cellStyle name="Normal 3 4 2 2" xfId="1261"/>
    <cellStyle name="Normal 3 4 3" xfId="1262"/>
    <cellStyle name="Normal 3 5" xfId="1263"/>
    <cellStyle name="Normal 3 6" xfId="1264"/>
    <cellStyle name="Normal 3 6 2" xfId="1265"/>
    <cellStyle name="Normal 3 7" xfId="1266"/>
    <cellStyle name="Normal 4" xfId="1267"/>
    <cellStyle name="Normal 5" xfId="1268"/>
    <cellStyle name="Normal 5 2" xfId="1269"/>
    <cellStyle name="Normal 5 3" xfId="1270"/>
    <cellStyle name="Normal 6" xfId="1271"/>
    <cellStyle name="Normal 6 2" xfId="1272"/>
    <cellStyle name="Normal 7" xfId="1273"/>
    <cellStyle name="Normal 7 2" xfId="1274"/>
    <cellStyle name="Normal 7 3" xfId="1275"/>
    <cellStyle name="Normal 8" xfId="1276"/>
    <cellStyle name="Normal 9" xfId="1277"/>
    <cellStyle name="Normal new" xfId="1278"/>
    <cellStyle name="Normal2" xfId="1279"/>
    <cellStyle name="Normale_02SET1" xfId="1280"/>
    <cellStyle name="NormalGB" xfId="1281"/>
    <cellStyle name="NormalHelv" xfId="1282"/>
    <cellStyle name="NOT" xfId="1283"/>
    <cellStyle name="Note 2" xfId="1284"/>
    <cellStyle name="Note 3" xfId="1285"/>
    <cellStyle name="Notes" xfId="1286"/>
    <cellStyle name="nplosion" xfId="1287"/>
    <cellStyle name="number" xfId="1288"/>
    <cellStyle name="Number-2 Decimals" xfId="1289"/>
    <cellStyle name="Œ…‹æØ‚è [0.00]_GE 3 MINIMUM" xfId="1290"/>
    <cellStyle name="Œ…‹æØ‚è_GE 3 MINIMUM" xfId="1291"/>
    <cellStyle name="onedec" xfId="1292"/>
    <cellStyle name="outh America" xfId="1293"/>
    <cellStyle name="Output 2" xfId="1294"/>
    <cellStyle name="OUTPUT AMOUNTS" xfId="1295"/>
    <cellStyle name="p" xfId="1296"/>
    <cellStyle name="P&amp;L Numbers" xfId="1297"/>
    <cellStyle name="p_amtmod51" xfId="1298"/>
    <cellStyle name="p_amtmod51_315274_17" xfId="1299"/>
    <cellStyle name="p_amtmod51_318426_21" xfId="1300"/>
    <cellStyle name="p_amtmod51_5401007_6" xfId="1301"/>
    <cellStyle name="p_amtmod51_5401007_7" xfId="1302"/>
    <cellStyle name="p_amtmod51_5963478_1" xfId="1303"/>
    <cellStyle name="p_amtmod51_FON" xfId="1304"/>
    <cellStyle name="p_amtmod51_Put Analysis" xfId="1305"/>
    <cellStyle name="p_amtmod51_Put Analysis.v2" xfId="1306"/>
    <cellStyle name="p_amtmod51_Spin Model v.2" xfId="1307"/>
    <cellStyle name="p_ccimod4-b1" xfId="1308"/>
    <cellStyle name="p_ccimod4-b1_315274_17" xfId="1309"/>
    <cellStyle name="p_ccimod4-b1_318426_21" xfId="1310"/>
    <cellStyle name="p_ccimod4-b1_5401007_6" xfId="1311"/>
    <cellStyle name="p_ccimod4-b1_5401007_7" xfId="1312"/>
    <cellStyle name="p_ccimod4-b1_5963478_1" xfId="1313"/>
    <cellStyle name="p_ccimod4-b1_FON" xfId="1314"/>
    <cellStyle name="p_ccimod4-b1_Put Analysis" xfId="1315"/>
    <cellStyle name="p_ccimod4-b1_Put Analysis.v2" xfId="1316"/>
    <cellStyle name="p_ccimod4-b1_Spin Model v.2" xfId="1317"/>
    <cellStyle name="p_DCF" xfId="1318"/>
    <cellStyle name="p_DCF_315274_17" xfId="1319"/>
    <cellStyle name="p_DCF_318426_21" xfId="1320"/>
    <cellStyle name="p_DCF_5401007_6" xfId="1321"/>
    <cellStyle name="p_DCF_5401007_7" xfId="1322"/>
    <cellStyle name="p_DCF_5963478_1" xfId="1323"/>
    <cellStyle name="p_DCF_FON" xfId="1324"/>
    <cellStyle name="p_DCF_Put Analysis" xfId="1325"/>
    <cellStyle name="p_DCF_Put Analysis.v2" xfId="1326"/>
    <cellStyle name="p_DCF_Spin Model v.2" xfId="1327"/>
    <cellStyle name="p_DCF_VERA" xfId="1328"/>
    <cellStyle name="p_DCF_VERA_315274_17" xfId="1329"/>
    <cellStyle name="p_DCF_VERA_318426_21" xfId="1330"/>
    <cellStyle name="p_DCF_VERA_5401007_6" xfId="1331"/>
    <cellStyle name="p_DCF_VERA_5401007_7" xfId="1332"/>
    <cellStyle name="p_DCF_VERA_5963478_1" xfId="1333"/>
    <cellStyle name="p_DCF_VERA_FON" xfId="1334"/>
    <cellStyle name="p_DCF_VERA_Put Analysis" xfId="1335"/>
    <cellStyle name="p_DCF_VERA_Put Analysis.v2" xfId="1336"/>
    <cellStyle name="p_DCF_VERA_Spin Model v.2" xfId="1337"/>
    <cellStyle name="p_sitemod51" xfId="1338"/>
    <cellStyle name="p_sitemod51_315274_17" xfId="1339"/>
    <cellStyle name="p_sitemod51_318426_21" xfId="1340"/>
    <cellStyle name="p_sitemod51_5401007_6" xfId="1341"/>
    <cellStyle name="p_sitemod51_5401007_7" xfId="1342"/>
    <cellStyle name="p_sitemod51_5963478_1" xfId="1343"/>
    <cellStyle name="p_sitemod51_FON" xfId="1344"/>
    <cellStyle name="p_sitemod51_Put Analysis" xfId="1345"/>
    <cellStyle name="p_sitemod51_Put Analysis.v2" xfId="1346"/>
    <cellStyle name="p_sitemod51_Spin Model v.2" xfId="1347"/>
    <cellStyle name="p_VERA" xfId="1348"/>
    <cellStyle name="p_VERA_amtmod51" xfId="1349"/>
    <cellStyle name="p_VERA_amtmod51_315274_17" xfId="1350"/>
    <cellStyle name="p_VERA_amtmod51_318426_21" xfId="1351"/>
    <cellStyle name="p_VERA_amtmod51_5401007_6" xfId="1352"/>
    <cellStyle name="p_VERA_amtmod51_5401007_7" xfId="1353"/>
    <cellStyle name="p_VERA_amtmod51_5963478_1" xfId="1354"/>
    <cellStyle name="p_VERA_amtmod51_FON" xfId="1355"/>
    <cellStyle name="p_VERA_amtmod51_Put Analysis" xfId="1356"/>
    <cellStyle name="p_VERA_amtmod51_Put Analysis.v2" xfId="1357"/>
    <cellStyle name="p_VERA_amtmod51_Spin Model v.2" xfId="1358"/>
    <cellStyle name="p_VERA_ccimod4-b1" xfId="1359"/>
    <cellStyle name="p_VERA_ccimod4-b1_315274_17" xfId="1360"/>
    <cellStyle name="p_VERA_ccimod4-b1_318426_21" xfId="1361"/>
    <cellStyle name="p_VERA_ccimod4-b1_5401007_6" xfId="1362"/>
    <cellStyle name="p_VERA_ccimod4-b1_5401007_7" xfId="1363"/>
    <cellStyle name="p_VERA_ccimod4-b1_5963478_1" xfId="1364"/>
    <cellStyle name="p_VERA_ccimod4-b1_FON" xfId="1365"/>
    <cellStyle name="p_VERA_ccimod4-b1_Put Analysis" xfId="1366"/>
    <cellStyle name="p_VERA_ccimod4-b1_Put Analysis.v2" xfId="1367"/>
    <cellStyle name="p_VERA_ccimod4-b1_Spin Model v.2" xfId="1368"/>
    <cellStyle name="p_VERA_sitemod51" xfId="1369"/>
    <cellStyle name="p_VERA_sitemod51_315274_17" xfId="1370"/>
    <cellStyle name="p_VERA_sitemod51_318426_21" xfId="1371"/>
    <cellStyle name="p_VERA_sitemod51_5401007_6" xfId="1372"/>
    <cellStyle name="p_VERA_sitemod51_5401007_7" xfId="1373"/>
    <cellStyle name="p_VERA_sitemod51_5963478_1" xfId="1374"/>
    <cellStyle name="p_VERA_sitemod51_FON" xfId="1375"/>
    <cellStyle name="p_VERA_sitemod51_Put Analysis" xfId="1376"/>
    <cellStyle name="p_VERA_sitemod51_Put Analysis.v2" xfId="1377"/>
    <cellStyle name="p_VERA_sitemod51_Spin Model v.2" xfId="1378"/>
    <cellStyle name="Page Heading" xfId="1379"/>
    <cellStyle name="Page Heading Large" xfId="1380"/>
    <cellStyle name="Page Heading Small" xfId="1381"/>
    <cellStyle name="Page Number" xfId="1382"/>
    <cellStyle name="PB Table Heading" xfId="1383"/>
    <cellStyle name="PB Table Highlight1" xfId="1384"/>
    <cellStyle name="PB Table Highlight2" xfId="1385"/>
    <cellStyle name="PB Table Highlight2 2" xfId="1386"/>
    <cellStyle name="PB Table Highlight3" xfId="1387"/>
    <cellStyle name="PB Table Highlight3 2" xfId="1388"/>
    <cellStyle name="PB Table Standard Row" xfId="1389"/>
    <cellStyle name="PB Table Subtotal Row" xfId="1390"/>
    <cellStyle name="PB Table Total Row" xfId="1391"/>
    <cellStyle name="PE/LTGR" xfId="1392"/>
    <cellStyle name="Penetration" xfId="1393"/>
    <cellStyle name="per.style" xfId="1394"/>
    <cellStyle name="Percent" xfId="2" builtinId="5"/>
    <cellStyle name="Percent (1)" xfId="1395"/>
    <cellStyle name="Percent [2]" xfId="1396"/>
    <cellStyle name="percent 1 decimal" xfId="1397"/>
    <cellStyle name="Percent 10" xfId="1398"/>
    <cellStyle name="Percent 100" xfId="1399"/>
    <cellStyle name="Percent 101" xfId="1400"/>
    <cellStyle name="Percent 102" xfId="1401"/>
    <cellStyle name="Percent 103" xfId="1402"/>
    <cellStyle name="Percent 104" xfId="1403"/>
    <cellStyle name="Percent 105" xfId="1404"/>
    <cellStyle name="Percent 106" xfId="1405"/>
    <cellStyle name="Percent 107" xfId="1406"/>
    <cellStyle name="Percent 108" xfId="1407"/>
    <cellStyle name="Percent 109" xfId="1408"/>
    <cellStyle name="Percent 11" xfId="1409"/>
    <cellStyle name="Percent 110" xfId="1410"/>
    <cellStyle name="Percent 111" xfId="1411"/>
    <cellStyle name="Percent 112" xfId="1412"/>
    <cellStyle name="Percent 113" xfId="1413"/>
    <cellStyle name="Percent 114" xfId="1414"/>
    <cellStyle name="Percent 115" xfId="1415"/>
    <cellStyle name="Percent 116" xfId="1416"/>
    <cellStyle name="Percent 117" xfId="1417"/>
    <cellStyle name="Percent 118" xfId="1418"/>
    <cellStyle name="Percent 119" xfId="1419"/>
    <cellStyle name="Percent 12" xfId="1420"/>
    <cellStyle name="Percent 120" xfId="1421"/>
    <cellStyle name="Percent 121" xfId="1422"/>
    <cellStyle name="Percent 122" xfId="1423"/>
    <cellStyle name="Percent 123" xfId="1424"/>
    <cellStyle name="Percent 124" xfId="1425"/>
    <cellStyle name="Percent 125" xfId="1426"/>
    <cellStyle name="Percent 126" xfId="1427"/>
    <cellStyle name="Percent 127" xfId="1428"/>
    <cellStyle name="Percent 128" xfId="1429"/>
    <cellStyle name="Percent 13" xfId="1430"/>
    <cellStyle name="Percent 14" xfId="1431"/>
    <cellStyle name="Percent 15" xfId="1432"/>
    <cellStyle name="Percent 16" xfId="1433"/>
    <cellStyle name="Percent 17" xfId="1434"/>
    <cellStyle name="Percent 18" xfId="1435"/>
    <cellStyle name="Percent 19" xfId="1436"/>
    <cellStyle name="Percent 2" xfId="5"/>
    <cellStyle name="Percent 2 2" xfId="1437"/>
    <cellStyle name="Percent 2 2 2" xfId="1438"/>
    <cellStyle name="Percent 2 2 2 2" xfId="1439"/>
    <cellStyle name="Percent 2 2 3" xfId="1440"/>
    <cellStyle name="Percent 2 3" xfId="1441"/>
    <cellStyle name="Percent 2 3 2" xfId="1442"/>
    <cellStyle name="Percent 2 3 2 2" xfId="1443"/>
    <cellStyle name="Percent 2 3 3" xfId="1444"/>
    <cellStyle name="Percent 2 4" xfId="1445"/>
    <cellStyle name="Percent 2 4 2" xfId="1446"/>
    <cellStyle name="Percent 2 4 2 2" xfId="1447"/>
    <cellStyle name="Percent 2 4 3" xfId="1448"/>
    <cellStyle name="Percent 2 5" xfId="1449"/>
    <cellStyle name="Percent 2 6" xfId="1450"/>
    <cellStyle name="Percent 2 6 2" xfId="1451"/>
    <cellStyle name="Percent 2 7" xfId="1452"/>
    <cellStyle name="Percent 2 8" xfId="1453"/>
    <cellStyle name="percent 2 decimal" xfId="1454"/>
    <cellStyle name="Percent 20" xfId="1455"/>
    <cellStyle name="Percent 21" xfId="1456"/>
    <cellStyle name="Percent 22" xfId="1457"/>
    <cellStyle name="Percent 23" xfId="1458"/>
    <cellStyle name="Percent 24" xfId="1459"/>
    <cellStyle name="Percent 25" xfId="1460"/>
    <cellStyle name="Percent 26" xfId="1461"/>
    <cellStyle name="Percent 27" xfId="1462"/>
    <cellStyle name="Percent 28" xfId="1463"/>
    <cellStyle name="Percent 29" xfId="1464"/>
    <cellStyle name="Percent 3" xfId="1465"/>
    <cellStyle name="Percent 3 2" xfId="1466"/>
    <cellStyle name="Percent 3 2 2" xfId="1467"/>
    <cellStyle name="Percent 3 2 2 2" xfId="1468"/>
    <cellStyle name="Percent 3 2 3" xfId="1469"/>
    <cellStyle name="Percent 3 3" xfId="1470"/>
    <cellStyle name="Percent 3 3 2" xfId="1471"/>
    <cellStyle name="Percent 3 3 2 2" xfId="1472"/>
    <cellStyle name="Percent 3 3 3" xfId="1473"/>
    <cellStyle name="Percent 3 4" xfId="1474"/>
    <cellStyle name="Percent 3 4 2" xfId="1475"/>
    <cellStyle name="Percent 3 4 2 2" xfId="1476"/>
    <cellStyle name="Percent 3 4 3" xfId="1477"/>
    <cellStyle name="Percent 3 5" xfId="1478"/>
    <cellStyle name="Percent 3 5 2" xfId="1479"/>
    <cellStyle name="Percent 3 6" xfId="1480"/>
    <cellStyle name="Percent 30" xfId="1481"/>
    <cellStyle name="Percent 31" xfId="1482"/>
    <cellStyle name="Percent 32" xfId="1483"/>
    <cellStyle name="Percent 33" xfId="1484"/>
    <cellStyle name="Percent 34" xfId="1485"/>
    <cellStyle name="Percent 35" xfId="1486"/>
    <cellStyle name="Percent 36" xfId="1487"/>
    <cellStyle name="Percent 37" xfId="1488"/>
    <cellStyle name="Percent 38" xfId="1489"/>
    <cellStyle name="Percent 39" xfId="1490"/>
    <cellStyle name="Percent 4" xfId="1491"/>
    <cellStyle name="Percent 4 2" xfId="1492"/>
    <cellStyle name="Percent 4 3" xfId="1493"/>
    <cellStyle name="Percent 40" xfId="1494"/>
    <cellStyle name="Percent 41" xfId="1495"/>
    <cellStyle name="Percent 42" xfId="1496"/>
    <cellStyle name="Percent 43" xfId="1497"/>
    <cellStyle name="Percent 44" xfId="1498"/>
    <cellStyle name="Percent 45" xfId="1499"/>
    <cellStyle name="Percent 46" xfId="1500"/>
    <cellStyle name="Percent 47" xfId="1501"/>
    <cellStyle name="Percent 48" xfId="1502"/>
    <cellStyle name="Percent 49" xfId="1503"/>
    <cellStyle name="Percent 5" xfId="1504"/>
    <cellStyle name="Percent 50" xfId="1505"/>
    <cellStyle name="Percent 51" xfId="1506"/>
    <cellStyle name="Percent 52" xfId="1507"/>
    <cellStyle name="Percent 53" xfId="1508"/>
    <cellStyle name="Percent 54" xfId="1509"/>
    <cellStyle name="Percent 55" xfId="1510"/>
    <cellStyle name="Percent 56" xfId="1511"/>
    <cellStyle name="Percent 57" xfId="1512"/>
    <cellStyle name="Percent 58" xfId="1513"/>
    <cellStyle name="Percent 59" xfId="1514"/>
    <cellStyle name="Percent 6" xfId="1515"/>
    <cellStyle name="Percent 60" xfId="1516"/>
    <cellStyle name="Percent 61" xfId="1517"/>
    <cellStyle name="Percent 62" xfId="1518"/>
    <cellStyle name="Percent 63" xfId="1519"/>
    <cellStyle name="Percent 64" xfId="1520"/>
    <cellStyle name="Percent 65" xfId="1521"/>
    <cellStyle name="Percent 66" xfId="1522"/>
    <cellStyle name="Percent 67" xfId="1523"/>
    <cellStyle name="Percent 68" xfId="1524"/>
    <cellStyle name="Percent 69" xfId="1525"/>
    <cellStyle name="Percent 7" xfId="1526"/>
    <cellStyle name="Percent 70" xfId="1527"/>
    <cellStyle name="Percent 71" xfId="1528"/>
    <cellStyle name="Percent 72" xfId="1529"/>
    <cellStyle name="Percent 73" xfId="1530"/>
    <cellStyle name="Percent 74" xfId="1531"/>
    <cellStyle name="Percent 75" xfId="1532"/>
    <cellStyle name="Percent 76" xfId="1533"/>
    <cellStyle name="Percent 77" xfId="1534"/>
    <cellStyle name="Percent 78" xfId="1535"/>
    <cellStyle name="Percent 79" xfId="1536"/>
    <cellStyle name="Percent 8" xfId="1537"/>
    <cellStyle name="Percent 80" xfId="1538"/>
    <cellStyle name="Percent 81" xfId="1539"/>
    <cellStyle name="Percent 82" xfId="1540"/>
    <cellStyle name="Percent 83" xfId="1541"/>
    <cellStyle name="Percent 84" xfId="1542"/>
    <cellStyle name="Percent 85" xfId="1543"/>
    <cellStyle name="Percent 86" xfId="1544"/>
    <cellStyle name="Percent 87" xfId="1545"/>
    <cellStyle name="Percent 88" xfId="1546"/>
    <cellStyle name="Percent 89" xfId="1547"/>
    <cellStyle name="Percent 9" xfId="1548"/>
    <cellStyle name="Percent 90" xfId="1549"/>
    <cellStyle name="Percent 91" xfId="1550"/>
    <cellStyle name="Percent 92" xfId="1551"/>
    <cellStyle name="Percent 93" xfId="1552"/>
    <cellStyle name="Percent 94" xfId="1553"/>
    <cellStyle name="Percent 95" xfId="1554"/>
    <cellStyle name="Percent 96" xfId="1555"/>
    <cellStyle name="Percent 97" xfId="1556"/>
    <cellStyle name="Percent 98" xfId="1557"/>
    <cellStyle name="Percent 99" xfId="1558"/>
    <cellStyle name="Percent Comma" xfId="1559"/>
    <cellStyle name="Percent Hard" xfId="1560"/>
    <cellStyle name="Percent Input" xfId="1561"/>
    <cellStyle name="percent no decimal" xfId="1562"/>
    <cellStyle name="Percent*" xfId="1563"/>
    <cellStyle name="Percent1" xfId="1564"/>
    <cellStyle name="Percent2" xfId="1565"/>
    <cellStyle name="PercentPresentation" xfId="1566"/>
    <cellStyle name="PerShare" xfId="1567"/>
    <cellStyle name="PlainDollar" xfId="1568"/>
    <cellStyle name="PlainDollarBoldwBorders" xfId="1569"/>
    <cellStyle name="PlainDollarSS" xfId="1570"/>
    <cellStyle name="PlainDollarUndLine" xfId="1571"/>
    <cellStyle name="POPS" xfId="1572"/>
    <cellStyle name="Population" xfId="1573"/>
    <cellStyle name="pound" xfId="1574"/>
    <cellStyle name="Pounds2" xfId="1575"/>
    <cellStyle name="Presentation" xfId="1576"/>
    <cellStyle name="PresentationMargins" xfId="1577"/>
    <cellStyle name="PresentationTitle" xfId="1578"/>
    <cellStyle name="PresentationZero" xfId="1579"/>
    <cellStyle name="Price" xfId="1580"/>
    <cellStyle name="PriceDecimal" xfId="1581"/>
    <cellStyle name="Private" xfId="1582"/>
    <cellStyle name="Private1" xfId="1583"/>
    <cellStyle name="PSChar" xfId="1584"/>
    <cellStyle name="PSDate" xfId="1585"/>
    <cellStyle name="PSDec" xfId="1586"/>
    <cellStyle name="PSHeading" xfId="1587"/>
    <cellStyle name="PSInt" xfId="1588"/>
    <cellStyle name="PSSpacer" xfId="1589"/>
    <cellStyle name="PTEscuados" xfId="1590"/>
    <cellStyle name="Ratio" xfId="1591"/>
    <cellStyle name="Ratio Comma" xfId="1592"/>
    <cellStyle name="Ratio_bigtexmodel14" xfId="1593"/>
    <cellStyle name="Red Text" xfId="1594"/>
    <cellStyle name="regstoresfromspecstores" xfId="1595"/>
    <cellStyle name="Report" xfId="1596"/>
    <cellStyle name="RevList" xfId="1597"/>
    <cellStyle name="RevList 2" xfId="1598"/>
    <cellStyle name="Right" xfId="1599"/>
    <cellStyle name="Row Headings" xfId="1600"/>
    <cellStyle name="Row Sub Total" xfId="1601"/>
    <cellStyle name="Row Title 1" xfId="1602"/>
    <cellStyle name="Row Title 2" xfId="1603"/>
    <cellStyle name="Row Title 3" xfId="1604"/>
    <cellStyle name="Row Total" xfId="1605"/>
    <cellStyle name="Salomon Logo" xfId="1606"/>
    <cellStyle name="Section" xfId="1607"/>
    <cellStyle name="Shaded" xfId="1608"/>
    <cellStyle name="SHADEDSTORES" xfId="1609"/>
    <cellStyle name="Shares" xfId="1610"/>
    <cellStyle name="Sheetmult" xfId="1611"/>
    <cellStyle name="Shtmultx" xfId="1612"/>
    <cellStyle name="Single Accounting" xfId="1613"/>
    <cellStyle name="specstores" xfId="1614"/>
    <cellStyle name="Sr Nts" xfId="1615"/>
    <cellStyle name="SS Col Hdr" xfId="1616"/>
    <cellStyle name="SS Dim 1 Blank" xfId="1617"/>
    <cellStyle name="SS Dim 1 Title" xfId="1618"/>
    <cellStyle name="SS Dim 1 Value" xfId="1619"/>
    <cellStyle name="SS Dim 2 Blank" xfId="1620"/>
    <cellStyle name="SS Dim 2 Title" xfId="1621"/>
    <cellStyle name="SS Dim 2 Value" xfId="1622"/>
    <cellStyle name="SS Dim 3 Blank" xfId="1623"/>
    <cellStyle name="SS Dim 3 Title" xfId="1624"/>
    <cellStyle name="SS Dim 3 Value" xfId="1625"/>
    <cellStyle name="SS Dim 4 Blank" xfId="1626"/>
    <cellStyle name="SS Dim 4 Title" xfId="1627"/>
    <cellStyle name="SS Dim 4 Value" xfId="1628"/>
    <cellStyle name="SS Dim 5 Blank" xfId="1629"/>
    <cellStyle name="SS Dim 5 Title" xfId="1630"/>
    <cellStyle name="SS Dim 5 Value" xfId="1631"/>
    <cellStyle name="SS Other Measure" xfId="1632"/>
    <cellStyle name="SS Sum Measure" xfId="1633"/>
    <cellStyle name="SS Unbound Dim" xfId="1634"/>
    <cellStyle name="SS WAvg Measure" xfId="1635"/>
    <cellStyle name="Standaard_TELECOM" xfId="1636"/>
    <cellStyle name="Standard_Anpassen der Amortisation" xfId="1637"/>
    <cellStyle name="Stock Comma" xfId="1638"/>
    <cellStyle name="Stock Price" xfId="1639"/>
    <cellStyle name="StockPrice" xfId="1640"/>
    <cellStyle name="Style 1" xfId="1641"/>
    <cellStyle name="Style 1 2" xfId="1642"/>
    <cellStyle name="Style 1 3" xfId="1643"/>
    <cellStyle name="Style 1 4" xfId="1644"/>
    <cellStyle name="Style 10" xfId="1645"/>
    <cellStyle name="Style 11" xfId="1646"/>
    <cellStyle name="Style 12" xfId="1647"/>
    <cellStyle name="Style 13" xfId="1648"/>
    <cellStyle name="Style 14" xfId="1649"/>
    <cellStyle name="Style 15" xfId="1650"/>
    <cellStyle name="Style 16" xfId="1651"/>
    <cellStyle name="Style 17" xfId="1652"/>
    <cellStyle name="Style 18" xfId="1653"/>
    <cellStyle name="Style 19" xfId="1654"/>
    <cellStyle name="Style 2" xfId="1655"/>
    <cellStyle name="Style 20" xfId="1656"/>
    <cellStyle name="Style 21" xfId="1657"/>
    <cellStyle name="Style 22" xfId="1658"/>
    <cellStyle name="Style 23" xfId="1659"/>
    <cellStyle name="Style 24" xfId="1660"/>
    <cellStyle name="Style 25" xfId="1661"/>
    <cellStyle name="Style 26" xfId="1662"/>
    <cellStyle name="Style 27" xfId="1663"/>
    <cellStyle name="Style 28" xfId="1664"/>
    <cellStyle name="Style 29" xfId="1665"/>
    <cellStyle name="Style 3" xfId="1666"/>
    <cellStyle name="Style 30" xfId="1667"/>
    <cellStyle name="Style 31" xfId="1668"/>
    <cellStyle name="Style 32" xfId="1669"/>
    <cellStyle name="Style 33" xfId="1670"/>
    <cellStyle name="Style 34" xfId="1671"/>
    <cellStyle name="Style 35" xfId="1672"/>
    <cellStyle name="Style 36" xfId="1673"/>
    <cellStyle name="Style 37" xfId="1674"/>
    <cellStyle name="Style 38" xfId="1675"/>
    <cellStyle name="Style 39" xfId="1676"/>
    <cellStyle name="Style 4" xfId="1677"/>
    <cellStyle name="Style 40" xfId="1678"/>
    <cellStyle name="Style 41" xfId="1679"/>
    <cellStyle name="Style 42" xfId="1680"/>
    <cellStyle name="Style 43" xfId="1681"/>
    <cellStyle name="Style 44" xfId="1682"/>
    <cellStyle name="Style 45" xfId="1683"/>
    <cellStyle name="Style 46" xfId="1684"/>
    <cellStyle name="Style 47" xfId="1685"/>
    <cellStyle name="Style 48" xfId="1686"/>
    <cellStyle name="Style 49" xfId="1687"/>
    <cellStyle name="Style 5" xfId="1688"/>
    <cellStyle name="Style 50" xfId="1689"/>
    <cellStyle name="Style 50 2" xfId="1690"/>
    <cellStyle name="Style 51" xfId="1691"/>
    <cellStyle name="Style 52" xfId="1692"/>
    <cellStyle name="Style 53" xfId="1693"/>
    <cellStyle name="Style 54" xfId="1694"/>
    <cellStyle name="Style 55" xfId="1695"/>
    <cellStyle name="Style 56" xfId="1696"/>
    <cellStyle name="Style 57" xfId="1697"/>
    <cellStyle name="Style 58" xfId="1698"/>
    <cellStyle name="Style 59" xfId="1699"/>
    <cellStyle name="Style 6" xfId="1700"/>
    <cellStyle name="Style 60" xfId="1701"/>
    <cellStyle name="Style 61" xfId="1702"/>
    <cellStyle name="Style 62" xfId="1703"/>
    <cellStyle name="Style 63" xfId="1704"/>
    <cellStyle name="Style 64" xfId="1705"/>
    <cellStyle name="Style 65" xfId="1706"/>
    <cellStyle name="Style 66" xfId="1707"/>
    <cellStyle name="Style 67" xfId="1708"/>
    <cellStyle name="Style 68" xfId="1709"/>
    <cellStyle name="Style 69" xfId="1710"/>
    <cellStyle name="Style 7" xfId="1711"/>
    <cellStyle name="Style 70" xfId="1712"/>
    <cellStyle name="Style 71" xfId="1713"/>
    <cellStyle name="Style 72" xfId="1714"/>
    <cellStyle name="Style 73" xfId="1715"/>
    <cellStyle name="Style 74" xfId="1716"/>
    <cellStyle name="Style 75" xfId="1717"/>
    <cellStyle name="Style 76" xfId="1718"/>
    <cellStyle name="Style 77" xfId="1719"/>
    <cellStyle name="Style 78" xfId="1720"/>
    <cellStyle name="Style 79" xfId="1721"/>
    <cellStyle name="Style 8" xfId="1722"/>
    <cellStyle name="Style 80" xfId="1723"/>
    <cellStyle name="Style 81" xfId="1724"/>
    <cellStyle name="Style 82" xfId="1725"/>
    <cellStyle name="Style 83" xfId="1726"/>
    <cellStyle name="Style 84" xfId="1727"/>
    <cellStyle name="Style 85" xfId="1728"/>
    <cellStyle name="Style 86" xfId="1729"/>
    <cellStyle name="Style 87" xfId="1730"/>
    <cellStyle name="Style 88" xfId="1731"/>
    <cellStyle name="Style 89" xfId="1732"/>
    <cellStyle name="Style 9" xfId="1733"/>
    <cellStyle name="Style 90" xfId="1734"/>
    <cellStyle name="Style 91" xfId="1735"/>
    <cellStyle name="Style 92" xfId="1736"/>
    <cellStyle name="Style 93" xfId="1737"/>
    <cellStyle name="Style 94" xfId="1738"/>
    <cellStyle name="Style 95" xfId="1739"/>
    <cellStyle name="Style 96" xfId="1740"/>
    <cellStyle name="SubDollar" xfId="1741"/>
    <cellStyle name="SubGrowth" xfId="1742"/>
    <cellStyle name="SubGrowthRate" xfId="1743"/>
    <cellStyle name="Subhead" xfId="1744"/>
    <cellStyle name="SubMargins" xfId="1745"/>
    <cellStyle name="SubPenetration" xfId="1746"/>
    <cellStyle name="Subscribers" xfId="1747"/>
    <cellStyle name="subscribes" xfId="1748"/>
    <cellStyle name="Subtotal" xfId="1749"/>
    <cellStyle name="SubVariable" xfId="1750"/>
    <cellStyle name="Summary" xfId="1751"/>
    <cellStyle name="Swedish Krona" xfId="1752"/>
    <cellStyle name="SymbolBlue" xfId="1753"/>
    <cellStyle name="t" xfId="1754"/>
    <cellStyle name="t_324470_2" xfId="1755"/>
    <cellStyle name="t_5293350_1" xfId="1756"/>
    <cellStyle name="t_Exchange Ratio Analysis" xfId="1757"/>
    <cellStyle name="t_Exchange Ratio Analysis_Project Kentucky Derby Model v75" xfId="1758"/>
    <cellStyle name="t_Exchange Ratio Analysis_Project Kentucky Derby Model v76" xfId="1759"/>
    <cellStyle name="t_Scratch" xfId="1760"/>
    <cellStyle name="t_Viacom Profile" xfId="1761"/>
    <cellStyle name="Table Col Head" xfId="1762"/>
    <cellStyle name="Table Head" xfId="1763"/>
    <cellStyle name="Table Head Aligned" xfId="1764"/>
    <cellStyle name="Table Head Blue" xfId="1765"/>
    <cellStyle name="Table Head Green" xfId="1766"/>
    <cellStyle name="Table Head_% Change" xfId="1767"/>
    <cellStyle name="Table Heading" xfId="1768"/>
    <cellStyle name="Table Source" xfId="1769"/>
    <cellStyle name="Table Sub Head" xfId="1770"/>
    <cellStyle name="Table Text" xfId="1771"/>
    <cellStyle name="Table Title" xfId="1772"/>
    <cellStyle name="Table Units" xfId="1773"/>
    <cellStyle name="Table Units 2" xfId="1774"/>
    <cellStyle name="Table Units 3" xfId="1775"/>
    <cellStyle name="Table Units 4" xfId="1776"/>
    <cellStyle name="Table_Header" xfId="1777"/>
    <cellStyle name="TableBase" xfId="1778"/>
    <cellStyle name="TableBody" xfId="1779"/>
    <cellStyle name="TableBodyR" xfId="1780"/>
    <cellStyle name="TableColHeads" xfId="1781"/>
    <cellStyle name="TableHead" xfId="1782"/>
    <cellStyle name="Test" xfId="1783"/>
    <cellStyle name="Text" xfId="1784"/>
    <cellStyle name="Text 1" xfId="1785"/>
    <cellStyle name="Text 2" xfId="1786"/>
    <cellStyle name="Text Head" xfId="1787"/>
    <cellStyle name="Text Head 1" xfId="1788"/>
    <cellStyle name="Text Head 2" xfId="1789"/>
    <cellStyle name="Text Head_PCS Valuation vbb" xfId="1790"/>
    <cellStyle name="Text Indent 1" xfId="1791"/>
    <cellStyle name="Text Indent 2" xfId="1792"/>
    <cellStyle name="Text_Exchange Ratio Analysis" xfId="1793"/>
    <cellStyle name="threedecplace" xfId="1794"/>
    <cellStyle name="Ticker" xfId="1795"/>
    <cellStyle name="Time" xfId="1796"/>
    <cellStyle name="Time Strip" xfId="1797"/>
    <cellStyle name="Times 10" xfId="1798"/>
    <cellStyle name="Times 12" xfId="1799"/>
    <cellStyle name="Tina" xfId="1800"/>
    <cellStyle name="Title II" xfId="1801"/>
    <cellStyle name="Title1" xfId="1802"/>
    <cellStyle name="Title2" xfId="1803"/>
    <cellStyle name="TitleII" xfId="1804"/>
    <cellStyle name="TitleSub" xfId="1805"/>
    <cellStyle name="TOC 1" xfId="1806"/>
    <cellStyle name="TOC 2" xfId="1807"/>
    <cellStyle name="tom" xfId="1808"/>
    <cellStyle name="Top Edge" xfId="1809"/>
    <cellStyle name="TopGrey" xfId="1810"/>
    <cellStyle name="Total 2" xfId="1811"/>
    <cellStyle name="Total Currency" xfId="1812"/>
    <cellStyle name="Total Normal" xfId="1813"/>
    <cellStyle name="TotalCurrency" xfId="1814"/>
    <cellStyle name="TwoDecimal" xfId="1815"/>
    <cellStyle name="twodecplace" xfId="1816"/>
    <cellStyle name="ubordinated Debt" xfId="1817"/>
    <cellStyle name="under" xfId="1818"/>
    <cellStyle name="underline 1 decimal" xfId="1819"/>
    <cellStyle name="underline 2 decimals" xfId="1820"/>
    <cellStyle name="underline flush left" xfId="1821"/>
    <cellStyle name="underline no decimals" xfId="1822"/>
    <cellStyle name="Underline_Single" xfId="1823"/>
    <cellStyle name="UnitPrice" xfId="1824"/>
    <cellStyle name="Units" xfId="1825"/>
    <cellStyle name="Unprot" xfId="1826"/>
    <cellStyle name="Unprot$" xfId="1827"/>
    <cellStyle name="Unprotect" xfId="1828"/>
    <cellStyle name="Upload Only" xfId="1829"/>
    <cellStyle name="Valuation" xfId="1830"/>
    <cellStyle name="Valuation Bold" xfId="1831"/>
    <cellStyle name="Valuta_Company Summary (2)" xfId="1832"/>
    <cellStyle name="w" xfId="1833"/>
    <cellStyle name="w_6hpd04_" xfId="1834"/>
    <cellStyle name="w_7f1801_" xfId="1835"/>
    <cellStyle name="w_7ggf02_" xfId="1836"/>
    <cellStyle name="w_7PHY01_" xfId="1837"/>
    <cellStyle name="w_7tby02_" xfId="1838"/>
    <cellStyle name="w_WACC" xfId="1839"/>
    <cellStyle name="Währung [0]_Compiling Utility Macros" xfId="1840"/>
    <cellStyle name="Währung_Compiling Utility Macros" xfId="1841"/>
    <cellStyle name="Warning Text 2" xfId="1842"/>
    <cellStyle name="Web Row Title 1" xfId="1843"/>
    <cellStyle name="Web Row Title 2" xfId="1844"/>
    <cellStyle name="Web_ Row Title 1" xfId="1845"/>
    <cellStyle name="WhitePattern" xfId="1846"/>
    <cellStyle name="WhitePattern1" xfId="1847"/>
    <cellStyle name="WhiteText" xfId="1848"/>
    <cellStyle name="WholeNumber" xfId="1849"/>
    <cellStyle name="WingdingsBlack" xfId="1850"/>
    <cellStyle name="WingdingsRed" xfId="1851"/>
    <cellStyle name="WingdingsWhite" xfId="1852"/>
    <cellStyle name="X" xfId="1853"/>
    <cellStyle name="X - None" xfId="1854"/>
    <cellStyle name="X_5515616_3" xfId="1855"/>
    <cellStyle name="X_5515616_3_5401007_6" xfId="1856"/>
    <cellStyle name="X_5515616_3_5401007_6_Project Kentucky Derby Model v75" xfId="1857"/>
    <cellStyle name="X_5515616_3_5401007_6_Project Kentucky Derby Model v76" xfId="1858"/>
    <cellStyle name="X_5515616_3_5401007_6_SBSAModel116(Company)" xfId="1859"/>
    <cellStyle name="X_5515616_3_5963478_1" xfId="1860"/>
    <cellStyle name="X_5515616_3_FON" xfId="1861"/>
    <cellStyle name="X_5515616_3_Put Analysis" xfId="1862"/>
    <cellStyle name="X_5515616_3_Put Analysis.v2" xfId="1863"/>
    <cellStyle name="X_5515616_3_Put Analysis.v2_Project Kentucky Derby Model v75" xfId="1864"/>
    <cellStyle name="X_5515616_3_Put Analysis.v2_Project Kentucky Derby Model v76" xfId="1865"/>
    <cellStyle name="X_5515616_3_Put Analysis.v2_SBSAModel116(Company)" xfId="1866"/>
    <cellStyle name="X_5515616_3_Put Analysis_Project Kentucky Derby Model v75" xfId="1867"/>
    <cellStyle name="X_5515616_3_Put Analysis_Project Kentucky Derby Model v76" xfId="1868"/>
    <cellStyle name="X_5515616_3_Put Analysis_SBSAModel116(Company)" xfId="1869"/>
    <cellStyle name="X_5515616_3_Spin Model v.2" xfId="1870"/>
    <cellStyle name="X_5515616_3_Spin Model v.2_Project Kentucky Derby Model v75" xfId="1871"/>
    <cellStyle name="X_5515616_3_Spin Model v.2_Project Kentucky Derby Model v76" xfId="1872"/>
    <cellStyle name="X_5515616_3_Spin Model v.2_SBSAModel116(Company)" xfId="1873"/>
    <cellStyle name="X_5517854_3" xfId="1874"/>
    <cellStyle name="X_5517854_3_5401007_6" xfId="1875"/>
    <cellStyle name="X_5517854_3_5401007_6_Project Kentucky Derby Model v75" xfId="1876"/>
    <cellStyle name="X_5517854_3_5401007_6_Project Kentucky Derby Model v76" xfId="1877"/>
    <cellStyle name="X_5517854_3_5401007_6_SBSAModel116(Company)" xfId="1878"/>
    <cellStyle name="X_5517854_3_5963478_1" xfId="1879"/>
    <cellStyle name="X_5517854_3_FON" xfId="1880"/>
    <cellStyle name="X_5517854_3_Put Analysis" xfId="1881"/>
    <cellStyle name="X_5517854_3_Put Analysis.v2" xfId="1882"/>
    <cellStyle name="X_5517854_3_Put Analysis.v2_Project Kentucky Derby Model v75" xfId="1883"/>
    <cellStyle name="X_5517854_3_Put Analysis.v2_Project Kentucky Derby Model v76" xfId="1884"/>
    <cellStyle name="X_5517854_3_Put Analysis.v2_SBSAModel116(Company)" xfId="1885"/>
    <cellStyle name="X_5517854_3_Put Analysis_Project Kentucky Derby Model v75" xfId="1886"/>
    <cellStyle name="X_5517854_3_Put Analysis_Project Kentucky Derby Model v76" xfId="1887"/>
    <cellStyle name="X_5517854_3_Put Analysis_SBSAModel116(Company)" xfId="1888"/>
    <cellStyle name="X_5517854_3_Spin Model v.2" xfId="1889"/>
    <cellStyle name="X_5517854_3_Spin Model v.2_Project Kentucky Derby Model v75" xfId="1890"/>
    <cellStyle name="X_5517854_3_Spin Model v.2_Project Kentucky Derby Model v76" xfId="1891"/>
    <cellStyle name="X_5517854_3_Spin Model v.2_SBSAModel116(Company)" xfId="1892"/>
    <cellStyle name="X_Book3" xfId="1893"/>
    <cellStyle name="X_Book3_5401007_6" xfId="1894"/>
    <cellStyle name="X_Book3_5401007_6_Project Kentucky Derby Model v75" xfId="1895"/>
    <cellStyle name="X_Book3_5401007_6_Project Kentucky Derby Model v76" xfId="1896"/>
    <cellStyle name="X_Book3_5401007_6_SBSAModel116(Company)" xfId="1897"/>
    <cellStyle name="X_Book3_5963478_1" xfId="1898"/>
    <cellStyle name="X_Book3_FON" xfId="1899"/>
    <cellStyle name="X_Book3_Put Analysis" xfId="1900"/>
    <cellStyle name="X_Book3_Put Analysis.v2" xfId="1901"/>
    <cellStyle name="X_Book3_Put Analysis.v2_Project Kentucky Derby Model v75" xfId="1902"/>
    <cellStyle name="X_Book3_Put Analysis.v2_Project Kentucky Derby Model v76" xfId="1903"/>
    <cellStyle name="X_Book3_Put Analysis.v2_SBSAModel116(Company)" xfId="1904"/>
    <cellStyle name="X_Book3_Put Analysis_Project Kentucky Derby Model v75" xfId="1905"/>
    <cellStyle name="X_Book3_Put Analysis_Project Kentucky Derby Model v76" xfId="1906"/>
    <cellStyle name="X_Book3_Put Analysis_SBSAModel116(Company)" xfId="1907"/>
    <cellStyle name="X_Book3_Spin Model v.2" xfId="1908"/>
    <cellStyle name="X_Book3_Spin Model v.2_Project Kentucky Derby Model v75" xfId="1909"/>
    <cellStyle name="X_Book3_Spin Model v.2_Project Kentucky Derby Model v76" xfId="1910"/>
    <cellStyle name="X_Book3_Spin Model v.2_SBSAModel116(Company)" xfId="1911"/>
    <cellStyle name="year" xfId="1912"/>
    <cellStyle name="Yen" xfId="1913"/>
  </cellStyles>
  <dxfs count="0"/>
  <tableStyles count="0" defaultTableStyle="TableStyleMedium2" defaultPivotStyle="PivotStyleLight16"/>
  <colors>
    <mruColors>
      <color rgb="FFCCC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Data...1930812519</v>
        <stp/>
        <stp>BQL|12032333295917713584</stp>
        <tr r="J28" s="2"/>
      </tp>
      <tp t="s">
        <v>#N/A Requesting Data...3413308318</v>
        <stp/>
        <stp>BQL|10111333451467279932</stp>
        <tr r="K25" s="2"/>
      </tp>
      <tp t="s">
        <v>#N/A Requesting Data...2275909239</v>
        <stp/>
        <stp>BDP|13367448295951390591</stp>
        <tr r="T25" s="2"/>
        <tr r="X9" s="2"/>
      </tp>
      <tp t="s">
        <v>#N/A Requesting Data...2577048497</v>
        <stp/>
        <stp>BDP|12352140378965274904</stp>
        <tr r="X7" s="2"/>
      </tp>
      <tp t="b">
        <v>0</v>
        <stp/>
        <stp>BDH|16472807670773841208</stp>
        <tr r="AC25" s="2"/>
      </tp>
      <tp t="s">
        <v>#N/A Requesting Data...2848188361</v>
        <stp/>
        <stp>BDP|15408859876913554067</stp>
        <tr r="X8" s="2"/>
      </tp>
      <tp t="b">
        <v>0</v>
        <stp/>
        <stp>BDH|14797464926068759586</stp>
        <tr r="AE27" s="2"/>
      </tp>
      <tp t="s">
        <v>#N/A Requesting Data...2257422237</v>
        <stp/>
        <stp>BDP|13810807742124436636</stp>
        <tr r="T28" s="2"/>
      </tp>
      <tp t="b">
        <v>0</v>
        <stp/>
        <stp>BDH|14158713923237270480</stp>
        <tr r="AD27" s="2"/>
      </tp>
      <tp t="b">
        <v>0</v>
        <stp/>
        <stp>BDH|16955473208741542196</stp>
        <tr r="AC28" s="2"/>
      </tp>
      <tp t="b">
        <v>0</v>
        <stp/>
        <stp>BDH|15779137897438837748</stp>
        <tr r="AB28" s="2"/>
      </tp>
      <tp t="s">
        <v>#N/A Requesting Data...3659374205</v>
        <stp/>
        <stp>BDP|17160827981000874423</stp>
        <tr r="S6" s="2"/>
      </tp>
      <tp t="s">
        <v>#N/A Requesting Data...3666892561</v>
        <stp/>
        <stp>BDP|13828392833647479714</stp>
        <tr r="X8" s="2"/>
      </tp>
      <tp t="b">
        <v>0</v>
        <stp/>
        <stp>BDH|12122566831723359662</stp>
        <tr r="AB27" s="2"/>
      </tp>
      <tp t="b">
        <v>0</v>
        <stp/>
        <stp>BDH|14402521441823252238</stp>
        <tr r="AC29" s="2"/>
      </tp>
      <tp t="s">
        <v>#N/A Requesting Data...3720313219</v>
        <stp/>
        <stp>BDP|14902055484320671903</stp>
        <tr r="T27" s="2"/>
      </tp>
    </main>
    <main first="bofaddin.rtdserver">
      <tp t="s">
        <v>#N/A Requesting Data...2795941087</v>
        <stp/>
        <stp>BDP|8707358068140102111</stp>
        <tr r="T29" s="2"/>
      </tp>
      <tp t="b">
        <v>0</v>
        <stp/>
        <stp>BDH|9038397535294632129</stp>
        <tr r="AB29" s="2"/>
      </tp>
      <tp t="s">
        <v>#N/A Requesting Data...2187751880</v>
        <stp/>
        <stp>BDP|2143804407596129038</stp>
        <tr r="X7" s="2"/>
      </tp>
      <tp t="b">
        <v>0</v>
        <stp/>
        <stp>BDH|9416216157839858952</stp>
        <tr r="AC27" s="2"/>
      </tp>
      <tp t="s">
        <v>#N/A Requesting Data...2691973030</v>
        <stp/>
        <stp>BDP|6400815647886536202</stp>
        <tr r="X5" s="2"/>
      </tp>
      <tp t="b">
        <v>0</v>
        <stp/>
        <stp>BDH|4714055581653013028</stp>
        <tr r="AE25" s="2"/>
      </tp>
      <tp t="s">
        <v>#N/A Requesting Data...2187379549</v>
        <stp/>
        <stp>BDP|9138305321966356785</stp>
        <tr r="X6" s="2"/>
      </tp>
      <tp t="b">
        <v>0</v>
        <stp/>
        <stp>BDH|3654888929080689355</stp>
        <tr r="AD25" s="2"/>
      </tp>
      <tp t="s">
        <v>#N/A Requesting Data...3168254572</v>
        <stp/>
        <stp>BQL|5574085821080478260</stp>
        <tr r="K28" s="2"/>
      </tp>
      <tp t="s">
        <v>#N/A Requesting Data...3138006829</v>
        <stp/>
        <stp>BQL|1911002278481659270</stp>
        <tr r="J29" s="2"/>
      </tp>
      <tp t="s">
        <v>#N/A Requesting Data...2916537621</v>
        <stp/>
        <stp>BDP|9565363157737464821</stp>
        <tr r="AC5" s="2"/>
      </tp>
      <tp t="s">
        <v>#N/A Requesting Data...2975821464</v>
        <stp/>
        <stp>BQL|2649841698728889935</stp>
        <tr r="J25" s="2"/>
      </tp>
      <tp t="b">
        <v>0</v>
        <stp/>
        <stp>BDH|5697720228355581722</stp>
        <tr r="AE28" s="2"/>
      </tp>
      <tp t="b">
        <v>0</v>
        <stp/>
        <stp>BDH|1943706736620209784</stp>
        <tr r="AB25" s="2"/>
      </tp>
      <tp t="s">
        <v>#N/A Requesting Data...3407866940</v>
        <stp/>
        <stp>BQL|8335019693672732064</stp>
        <tr r="K29" s="2"/>
      </tp>
      <tp t="b">
        <v>0</v>
        <stp/>
        <stp>BDH|3133041406058720890</stp>
        <tr r="AD29" s="2"/>
      </tp>
      <tp t="b">
        <v>0</v>
        <stp/>
        <stp>BDH|3119106877571662716</stp>
        <tr r="AD28" s="2"/>
      </tp>
      <tp>
        <v>120.63</v>
        <stp/>
        <stp>BDP|1872148881487481414|22</stp>
        <stp>MATX US EQUITY</stp>
        <stp>Last Price</stp>
        <tr r="O28" s="2"/>
      </tp>
      <tp t="b">
        <v>0</v>
        <stp/>
        <stp>BDH|425841141436929666</stp>
        <tr r="AE29" s="2"/>
      </tp>
      <tp>
        <v>78.41</v>
        <stp/>
        <stp>BDP|4549107979948990130|22</stp>
        <stp>STNG US EQUITY</stp>
        <stp>Last Price</stp>
        <tr r="O29" s="2"/>
      </tp>
      <tp>
        <v>65.319999999999993</v>
        <stp/>
        <stp>BDP|12362944615287441908|22</stp>
        <stp>TNK US EQUITY</stp>
        <stp>Last Price</stp>
        <tr r="O27" s="2"/>
      </tp>
    </main>
  </volType>
</volType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volatileDependencies" Target="volatileDependenci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44824</xdr:colOff>
      <xdr:row>4</xdr:row>
      <xdr:rowOff>33618</xdr:rowOff>
    </xdr:from>
    <xdr:to>
      <xdr:col>15</xdr:col>
      <xdr:colOff>582706</xdr:colOff>
      <xdr:row>21</xdr:row>
      <xdr:rowOff>0</xdr:rowOff>
    </xdr:to>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225799" y="795618"/>
          <a:ext cx="8548407" cy="3014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Kirby Corporation operates a fleet of inland tank barges. The Company transports industrial chemicals, refined petroleum products, black oil products, and agricultural chemicals. Kirby also overhauls and services diesel engines employed in marine, power generation, and rail applications.  </a:t>
          </a:r>
        </a:p>
        <a:p>
          <a:endParaRPr lang="en-US" sz="1100" baseline="0"/>
        </a:p>
        <a:p>
          <a:r>
            <a:rPr lang="en-US" sz="1100" baseline="0"/>
            <a:t>The company conducts operations in two reportable business segments: Marine Transportation and Distribution and Services.</a:t>
          </a:r>
        </a:p>
        <a:p>
          <a:endParaRPr lang="en-US" sz="1100" baseline="0"/>
        </a:p>
        <a:p>
          <a:r>
            <a:rPr lang="en-US" sz="1100" baseline="0"/>
            <a:t>1) The Marine Transportation segment (about 60% of sales) operates tank barges and towing vessels transporting bulk liquid products throughout the Mississippi River System, on the Gulf Intracoastal Waterway, coastwise along all three US coasts. The company transports petrochemicals, black oil, refined petroleum products, and agricultural chemicals by tank barge. It also operates offshore dry-bulk barge and tugboat units engaged in the offshore transportation of dry-bulk cargoes in the US coastal trade.</a:t>
          </a:r>
        </a:p>
        <a:p>
          <a:endParaRPr lang="en-US" sz="1100" baseline="0"/>
        </a:p>
        <a:p>
          <a:r>
            <a:rPr lang="en-US" sz="1100" baseline="0"/>
            <a:t>2) Kirby's Distribution and Services segment (over 40% of sales) sells after-market service and genuine replacement parts for engines, transmissions, reduction gears, electric motors, drives, and controls, specialized electrical distribution and control systems, energy storage battery systems, and related oilfield services equipment, rebuilds component parts or entire diesel engines, transmissions and reduction gears, and related equipment used in oilfield services, marine, power generation, on-highway, and other industrial applications. The company also rents equipment, including generators, industrial compressors, railcar movers, and high-capacity lift trucks.</a:t>
          </a:r>
        </a:p>
      </xdr:txBody>
    </xdr:sp>
    <xdr:clientData/>
  </xdr:twoCellAnchor>
  <xdr:twoCellAnchor editAs="oneCell">
    <xdr:from>
      <xdr:col>2</xdr:col>
      <xdr:colOff>112059</xdr:colOff>
      <xdr:row>147</xdr:row>
      <xdr:rowOff>1394</xdr:rowOff>
    </xdr:from>
    <xdr:to>
      <xdr:col>17</xdr:col>
      <xdr:colOff>18114</xdr:colOff>
      <xdr:row>171</xdr:row>
      <xdr:rowOff>39914</xdr:rowOff>
    </xdr:to>
    <xdr:pic>
      <xdr:nvPicPr>
        <xdr:cNvPr id="2" name="Picture 1"/>
        <xdr:cNvPicPr>
          <a:picLocks noChangeAspect="1"/>
        </xdr:cNvPicPr>
      </xdr:nvPicPr>
      <xdr:blipFill>
        <a:blip xmlns:r="http://schemas.openxmlformats.org/officeDocument/2006/relationships" r:embed="rId1"/>
        <a:stretch>
          <a:fillRect/>
        </a:stretch>
      </xdr:blipFill>
      <xdr:spPr>
        <a:xfrm>
          <a:off x="470647" y="29786629"/>
          <a:ext cx="9610349" cy="46105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ient\C$\Users\CDIT\Downloads\125624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gentUser\Documents\KEX%20US%20Equity_MODEL_SNR_May%2020%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Q ML_Model_Info"/>
      <sheetName val="Income Statement"/>
      <sheetName val="Key Assumptions"/>
      <sheetName val="Balance Sheet"/>
      <sheetName val="Cash Flow"/>
      <sheetName val="Acquisitions"/>
      <sheetName val="Dispositions"/>
      <sheetName val="Interest Expense"/>
      <sheetName val="Mortgage Book"/>
      <sheetName val="Development"/>
      <sheetName val="NAV Current"/>
      <sheetName val="SS Total (GAAP)"/>
      <sheetName val="Lease rate YY (monthly)"/>
      <sheetName val="Lease rate YY (quarterly)"/>
      <sheetName val="Multiples"/>
      <sheetName val="EV EBITDA"/>
    </sheetNames>
    <sheetDataSet>
      <sheetData sheetId="0"/>
      <sheetData sheetId="1"/>
      <sheetData sheetId="2">
        <row r="113">
          <cell r="CU113">
            <v>3.5499396518813731E-2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Drivers"/>
      <sheetName val="Op Stats"/>
      <sheetName val="OI By Segment"/>
      <sheetName val="IS Input"/>
      <sheetName val="IS"/>
      <sheetName val="BS"/>
      <sheetName val="CF"/>
      <sheetName val="Debt"/>
      <sheetName val="Equity"/>
      <sheetName val="Interest"/>
      <sheetName val="Valuation"/>
      <sheetName val="Export"/>
      <sheetName val="Snapshot"/>
      <sheetName val="Disclaim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X286"/>
  <sheetViews>
    <sheetView workbookViewId="0">
      <selection activeCell="G147" sqref="G147:G149"/>
    </sheetView>
  </sheetViews>
  <sheetFormatPr defaultRowHeight="15"/>
  <sheetData>
    <row r="5" spans="19:19">
      <c r="S5" s="217">
        <f ca="1">Memo!$S$5</f>
        <v>58.819000000000003</v>
      </c>
    </row>
    <row r="27" spans="20:24">
      <c r="V27" s="170">
        <f>Memo!V27</f>
        <v>-0.7</v>
      </c>
      <c r="W27" s="100">
        <f>Memo!W27</f>
        <v>3</v>
      </c>
      <c r="X27" s="100">
        <f>Memo!X27</f>
        <v>3.4</v>
      </c>
    </row>
    <row r="28" spans="20:24">
      <c r="V28" s="170">
        <f>Memo!V28</f>
        <v>0.7</v>
      </c>
      <c r="W28" s="100">
        <f>Memo!W28</f>
        <v>8.6999999999999993</v>
      </c>
      <c r="X28" s="100">
        <f>Memo!X28</f>
        <v>8.5</v>
      </c>
    </row>
    <row r="29" spans="20:24">
      <c r="T29" s="70">
        <f>Memo!$T$29</f>
        <v>1.5941843407973801E-2</v>
      </c>
      <c r="V29" s="171">
        <f>Memo!V29</f>
        <v>1.7</v>
      </c>
      <c r="W29" s="172">
        <f>Memo!W29</f>
        <v>5.4</v>
      </c>
      <c r="X29" s="172">
        <f>Memo!X29</f>
        <v>5.2</v>
      </c>
    </row>
    <row r="36" spans="10:13">
      <c r="L36" s="222">
        <f>Memo!L33</f>
        <v>0.05</v>
      </c>
      <c r="M36" s="230">
        <f>Memo!M33</f>
        <v>310</v>
      </c>
    </row>
    <row r="37" spans="10:13">
      <c r="J37" s="232">
        <f>Memo!J34</f>
        <v>-50</v>
      </c>
      <c r="K37" s="232">
        <f>Memo!K34</f>
        <v>-50</v>
      </c>
    </row>
    <row r="128" spans="7:13">
      <c r="G128" s="259">
        <f>Memo!G119</f>
        <v>7.0000000000000007E-2</v>
      </c>
      <c r="H128" s="177">
        <f>Memo!H119</f>
        <v>326.83578</v>
      </c>
      <c r="I128" s="259">
        <f>Memo!I119</f>
        <v>0.1</v>
      </c>
      <c r="J128" s="177">
        <f>Memo!J119</f>
        <v>32.683578000000004</v>
      </c>
      <c r="K128" s="177">
        <f ca="1">Memo!K119</f>
        <v>19.976247129698219</v>
      </c>
      <c r="L128" s="177">
        <f ca="1">Memo!L119</f>
        <v>52.65982512969822</v>
      </c>
      <c r="M128" s="259">
        <f ca="1">Memo!M119</f>
        <v>0.16112013540775194</v>
      </c>
    </row>
    <row r="129" spans="7:13">
      <c r="G129" s="259">
        <f>Memo!G120</f>
        <v>0.1</v>
      </c>
      <c r="H129" s="177">
        <f>Memo!H120</f>
        <v>1558.1313000000002</v>
      </c>
      <c r="I129" s="259">
        <f>Memo!I120</f>
        <v>0.18</v>
      </c>
      <c r="J129" s="177">
        <f>Memo!J120</f>
        <v>280.46363400000001</v>
      </c>
      <c r="K129" s="177">
        <f ca="1">Memo!K120</f>
        <v>171.41975287030175</v>
      </c>
      <c r="L129" s="177">
        <f ca="1">Memo!L120</f>
        <v>451.88338687030176</v>
      </c>
      <c r="M129" s="259">
        <f ca="1">Memo!M120</f>
        <v>0.2900162437339534</v>
      </c>
    </row>
    <row r="130" spans="7:13">
      <c r="G130" s="260">
        <f>Memo!G121</f>
        <v>-0.02</v>
      </c>
      <c r="H130" s="118">
        <f>Memo!H121</f>
        <v>1342.3089399999999</v>
      </c>
      <c r="I130" s="260">
        <f>Memo!I121</f>
        <v>7.0000000000000007E-2</v>
      </c>
      <c r="J130" s="118">
        <f>Memo!J121</f>
        <v>93.961625800000007</v>
      </c>
      <c r="K130" s="118">
        <f ca="1">Memo!K121</f>
        <v>31.376000000000001</v>
      </c>
      <c r="L130" s="118">
        <f ca="1">Memo!L121</f>
        <v>125.33762580000001</v>
      </c>
      <c r="M130" s="260">
        <f ca="1">Memo!M121</f>
        <v>9.3374648760068624E-2</v>
      </c>
    </row>
    <row r="131" spans="7:13">
      <c r="G131" s="261">
        <f>Memo!G122</f>
        <v>4.3871867358424632E-2</v>
      </c>
      <c r="H131" s="117">
        <f>Memo!H122</f>
        <v>3227.2760200000002</v>
      </c>
      <c r="I131" s="261">
        <f>Memo!I122</f>
        <v>0.1261462717403391</v>
      </c>
      <c r="J131" s="117">
        <f>Memo!J122</f>
        <v>407.10883780000006</v>
      </c>
      <c r="K131" s="117">
        <f ca="1">Memo!K122</f>
        <v>222.77199999999996</v>
      </c>
      <c r="L131" s="117">
        <f ca="1">Memo!L122</f>
        <v>629.88083779999999</v>
      </c>
      <c r="M131" s="261">
        <f ca="1">Memo!M122</f>
        <v>0.19517414497443572</v>
      </c>
    </row>
    <row r="134" spans="7:13">
      <c r="K134" s="117">
        <f ca="1">Memo!$K$122</f>
        <v>222.77199999999996</v>
      </c>
    </row>
    <row r="146" spans="7:7" ht="15.75" thickBot="1"/>
    <row r="147" spans="7:7">
      <c r="G147" s="321">
        <f>Memo!G138</f>
        <v>5552.4295539242667</v>
      </c>
    </row>
    <row r="148" spans="7:7">
      <c r="G148" s="323">
        <f ca="1">Memo!G139</f>
        <v>11.004864245253719</v>
      </c>
    </row>
    <row r="149" spans="7:7" ht="15.75" thickBot="1">
      <c r="G149" s="327">
        <f>Memo!G140</f>
        <v>4.8815348429668171E-2</v>
      </c>
    </row>
    <row r="192" spans="5:5">
      <c r="E192" s="201" t="e">
        <f>Memo!#REF!</f>
        <v>#REF!</v>
      </c>
    </row>
    <row r="193" spans="7:10">
      <c r="G193" s="202" t="e">
        <f>Memo!#REF!</f>
        <v>#REF!</v>
      </c>
    </row>
    <row r="194" spans="7:10">
      <c r="G194" s="203" t="e">
        <f>Memo!#REF!</f>
        <v>#REF!</v>
      </c>
      <c r="H194" s="209" t="e">
        <f>Memo!#REF!</f>
        <v>#REF!</v>
      </c>
    </row>
    <row r="195" spans="7:10">
      <c r="G195" s="204" t="e">
        <f>Memo!#REF!</f>
        <v>#REF!</v>
      </c>
      <c r="H195" s="208" t="e">
        <f>Memo!#REF!</f>
        <v>#REF!</v>
      </c>
    </row>
    <row r="196" spans="7:10">
      <c r="G196" s="117" t="e">
        <f>Memo!#REF!</f>
        <v>#REF!</v>
      </c>
    </row>
    <row r="197" spans="7:10">
      <c r="G197" s="207" t="e">
        <f>Memo!#REF!</f>
        <v>#REF!</v>
      </c>
    </row>
    <row r="198" spans="7:10">
      <c r="G198" s="117" t="e">
        <f>Memo!#REF!</f>
        <v>#REF!</v>
      </c>
    </row>
    <row r="199" spans="7:10">
      <c r="G199" s="205" t="e">
        <f>Memo!#REF!</f>
        <v>#REF!</v>
      </c>
      <c r="H199" s="177" t="e">
        <f>Memo!#REF!</f>
        <v>#REF!</v>
      </c>
      <c r="I199" s="203" t="e">
        <f>Memo!#REF!</f>
        <v>#REF!</v>
      </c>
      <c r="J199" s="177" t="e">
        <f>Memo!#REF!</f>
        <v>#REF!</v>
      </c>
    </row>
    <row r="200" spans="7:10">
      <c r="G200" s="205" t="e">
        <f>Memo!#REF!</f>
        <v>#REF!</v>
      </c>
      <c r="H200" s="177" t="e">
        <f>Memo!#REF!</f>
        <v>#REF!</v>
      </c>
      <c r="I200" s="203" t="e">
        <f>Memo!#REF!</f>
        <v>#REF!</v>
      </c>
      <c r="J200" s="177" t="e">
        <f>Memo!#REF!</f>
        <v>#REF!</v>
      </c>
    </row>
    <row r="201" spans="7:10">
      <c r="G201" s="205" t="e">
        <f>Memo!#REF!</f>
        <v>#REF!</v>
      </c>
      <c r="H201" s="177" t="e">
        <f>Memo!#REF!</f>
        <v>#REF!</v>
      </c>
      <c r="I201" s="203" t="e">
        <f>Memo!#REF!</f>
        <v>#REF!</v>
      </c>
      <c r="J201" s="177" t="e">
        <f>Memo!#REF!</f>
        <v>#REF!</v>
      </c>
    </row>
    <row r="202" spans="7:10">
      <c r="G202" s="206" t="e">
        <f>Memo!#REF!</f>
        <v>#REF!</v>
      </c>
      <c r="H202" s="177" t="e">
        <f>Memo!#REF!</f>
        <v>#REF!</v>
      </c>
      <c r="I202" s="203" t="e">
        <f>Memo!#REF!</f>
        <v>#REF!</v>
      </c>
      <c r="J202" s="177" t="e">
        <f>Memo!#REF!</f>
        <v>#REF!</v>
      </c>
    </row>
    <row r="203" spans="7:10">
      <c r="G203" s="210" t="e">
        <f>Memo!#REF!</f>
        <v>#REF!</v>
      </c>
    </row>
    <row r="204" spans="7:10">
      <c r="G204" s="211" t="e">
        <f>Memo!#REF!</f>
        <v>#REF!</v>
      </c>
      <c r="H204" s="209" t="e">
        <f>Memo!#REF!</f>
        <v>#REF!</v>
      </c>
    </row>
    <row r="205" spans="7:10">
      <c r="G205" s="210" t="e">
        <f>Memo!#REF!</f>
        <v>#REF!</v>
      </c>
    </row>
    <row r="242" spans="12:16">
      <c r="P242" s="122">
        <f ca="1">Memo!P101</f>
        <v>7.9490068813293305E-2</v>
      </c>
    </row>
    <row r="243" spans="12:16">
      <c r="P243" s="122">
        <f ca="1">Memo!P102</f>
        <v>0.75064354805397504</v>
      </c>
    </row>
    <row r="244" spans="12:16">
      <c r="P244" s="122">
        <f ca="1">Memo!P103</f>
        <v>0.16986638313273159</v>
      </c>
    </row>
    <row r="245" spans="12:16">
      <c r="M245" s="224" t="e">
        <f>Memo!#REF!</f>
        <v>#REF!</v>
      </c>
      <c r="N245" s="224" t="e">
        <f>Memo!#REF!</f>
        <v>#REF!</v>
      </c>
      <c r="O245" s="224" t="e">
        <f>Memo!#REF!</f>
        <v>#REF!</v>
      </c>
      <c r="P245" s="122" t="e">
        <f>Memo!#REF!</f>
        <v>#REF!</v>
      </c>
    </row>
    <row r="246" spans="12:16">
      <c r="M246" s="215" t="e">
        <f>Memo!#REF!</f>
        <v>#REF!</v>
      </c>
      <c r="N246" s="216" t="e">
        <f>Memo!#REF!</f>
        <v>#REF!</v>
      </c>
    </row>
    <row r="247" spans="12:16">
      <c r="L247" s="226" t="e">
        <f>Memo!#REF!</f>
        <v>#REF!</v>
      </c>
    </row>
    <row r="282" spans="11:16">
      <c r="K282" s="220" t="e">
        <f>Memo!#REF!</f>
        <v>#REF!</v>
      </c>
      <c r="L282" s="220" t="e">
        <f>Memo!#REF!</f>
        <v>#REF!</v>
      </c>
      <c r="M282" s="220" t="e">
        <f>Memo!#REF!</f>
        <v>#REF!</v>
      </c>
      <c r="N282" s="220" t="e">
        <f>Memo!#REF!</f>
        <v>#REF!</v>
      </c>
      <c r="O282" s="220" t="e">
        <f>Memo!#REF!</f>
        <v>#REF!</v>
      </c>
    </row>
    <row r="285" spans="11:16">
      <c r="P285" s="221" t="e">
        <f>Memo!#REF!</f>
        <v>#REF!</v>
      </c>
    </row>
    <row r="286" spans="11:16">
      <c r="P286" s="222" t="e">
        <f>Memo!#REF!</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176"/>
  <sheetViews>
    <sheetView showGridLines="0" tabSelected="1" view="pageBreakPreview" zoomScaleNormal="85" zoomScaleSheetLayoutView="100" workbookViewId="0"/>
  </sheetViews>
  <sheetFormatPr defaultRowHeight="15"/>
  <cols>
    <col min="1" max="3" width="2.7109375" customWidth="1"/>
    <col min="4" max="4" width="10.85546875" customWidth="1"/>
    <col min="5" max="5" width="10" customWidth="1"/>
    <col min="6" max="6" width="10" bestFit="1" customWidth="1"/>
    <col min="7" max="7" width="10.7109375" bestFit="1" customWidth="1"/>
    <col min="8" max="8" width="9.5703125" bestFit="1" customWidth="1"/>
    <col min="9" max="9" width="10.28515625" bestFit="1" customWidth="1"/>
    <col min="10" max="11" width="10.7109375" bestFit="1" customWidth="1"/>
    <col min="12" max="12" width="9.5703125" bestFit="1" customWidth="1"/>
    <col min="13" max="13" width="10.28515625" customWidth="1"/>
    <col min="14" max="14" width="9.85546875" customWidth="1"/>
    <col min="15" max="15" width="9.5703125" bestFit="1" customWidth="1"/>
    <col min="16" max="16" width="10.5703125" bestFit="1" customWidth="1"/>
    <col min="17" max="17" width="9.7109375" customWidth="1"/>
    <col min="18" max="18" width="9.85546875" customWidth="1"/>
    <col min="19" max="19" width="10.5703125" bestFit="1" customWidth="1"/>
    <col min="21" max="21" width="9.140625" customWidth="1"/>
    <col min="22" max="22" width="10.85546875" customWidth="1"/>
    <col min="23" max="23" width="10.42578125" bestFit="1" customWidth="1"/>
    <col min="24" max="24" width="10.140625" style="16" bestFit="1" customWidth="1"/>
    <col min="25" max="25" width="9.140625" style="16"/>
    <col min="26" max="26" width="9.140625" customWidth="1"/>
    <col min="27" max="27" width="9.5703125" bestFit="1" customWidth="1"/>
    <col min="29" max="29" width="11.28515625" customWidth="1"/>
    <col min="30" max="30" width="11.42578125" customWidth="1"/>
    <col min="31" max="31" width="11.85546875" customWidth="1"/>
  </cols>
  <sheetData>
    <row r="1" spans="1:29">
      <c r="A1" s="16"/>
    </row>
    <row r="2" spans="1:29">
      <c r="B2" s="85" t="s">
        <v>232</v>
      </c>
      <c r="C2" s="86"/>
      <c r="D2" s="86"/>
      <c r="E2" s="87"/>
      <c r="F2" s="87"/>
      <c r="G2" s="87"/>
      <c r="H2" s="87"/>
      <c r="I2" s="87"/>
      <c r="J2" s="87"/>
      <c r="K2" s="87"/>
      <c r="L2" s="87"/>
      <c r="M2" s="87"/>
      <c r="N2" s="87"/>
      <c r="O2" s="87"/>
      <c r="P2" s="87"/>
      <c r="Q2" s="87"/>
      <c r="R2" s="87"/>
      <c r="S2" s="87"/>
      <c r="T2" s="87"/>
      <c r="U2" s="87"/>
      <c r="V2" s="87"/>
      <c r="W2" s="87"/>
      <c r="X2" s="88"/>
      <c r="Y2" s="4" t="s">
        <v>60</v>
      </c>
      <c r="AC2" s="61" t="s">
        <v>176</v>
      </c>
    </row>
    <row r="3" spans="1:29">
      <c r="B3" s="89"/>
      <c r="C3" s="16"/>
      <c r="D3" s="16"/>
      <c r="E3" s="16"/>
      <c r="F3" s="16"/>
      <c r="G3" s="16"/>
      <c r="H3" s="16"/>
      <c r="I3" s="16"/>
      <c r="J3" s="16"/>
      <c r="K3" s="16"/>
      <c r="L3" s="16"/>
      <c r="M3" s="16"/>
      <c r="N3" s="16"/>
      <c r="O3" s="16"/>
      <c r="P3" s="16"/>
      <c r="Q3" s="16"/>
      <c r="R3" s="16"/>
      <c r="S3" s="16"/>
      <c r="T3" s="16"/>
      <c r="U3" s="16"/>
      <c r="V3" s="16"/>
      <c r="W3" s="16"/>
      <c r="X3" s="45"/>
      <c r="Y3"/>
    </row>
    <row r="4" spans="1:29">
      <c r="B4" s="93" t="s">
        <v>107</v>
      </c>
      <c r="C4" s="90"/>
      <c r="D4" s="90"/>
      <c r="E4" s="90"/>
      <c r="F4" s="90"/>
      <c r="G4" s="90"/>
      <c r="H4" s="90"/>
      <c r="I4" s="90"/>
      <c r="J4" s="90"/>
      <c r="K4" s="90"/>
      <c r="L4" s="90"/>
      <c r="M4" s="90"/>
      <c r="N4" s="90"/>
      <c r="O4" s="90"/>
      <c r="P4" s="90"/>
      <c r="Q4" s="90" t="s">
        <v>61</v>
      </c>
      <c r="R4" s="91"/>
      <c r="S4" s="91"/>
      <c r="T4" s="56"/>
      <c r="U4" s="91"/>
      <c r="V4" s="91"/>
      <c r="W4" s="91"/>
      <c r="X4" s="92"/>
      <c r="Y4"/>
    </row>
    <row r="5" spans="1:29">
      <c r="B5" s="89"/>
      <c r="C5" s="16"/>
      <c r="D5" s="16"/>
      <c r="E5" s="16"/>
      <c r="F5" s="16"/>
      <c r="G5" s="16"/>
      <c r="H5" s="16"/>
      <c r="I5" s="16"/>
      <c r="J5" s="16"/>
      <c r="K5" s="16"/>
      <c r="L5" s="16"/>
      <c r="M5" s="16"/>
      <c r="N5" s="16"/>
      <c r="O5" s="16"/>
      <c r="P5" s="16"/>
      <c r="Q5" s="42" t="s">
        <v>59</v>
      </c>
      <c r="R5" s="43"/>
      <c r="S5" s="217">
        <f ca="1">'Model Shell'!G42</f>
        <v>58.819000000000003</v>
      </c>
      <c r="T5" s="55" t="s">
        <v>62</v>
      </c>
      <c r="U5" s="43"/>
      <c r="V5" s="43"/>
      <c r="W5" s="43"/>
      <c r="X5" s="62">
        <f>_xll.BDP($AC$2,"VOLUME_AVG_30D")*$S$6/10^6</f>
        <v>55.041308700000002</v>
      </c>
      <c r="Y5"/>
      <c r="AC5">
        <f>_xll.BDP($AC$2,"EQY_SH_OUT")</f>
        <v>58.3</v>
      </c>
    </row>
    <row r="6" spans="1:29">
      <c r="B6" s="89"/>
      <c r="C6" s="16"/>
      <c r="D6" s="16"/>
      <c r="E6" s="16"/>
      <c r="F6" s="16"/>
      <c r="G6" s="16"/>
      <c r="H6" s="16"/>
      <c r="I6" s="16"/>
      <c r="J6" s="16"/>
      <c r="K6" s="16"/>
      <c r="L6" s="16"/>
      <c r="M6" s="16"/>
      <c r="N6" s="16"/>
      <c r="O6" s="16"/>
      <c r="P6" s="16"/>
      <c r="Q6" s="44" t="s">
        <v>57</v>
      </c>
      <c r="R6" s="8"/>
      <c r="S6" s="185">
        <f>_xll.BDP(AC2,"PX LAST")</f>
        <v>118.7</v>
      </c>
      <c r="T6" s="55" t="s">
        <v>63</v>
      </c>
      <c r="U6" s="16"/>
      <c r="V6" s="16"/>
      <c r="W6" s="16"/>
      <c r="X6" s="65">
        <f>_xll.BDP($AC$2,"SI_PERCENT_EQUITY_FLOAT")/100</f>
        <v>1.5150790000000001E-2</v>
      </c>
      <c r="Y6"/>
      <c r="AA6" s="6"/>
    </row>
    <row r="7" spans="1:29">
      <c r="B7" s="89"/>
      <c r="C7" s="16"/>
      <c r="D7" s="16"/>
      <c r="E7" s="16"/>
      <c r="F7" s="16"/>
      <c r="G7" s="16"/>
      <c r="H7" s="16"/>
      <c r="I7" s="16"/>
      <c r="J7" s="16"/>
      <c r="K7" s="16"/>
      <c r="L7" s="16"/>
      <c r="M7" s="16"/>
      <c r="N7" s="16"/>
      <c r="O7" s="16"/>
      <c r="P7" s="16"/>
      <c r="Q7" s="46" t="s">
        <v>58</v>
      </c>
      <c r="R7" s="47"/>
      <c r="S7" s="34">
        <f ca="1">S6*S5</f>
        <v>6981.8153000000002</v>
      </c>
      <c r="T7" s="55" t="s">
        <v>64</v>
      </c>
      <c r="U7" s="16"/>
      <c r="V7" s="16"/>
      <c r="W7" s="16"/>
      <c r="X7" s="66">
        <f>_xll.BDP($AC$2,"SHORT_INT")/_xll.BDP($AC$2,"VOLUME_AVG_100D")</f>
        <v>1.9512782459739133</v>
      </c>
      <c r="Y7"/>
      <c r="AA7" s="6"/>
    </row>
    <row r="8" spans="1:29">
      <c r="B8" s="89"/>
      <c r="C8" s="16"/>
      <c r="D8" s="16"/>
      <c r="E8" s="16"/>
      <c r="F8" s="16"/>
      <c r="G8" s="16"/>
      <c r="H8" s="16"/>
      <c r="I8" s="16"/>
      <c r="J8" s="16"/>
      <c r="K8" s="16"/>
      <c r="L8" s="16"/>
      <c r="M8" s="16"/>
      <c r="N8" s="16"/>
      <c r="O8" s="16"/>
      <c r="P8" s="16"/>
      <c r="Q8" s="50" t="s">
        <v>129</v>
      </c>
      <c r="R8" s="16"/>
      <c r="S8" s="39">
        <f ca="1">'Model Shell'!G62+'Model Shell'!G70-'Model Shell'!G48</f>
        <v>985.24899999999991</v>
      </c>
      <c r="T8" s="55" t="s">
        <v>65</v>
      </c>
      <c r="U8" s="16"/>
      <c r="V8" s="16"/>
      <c r="W8" s="16"/>
      <c r="X8" s="67" t="str">
        <f>TEXT(_xll.BDP($AC$2,"LOW_52WEEK"),"0.00")&amp;" / "&amp;TEXT(_xll.BDP($AC$2,"HIGH_52WEEK"),"0.00")</f>
        <v>72.11 / 124.92</v>
      </c>
      <c r="Y8"/>
      <c r="AA8" s="6"/>
    </row>
    <row r="9" spans="1:29">
      <c r="B9" s="89"/>
      <c r="C9" s="16"/>
      <c r="D9" s="16"/>
      <c r="E9" s="16"/>
      <c r="F9" s="16"/>
      <c r="G9" s="16"/>
      <c r="H9" s="16"/>
      <c r="I9" s="16"/>
      <c r="J9" s="16"/>
      <c r="K9" s="16"/>
      <c r="L9" s="16"/>
      <c r="M9" s="16"/>
      <c r="N9" s="16"/>
      <c r="O9" s="16"/>
      <c r="P9" s="16"/>
      <c r="Q9" s="48" t="s">
        <v>140</v>
      </c>
      <c r="R9" s="8"/>
      <c r="S9" s="38">
        <f ca="1">'Model Shell'!G80</f>
        <v>1.093</v>
      </c>
      <c r="T9" s="57" t="s">
        <v>66</v>
      </c>
      <c r="U9" s="58"/>
      <c r="V9" s="58"/>
      <c r="W9" s="58"/>
      <c r="X9" s="68">
        <f>_xll.BDP($AC$2,"Dividend_yield")/100</f>
        <v>0</v>
      </c>
      <c r="Y9"/>
    </row>
    <row r="10" spans="1:29">
      <c r="B10" s="89"/>
      <c r="C10" s="16"/>
      <c r="D10" s="16"/>
      <c r="E10" s="16"/>
      <c r="F10" s="16"/>
      <c r="G10" s="16"/>
      <c r="H10" s="16"/>
      <c r="I10" s="16"/>
      <c r="J10" s="16"/>
      <c r="K10" s="16"/>
      <c r="L10" s="16"/>
      <c r="M10" s="16"/>
      <c r="N10" s="16"/>
      <c r="O10" s="16"/>
      <c r="P10" s="16"/>
      <c r="Q10" s="51" t="s">
        <v>87</v>
      </c>
      <c r="R10" s="52"/>
      <c r="S10" s="53">
        <f ca="1">SUM(S7:S9)</f>
        <v>7968.1572999999999</v>
      </c>
      <c r="T10" s="59" t="s">
        <v>67</v>
      </c>
      <c r="U10" s="16"/>
      <c r="V10" s="16"/>
      <c r="W10" s="16"/>
      <c r="X10" s="45"/>
      <c r="Y10"/>
    </row>
    <row r="11" spans="1:29">
      <c r="B11" s="89"/>
      <c r="C11" s="16"/>
      <c r="D11" s="16"/>
      <c r="E11" s="16"/>
      <c r="F11" s="16"/>
      <c r="G11" s="16"/>
      <c r="H11" s="16"/>
      <c r="I11" s="16"/>
      <c r="J11" s="16"/>
      <c r="K11" s="16"/>
      <c r="L11" s="16"/>
      <c r="M11" s="16"/>
      <c r="N11" s="16"/>
      <c r="O11" s="16"/>
      <c r="P11" s="16"/>
      <c r="Q11" s="158" t="s">
        <v>130</v>
      </c>
      <c r="R11" s="16"/>
      <c r="S11" s="100">
        <f ca="1">H38</f>
        <v>20.570949528849876</v>
      </c>
      <c r="T11" s="54" t="s">
        <v>81</v>
      </c>
      <c r="U11" s="16"/>
      <c r="V11" s="16"/>
      <c r="W11" s="16"/>
      <c r="X11" s="182">
        <v>0.1046</v>
      </c>
      <c r="Y11"/>
    </row>
    <row r="12" spans="1:29" ht="15" customHeight="1">
      <c r="B12" s="89"/>
      <c r="C12" s="16"/>
      <c r="D12" s="16"/>
      <c r="E12" s="16"/>
      <c r="F12" s="16"/>
      <c r="G12" s="16"/>
      <c r="H12" s="16"/>
      <c r="I12" s="16"/>
      <c r="J12" s="16"/>
      <c r="K12" s="16"/>
      <c r="L12" s="16"/>
      <c r="M12" s="16"/>
      <c r="N12" s="16"/>
      <c r="O12" s="16"/>
      <c r="P12" s="16"/>
      <c r="Q12" s="158" t="s">
        <v>131</v>
      </c>
      <c r="R12" s="16"/>
      <c r="S12" s="100">
        <f ca="1">I38</f>
        <v>14.722067884982412</v>
      </c>
      <c r="T12" s="54" t="s">
        <v>169</v>
      </c>
      <c r="U12" s="16"/>
      <c r="V12" s="16"/>
      <c r="W12" s="16"/>
      <c r="X12" s="182">
        <v>8.6800000000000002E-2</v>
      </c>
      <c r="Y12" s="154"/>
      <c r="Z12" s="76"/>
    </row>
    <row r="13" spans="1:29">
      <c r="B13" s="89"/>
      <c r="C13" s="16"/>
      <c r="D13" s="16"/>
      <c r="E13" s="16"/>
      <c r="F13" s="16"/>
      <c r="G13" s="16"/>
      <c r="H13" s="16"/>
      <c r="I13" s="16"/>
      <c r="J13" s="16"/>
      <c r="K13" s="16"/>
      <c r="L13" s="16"/>
      <c r="M13" s="16"/>
      <c r="N13" s="16"/>
      <c r="O13" s="16"/>
      <c r="P13" s="16"/>
      <c r="Q13" s="158" t="s">
        <v>168</v>
      </c>
      <c r="R13" s="16"/>
      <c r="S13" s="100">
        <f ca="1">J38</f>
        <v>11.700671512481644</v>
      </c>
      <c r="T13" s="54" t="s">
        <v>227</v>
      </c>
      <c r="U13" s="16"/>
      <c r="V13" s="16"/>
      <c r="W13" s="16"/>
      <c r="X13" s="182">
        <v>6.9400000000000003E-2</v>
      </c>
      <c r="Y13" s="155"/>
      <c r="Z13" s="156"/>
    </row>
    <row r="14" spans="1:29">
      <c r="B14" s="89"/>
      <c r="C14" s="16"/>
      <c r="D14" s="16"/>
      <c r="E14" s="16"/>
      <c r="F14" s="16"/>
      <c r="G14" s="16"/>
      <c r="H14" s="16"/>
      <c r="I14" s="16"/>
      <c r="J14" s="16"/>
      <c r="K14" s="16"/>
      <c r="L14" s="16"/>
      <c r="M14" s="16"/>
      <c r="N14" s="16"/>
      <c r="O14" s="16"/>
      <c r="P14" s="16"/>
      <c r="Q14" s="78" t="s">
        <v>317</v>
      </c>
      <c r="R14" s="16"/>
      <c r="S14" s="105">
        <f ca="1">(J33+90)/S10</f>
        <v>5.3582024541608882E-2</v>
      </c>
      <c r="T14" s="54" t="s">
        <v>228</v>
      </c>
      <c r="U14" s="16"/>
      <c r="V14" s="16"/>
      <c r="W14" s="16"/>
      <c r="X14" s="182">
        <v>6.2799999999999995E-2</v>
      </c>
      <c r="Y14"/>
    </row>
    <row r="15" spans="1:29">
      <c r="B15" s="89"/>
      <c r="C15" s="16"/>
      <c r="D15" s="16"/>
      <c r="E15" s="16"/>
      <c r="F15" s="16"/>
      <c r="G15" s="16"/>
      <c r="H15" s="16"/>
      <c r="I15" s="16"/>
      <c r="J15" s="16"/>
      <c r="K15" s="16"/>
      <c r="L15" s="16"/>
      <c r="M15" s="16"/>
      <c r="N15" s="16"/>
      <c r="O15" s="16"/>
      <c r="P15" s="16"/>
      <c r="Q15" s="21"/>
      <c r="R15" s="77"/>
      <c r="S15" s="159"/>
      <c r="T15" s="181" t="s">
        <v>229</v>
      </c>
      <c r="U15" s="58"/>
      <c r="V15" s="58"/>
      <c r="W15" s="58"/>
      <c r="X15" s="183">
        <v>6.0299999999999999E-2</v>
      </c>
      <c r="Y15"/>
    </row>
    <row r="16" spans="1:29">
      <c r="B16" s="89"/>
      <c r="C16" s="16"/>
      <c r="D16" s="16"/>
      <c r="E16" s="16"/>
      <c r="F16" s="16"/>
      <c r="G16" s="16"/>
      <c r="H16" s="16"/>
      <c r="I16" s="16"/>
      <c r="J16" s="16"/>
      <c r="K16" s="16"/>
      <c r="L16" s="16"/>
      <c r="M16" s="16"/>
      <c r="N16" s="16"/>
      <c r="O16" s="16"/>
      <c r="P16" s="16"/>
      <c r="Q16" s="21"/>
      <c r="R16" s="36"/>
      <c r="S16" s="196"/>
      <c r="T16" s="54"/>
      <c r="U16" s="16"/>
      <c r="V16" s="16"/>
      <c r="W16" s="16"/>
      <c r="X16" s="182"/>
      <c r="Y16"/>
    </row>
    <row r="17" spans="2:31">
      <c r="B17" s="89"/>
      <c r="C17" s="16"/>
      <c r="D17" s="16"/>
      <c r="E17" s="16"/>
      <c r="F17" s="16"/>
      <c r="G17" s="16"/>
      <c r="H17" s="16"/>
      <c r="I17" s="16"/>
      <c r="J17" s="16"/>
      <c r="K17" s="16"/>
      <c r="L17" s="16"/>
      <c r="M17" s="16"/>
      <c r="N17" s="16"/>
      <c r="O17" s="16"/>
      <c r="P17" s="16"/>
      <c r="Q17" s="76"/>
      <c r="R17" s="36"/>
      <c r="S17" s="157"/>
      <c r="T17" s="59" t="s">
        <v>132</v>
      </c>
      <c r="U17" s="16"/>
      <c r="V17" s="16"/>
      <c r="W17" s="16"/>
      <c r="X17" s="69"/>
      <c r="Y17"/>
    </row>
    <row r="18" spans="2:31">
      <c r="B18" s="89"/>
      <c r="C18" s="16"/>
      <c r="D18" s="16"/>
      <c r="E18" s="16"/>
      <c r="F18" s="16"/>
      <c r="G18" s="16"/>
      <c r="H18" s="16"/>
      <c r="I18" s="16"/>
      <c r="J18" s="16"/>
      <c r="K18" s="16"/>
      <c r="L18" s="16"/>
      <c r="M18" s="16"/>
      <c r="N18" s="16"/>
      <c r="O18" s="16"/>
      <c r="P18" s="16"/>
      <c r="Q18" s="76"/>
      <c r="R18" s="36"/>
      <c r="S18" s="157"/>
      <c r="T18" s="160" t="s">
        <v>230</v>
      </c>
      <c r="U18" s="16"/>
      <c r="V18" s="16"/>
      <c r="W18" s="16"/>
      <c r="X18" s="182">
        <v>2E-3</v>
      </c>
      <c r="Y18"/>
    </row>
    <row r="19" spans="2:31">
      <c r="B19" s="89"/>
      <c r="C19" s="16"/>
      <c r="D19" s="16"/>
      <c r="E19" s="16"/>
      <c r="F19" s="16"/>
      <c r="G19" s="16"/>
      <c r="H19" s="16"/>
      <c r="I19" s="16"/>
      <c r="J19" s="16"/>
      <c r="K19" s="16"/>
      <c r="L19" s="16"/>
      <c r="M19" s="16"/>
      <c r="N19" s="16"/>
      <c r="O19" s="16"/>
      <c r="P19" s="16"/>
      <c r="Q19" s="76"/>
      <c r="R19" s="36"/>
      <c r="S19" s="157"/>
      <c r="T19" s="161" t="s">
        <v>231</v>
      </c>
      <c r="U19" s="8"/>
      <c r="V19" s="8"/>
      <c r="W19" s="8"/>
      <c r="X19" s="184">
        <v>1.2999999999999999E-3</v>
      </c>
      <c r="Y19"/>
    </row>
    <row r="20" spans="2:31">
      <c r="B20" s="89"/>
      <c r="C20" s="16"/>
      <c r="D20" s="16"/>
      <c r="E20" s="16"/>
      <c r="F20" s="16"/>
      <c r="G20" s="16"/>
      <c r="H20" s="16"/>
      <c r="I20" s="16"/>
      <c r="J20" s="16"/>
      <c r="K20" s="16"/>
      <c r="L20" s="16"/>
      <c r="M20" s="16"/>
      <c r="N20" s="16"/>
      <c r="O20" s="16"/>
      <c r="P20" s="16"/>
      <c r="Q20" s="76"/>
      <c r="R20" s="36"/>
      <c r="S20" s="157"/>
      <c r="T20" s="16"/>
      <c r="U20" s="16"/>
      <c r="V20" s="16"/>
      <c r="W20" s="16"/>
      <c r="X20" s="69"/>
      <c r="Y20"/>
    </row>
    <row r="21" spans="2:31">
      <c r="B21" s="89"/>
      <c r="C21" s="16"/>
      <c r="D21" s="16"/>
      <c r="E21" s="16"/>
      <c r="F21" s="16"/>
      <c r="G21" s="16"/>
      <c r="H21" s="16"/>
      <c r="I21" s="16"/>
      <c r="J21" s="16"/>
      <c r="K21" s="16"/>
      <c r="L21" s="16"/>
      <c r="M21" s="16"/>
      <c r="N21" s="16"/>
      <c r="O21" s="16"/>
      <c r="P21" s="16"/>
      <c r="Q21" s="76"/>
      <c r="R21" s="36"/>
      <c r="S21" s="157"/>
      <c r="T21" s="16"/>
      <c r="U21" s="16"/>
      <c r="V21" s="16"/>
      <c r="W21" s="16"/>
      <c r="X21" s="69"/>
      <c r="Y21"/>
    </row>
    <row r="22" spans="2:31">
      <c r="B22" s="93" t="s">
        <v>68</v>
      </c>
      <c r="C22" s="90"/>
      <c r="D22" s="90"/>
      <c r="E22" s="90"/>
      <c r="F22" s="90"/>
      <c r="G22" s="90"/>
      <c r="H22" s="90"/>
      <c r="I22" s="90"/>
      <c r="J22" s="90"/>
      <c r="K22" s="90"/>
      <c r="L22" s="90"/>
      <c r="M22" s="90"/>
      <c r="N22" s="90"/>
      <c r="O22" s="90"/>
      <c r="P22" s="90"/>
      <c r="Q22" s="90"/>
      <c r="R22" s="90"/>
      <c r="S22" s="90"/>
      <c r="T22" s="90"/>
      <c r="U22" s="90"/>
      <c r="V22" s="90"/>
      <c r="W22" s="90"/>
      <c r="X22" s="72"/>
      <c r="Y22"/>
    </row>
    <row r="23" spans="2:31">
      <c r="B23" s="94"/>
      <c r="C23" s="21"/>
      <c r="D23" s="21"/>
      <c r="E23" s="21"/>
      <c r="F23" s="21"/>
      <c r="G23" s="21"/>
      <c r="H23" s="21"/>
      <c r="I23" s="95"/>
      <c r="J23" s="95" t="s">
        <v>93</v>
      </c>
      <c r="K23" s="95" t="s">
        <v>93</v>
      </c>
      <c r="L23" s="21"/>
      <c r="M23" s="21"/>
      <c r="N23" s="21"/>
      <c r="O23" s="16"/>
      <c r="P23" s="96" t="s">
        <v>73</v>
      </c>
      <c r="Q23" s="96"/>
      <c r="R23" s="96"/>
      <c r="S23" s="96"/>
      <c r="T23" s="97" t="s">
        <v>105</v>
      </c>
      <c r="U23" s="97"/>
      <c r="V23" s="97"/>
      <c r="W23" s="114" t="s">
        <v>88</v>
      </c>
      <c r="X23" s="115"/>
      <c r="Y23"/>
    </row>
    <row r="24" spans="2:31">
      <c r="B24" s="89"/>
      <c r="C24" s="16"/>
      <c r="D24" s="16"/>
      <c r="E24" s="111" t="s">
        <v>69</v>
      </c>
      <c r="F24" s="111" t="s">
        <v>70</v>
      </c>
      <c r="G24" s="111" t="s">
        <v>71</v>
      </c>
      <c r="H24" s="111" t="s">
        <v>72</v>
      </c>
      <c r="I24" s="111" t="s">
        <v>226</v>
      </c>
      <c r="J24" s="111" t="s">
        <v>86</v>
      </c>
      <c r="K24" s="111" t="s">
        <v>133</v>
      </c>
      <c r="L24" s="16"/>
      <c r="M24" s="60"/>
      <c r="N24" s="60"/>
      <c r="O24" s="98" t="s">
        <v>78</v>
      </c>
      <c r="P24" s="98" t="s">
        <v>74</v>
      </c>
      <c r="Q24" s="98" t="s">
        <v>75</v>
      </c>
      <c r="R24" s="98" t="s">
        <v>76</v>
      </c>
      <c r="S24" s="98" t="s">
        <v>77</v>
      </c>
      <c r="T24" s="98" t="s">
        <v>79</v>
      </c>
      <c r="U24" s="98" t="s">
        <v>80</v>
      </c>
      <c r="V24" s="98" t="s">
        <v>106</v>
      </c>
      <c r="W24" s="167" t="s">
        <v>138</v>
      </c>
      <c r="X24" s="168" t="s">
        <v>139</v>
      </c>
      <c r="Y24"/>
      <c r="AB24" s="63">
        <v>45292</v>
      </c>
      <c r="AC24" s="63">
        <f ca="1">TODAY()-30</f>
        <v>45431</v>
      </c>
      <c r="AD24" s="63">
        <f ca="1">TODAY()-90</f>
        <v>45371</v>
      </c>
      <c r="AE24" s="63">
        <f ca="1">TODAY()-365</f>
        <v>45096</v>
      </c>
    </row>
    <row r="25" spans="2:31">
      <c r="B25" s="46" t="s">
        <v>116</v>
      </c>
      <c r="C25" s="16"/>
      <c r="D25" s="16"/>
      <c r="E25" s="165">
        <f>'Model Shell'!K9</f>
        <v>2838.3989999999999</v>
      </c>
      <c r="F25" s="165">
        <f>'Model Shell'!L9</f>
        <v>2171.4079999999999</v>
      </c>
      <c r="G25" s="165">
        <f>'Model Shell'!M9</f>
        <v>2246.66</v>
      </c>
      <c r="H25" s="165">
        <f>'Model Shell'!N9</f>
        <v>2784.7539999999999</v>
      </c>
      <c r="I25" s="165">
        <f>'Model Shell'!O9</f>
        <v>3091.6400000000003</v>
      </c>
      <c r="J25" s="195">
        <f>_xll.BQL("KEX US EQUITY", "IS_COMP_SALES/1M", "FPR=2024Y", "FPT=A", "FA_ACT_EST_DATA=E", "ACT_EST_MAPPING=PRECISE", "FS=MRC", "CURRENCY=USD", "XLFILL=b")</f>
        <v>3287.375</v>
      </c>
      <c r="K25" s="195">
        <f>_xll.BQL("KEX US EQUITY", "IS_COMP_SALES/1M", "FPR=2025Y", "FPT=A", "FA_ACT_EST_DATA=E", "ACT_EST_MAPPING=PRECISE", "FS=MRC", "CURRENCY=USD", "XLFILL=b")</f>
        <v>3484.75</v>
      </c>
      <c r="L25" s="16"/>
      <c r="M25" s="36" t="s">
        <v>176</v>
      </c>
      <c r="N25" s="36"/>
      <c r="O25" s="71">
        <f>$S$6</f>
        <v>118.7</v>
      </c>
      <c r="P25" s="99">
        <f>$O25/AB25-1</f>
        <v>0.51248725790010186</v>
      </c>
      <c r="Q25" s="99">
        <f ca="1">$O25/AC25-1</f>
        <v>9.6112953984861527E-3</v>
      </c>
      <c r="R25" s="99">
        <f ca="1">$O25/AD25-1</f>
        <v>0.3038224956063269</v>
      </c>
      <c r="S25" s="99">
        <f ca="1">$O25/AE25-1</f>
        <v>0.59221998658618391</v>
      </c>
      <c r="T25" s="99">
        <f>_xll.BDP($M25,"Dividend_yield")/100</f>
        <v>0</v>
      </c>
      <c r="U25" s="99">
        <f ca="1">S25+T25</f>
        <v>0.59221998658618391</v>
      </c>
      <c r="V25" s="100">
        <f ca="1">S8/J29</f>
        <v>1.4467679882525697</v>
      </c>
      <c r="W25" s="100">
        <f ca="1">S12</f>
        <v>14.722067884982412</v>
      </c>
      <c r="X25" s="169">
        <f ca="1">S13</f>
        <v>11.700671512481644</v>
      </c>
      <c r="Y25"/>
      <c r="AB25">
        <f>_xll.BDH($M25,"PX LAST", AB$24,AB$24,"days=a","fill=p")</f>
        <v>78.48</v>
      </c>
      <c r="AC25">
        <f ca="1">_xll.BDH($M25,"PX LAST", AC$24,AC$24,"days=a","fill=p")</f>
        <v>117.57</v>
      </c>
      <c r="AD25">
        <f ca="1">_xll.BDH($M25,"PX LAST", AD$24,AD$24,"days=a","fill=p")</f>
        <v>91.04</v>
      </c>
      <c r="AE25">
        <f ca="1">_xll.BDH($M25,"PX LAST", AE$24,AE$24,"days=a","fill=p")</f>
        <v>74.55</v>
      </c>
    </row>
    <row r="26" spans="2:31">
      <c r="B26" s="49"/>
      <c r="C26" s="41" t="s">
        <v>127</v>
      </c>
      <c r="D26" s="16"/>
      <c r="E26" s="39"/>
      <c r="F26" s="105">
        <f t="shared" ref="F26:I26" si="0">F25/E25-1</f>
        <v>-0.23498845652073586</v>
      </c>
      <c r="G26" s="105">
        <f t="shared" si="0"/>
        <v>3.4655854634412231E-2</v>
      </c>
      <c r="H26" s="105">
        <f t="shared" si="0"/>
        <v>0.23950842584102627</v>
      </c>
      <c r="I26" s="105">
        <f t="shared" si="0"/>
        <v>0.11020219380239715</v>
      </c>
      <c r="J26" s="105">
        <f>J25/I25-1</f>
        <v>6.3311058208588289E-2</v>
      </c>
      <c r="K26" s="105">
        <f>K25/J25-1</f>
        <v>6.004030571504626E-2</v>
      </c>
      <c r="L26" s="16"/>
      <c r="M26" s="36"/>
      <c r="N26" s="16"/>
      <c r="O26" s="16"/>
      <c r="P26" s="99"/>
      <c r="Q26" s="99"/>
      <c r="R26" s="99"/>
      <c r="S26" s="99"/>
      <c r="T26" s="99"/>
      <c r="U26" s="99"/>
      <c r="V26" s="25"/>
      <c r="W26" s="16"/>
      <c r="X26" s="73"/>
      <c r="Y26"/>
    </row>
    <row r="27" spans="2:31">
      <c r="B27" s="94" t="s">
        <v>148</v>
      </c>
      <c r="E27" s="165">
        <f>'Model Shell'!K20</f>
        <v>269.39999999999964</v>
      </c>
      <c r="F27" s="165">
        <f>'Model Shell'!L20</f>
        <v>140.39399999999978</v>
      </c>
      <c r="G27" s="165">
        <f>'Model Shell'!M20</f>
        <v>76.818999999999846</v>
      </c>
      <c r="H27" s="165">
        <f>'Model Shell'!N20</f>
        <v>185.90700000000004</v>
      </c>
      <c r="I27" s="165">
        <f>'Model Shell'!O20</f>
        <v>330.08300000000031</v>
      </c>
      <c r="J27" s="7">
        <f t="shared" ref="J27:K27" si="1">J29-J28</f>
        <v>452.8260194134549</v>
      </c>
      <c r="K27" s="7">
        <f t="shared" si="1"/>
        <v>541.55994222492632</v>
      </c>
      <c r="L27" s="16"/>
      <c r="M27" s="36" t="s">
        <v>239</v>
      </c>
      <c r="N27" s="36"/>
      <c r="O27" s="71">
        <f>_xll.BDP($M27,"Last Price")</f>
        <v>65.319999999999993</v>
      </c>
      <c r="P27" s="99">
        <f t="shared" ref="P27:S29" si="2">$O27/AB27-1</f>
        <v>0.35563672588411088</v>
      </c>
      <c r="Q27" s="99">
        <f t="shared" ca="1" si="2"/>
        <v>-6.1224489795918435E-2</v>
      </c>
      <c r="R27" s="99">
        <f t="shared" ca="1" si="2"/>
        <v>0.18489172353493899</v>
      </c>
      <c r="S27" s="99">
        <f t="shared" ca="1" si="2"/>
        <v>0.8068806413153824</v>
      </c>
      <c r="T27" s="99">
        <f>_xll.BDP($M27,"Dividend_yield")/100</f>
        <v>2.6791181999020513E-2</v>
      </c>
      <c r="U27" s="99">
        <f t="shared" ref="U27:U28" ca="1" si="3">S27+T27</f>
        <v>0.83367182331440293</v>
      </c>
      <c r="V27" s="278">
        <v>-0.7</v>
      </c>
      <c r="W27" s="278">
        <v>3</v>
      </c>
      <c r="X27" s="334">
        <v>3.4</v>
      </c>
      <c r="Y27"/>
      <c r="AB27">
        <f>_xll.BDH($M27,"PX LAST", AB$24,AB$24,"days=a","fill=p")</f>
        <v>48.183999999999997</v>
      </c>
      <c r="AC27">
        <f ca="1">_xll.BDH($M27,"PX LAST", AC$24,AC$24,"days=a","fill=p")</f>
        <v>69.58</v>
      </c>
      <c r="AD27">
        <f ca="1">_xll.BDH($M27,"PX LAST", AD$24,AD$24,"days=a","fill=p")</f>
        <v>55.127400000000002</v>
      </c>
      <c r="AE27">
        <f ca="1">_xll.BDH($M27,"PX LAST", AE$24,AE$24,"days=a","fill=p")</f>
        <v>36.150700000000001</v>
      </c>
    </row>
    <row r="28" spans="2:31">
      <c r="B28" s="101" t="s">
        <v>121</v>
      </c>
      <c r="C28" s="8"/>
      <c r="D28" s="8"/>
      <c r="E28" s="38">
        <f>'Model Shell'!K22</f>
        <v>219.63200000000001</v>
      </c>
      <c r="F28" s="38">
        <f>'Model Shell'!L22</f>
        <v>219.92399999999998</v>
      </c>
      <c r="G28" s="38">
        <f>'Model Shell'!M22</f>
        <v>213.71799999999999</v>
      </c>
      <c r="H28" s="38">
        <f>'Model Shell'!N22</f>
        <v>201.44299999999998</v>
      </c>
      <c r="I28" s="38">
        <f>'Model Shell'!O22</f>
        <v>211.15600000000001</v>
      </c>
      <c r="J28" s="64">
        <f>_xll.BQL("KEX US Equity", "IS_D_AND_A_GAAP/1M", "FPR=2024Y", "FPT=A", "FA_ACT_EST_DATA=E", "ACT_EST_MAPPING=PRECISE", "FS=MRC", "CURRENCY=USD", "XLFILL=b")</f>
        <v>228.17398058654507</v>
      </c>
      <c r="K28" s="64">
        <f>_xll.BQL("KEX US Equity", "IS_D_AND_A_GAAP/1M", "FPR=2025Y", "FPT=A", "FA_ACT_EST_DATA=E", "ACT_EST_MAPPING=PRECISE", "FS=MRC", "CURRENCY=USD", "XLFILL=b")</f>
        <v>234.06505777507371</v>
      </c>
      <c r="L28" s="16"/>
      <c r="M28" s="36" t="s">
        <v>241</v>
      </c>
      <c r="N28" s="36"/>
      <c r="O28" s="71">
        <f>_xll.BDP($M28,"Last Price")</f>
        <v>120.63</v>
      </c>
      <c r="P28" s="99">
        <f t="shared" si="2"/>
        <v>0.1068973016224033</v>
      </c>
      <c r="Q28" s="99">
        <f t="shared" ca="1" si="2"/>
        <v>3.7409700722394135E-2</v>
      </c>
      <c r="R28" s="99">
        <f t="shared" ca="1" si="2"/>
        <v>0.15611202105402366</v>
      </c>
      <c r="S28" s="99">
        <f t="shared" ca="1" si="2"/>
        <v>0.66209909764677199</v>
      </c>
      <c r="T28" s="99">
        <f>_xll.BDP($M28,"Dividend_yield")/100</f>
        <v>1.0610959372824922E-2</v>
      </c>
      <c r="U28" s="99">
        <f t="shared" ca="1" si="3"/>
        <v>0.67271005701959696</v>
      </c>
      <c r="V28" s="278">
        <v>0.7</v>
      </c>
      <c r="W28" s="278">
        <v>8.6999999999999993</v>
      </c>
      <c r="X28" s="334">
        <v>8.5</v>
      </c>
      <c r="Y28"/>
      <c r="AB28">
        <f>_xll.BDH($M28,"PX LAST", AB$24,AB$24,"days=a","fill=p")</f>
        <v>108.9803</v>
      </c>
      <c r="AC28">
        <f ca="1">_xll.BDH($M28,"PX LAST", AC$24,AC$24,"days=a","fill=p")</f>
        <v>116.28</v>
      </c>
      <c r="AD28">
        <f ca="1">_xll.BDH($M28,"PX LAST", AD$24,AD$24,"days=a","fill=p")</f>
        <v>104.3411</v>
      </c>
      <c r="AE28">
        <f ca="1">_xll.BDH($M28,"PX LAST", AE$24,AE$24,"days=a","fill=p")</f>
        <v>72.576899999999995</v>
      </c>
    </row>
    <row r="29" spans="2:31">
      <c r="B29" s="94" t="s">
        <v>149</v>
      </c>
      <c r="C29" s="16"/>
      <c r="D29" s="16"/>
      <c r="E29" s="34">
        <f t="shared" ref="E29:I29" si="4">SUM(E27:E28)</f>
        <v>489.03199999999964</v>
      </c>
      <c r="F29" s="34">
        <f t="shared" si="4"/>
        <v>360.31799999999976</v>
      </c>
      <c r="G29" s="34">
        <f t="shared" si="4"/>
        <v>290.53699999999981</v>
      </c>
      <c r="H29" s="34">
        <f t="shared" si="4"/>
        <v>387.35</v>
      </c>
      <c r="I29" s="34">
        <f t="shared" si="4"/>
        <v>541.23900000000026</v>
      </c>
      <c r="J29" s="195">
        <f>_xll.BQL("KEX US Equity", "IS_COMPARABLE_EBITDA/1M", "FPR=2024Y", "FPT=A", "FA_ACT_EST_DATA=E", "ACT_EST_MAPPING=PRECISE", "FS=MRC", "CURRENCY=USD", "XLFILL=b")</f>
        <v>681</v>
      </c>
      <c r="K29" s="195">
        <f>_xll.BQL("KEX US Equity", "IS_COMPARABLE_EBITDA/1M", "FPR=2025Y", "FPT=A", "FA_ACT_EST_DATA=E", "ACT_EST_MAPPING=PRECISE", "FS=MRC", "CURRENCY=USD", "XLFILL=b")</f>
        <v>775.625</v>
      </c>
      <c r="L29" s="16"/>
      <c r="M29" s="40" t="s">
        <v>240</v>
      </c>
      <c r="N29" s="22"/>
      <c r="O29" s="264">
        <f>_xll.BDP($M29,"Last Price")</f>
        <v>78.41</v>
      </c>
      <c r="P29" s="70">
        <f t="shared" si="2"/>
        <v>0.30388654973094131</v>
      </c>
      <c r="Q29" s="70">
        <f t="shared" ca="1" si="2"/>
        <v>-3.5232886488215764E-2</v>
      </c>
      <c r="R29" s="70">
        <f t="shared" ca="1" si="2"/>
        <v>9.127398339359627E-2</v>
      </c>
      <c r="S29" s="70">
        <f t="shared" ca="1" si="2"/>
        <v>0.73930596346148714</v>
      </c>
      <c r="T29" s="70">
        <f>_xll.BDP($M29,"Dividend_yield")/100</f>
        <v>1.5941843407973801E-2</v>
      </c>
      <c r="U29" s="70">
        <f t="shared" ref="U29" ca="1" si="5">S29+T29</f>
        <v>0.75524780686946091</v>
      </c>
      <c r="V29" s="279">
        <v>1.7</v>
      </c>
      <c r="W29" s="279">
        <v>5.4</v>
      </c>
      <c r="X29" s="335">
        <v>5.2</v>
      </c>
      <c r="Y29"/>
      <c r="AB29">
        <f>_xll.BDH($M29,"PX LAST", AB$24,AB$24,"days=a","fill=p")</f>
        <v>60.135599999999997</v>
      </c>
      <c r="AC29">
        <f ca="1">_xll.BDH($M29,"PX LAST", AC$24,AC$24,"days=a","fill=p")</f>
        <v>81.273499999999999</v>
      </c>
      <c r="AD29">
        <f ca="1">_xll.BDH($M29,"PX LAST", AD$24,AD$24,"days=a","fill=p")</f>
        <v>71.851799999999997</v>
      </c>
      <c r="AE29">
        <f ca="1">_xll.BDH($M29,"PX LAST", AE$24,AE$24,"days=a","fill=p")</f>
        <v>45.081200000000003</v>
      </c>
    </row>
    <row r="30" spans="2:31">
      <c r="B30" s="94"/>
      <c r="C30" s="41" t="s">
        <v>123</v>
      </c>
      <c r="D30" s="16"/>
      <c r="E30" s="105">
        <f t="shared" ref="E30:G30" si="6">E29/E25</f>
        <v>0.17229149249277487</v>
      </c>
      <c r="F30" s="105">
        <f t="shared" si="6"/>
        <v>0.16593749309203973</v>
      </c>
      <c r="G30" s="105">
        <f t="shared" si="6"/>
        <v>0.12931952320333287</v>
      </c>
      <c r="H30" s="105">
        <f>H29/H25</f>
        <v>0.13909666706646262</v>
      </c>
      <c r="I30" s="105">
        <f>I29/I25</f>
        <v>0.17506533749078165</v>
      </c>
      <c r="J30" s="105">
        <f>J29/J25</f>
        <v>0.20715616563367428</v>
      </c>
      <c r="K30" s="105">
        <f>K29/K25</f>
        <v>0.22257694239185019</v>
      </c>
      <c r="L30" s="16"/>
      <c r="M30" s="21" t="s">
        <v>82</v>
      </c>
      <c r="N30" s="16"/>
      <c r="O30" s="16"/>
      <c r="P30" s="102">
        <f>AVERAGE(P27:P29)</f>
        <v>0.2554735257458185</v>
      </c>
      <c r="Q30" s="102">
        <f t="shared" ref="Q30:S30" ca="1" si="7">AVERAGE(Q27:Q29)</f>
        <v>-1.9682558520580023E-2</v>
      </c>
      <c r="R30" s="102">
        <f t="shared" ca="1" si="7"/>
        <v>0.14409257599418632</v>
      </c>
      <c r="S30" s="102">
        <f t="shared" ca="1" si="7"/>
        <v>0.73609523414121381</v>
      </c>
      <c r="T30" s="102">
        <f t="shared" ref="T30" si="8">AVERAGE(T27:T29)</f>
        <v>1.7781328259939746E-2</v>
      </c>
      <c r="U30" s="102">
        <f t="shared" ref="U30" ca="1" si="9">AVERAGE(U27:U29)</f>
        <v>0.75387656240115364</v>
      </c>
      <c r="V30" s="103">
        <f>AVERAGE(V27:V29)</f>
        <v>0.56666666666666665</v>
      </c>
      <c r="W30" s="103">
        <f>AVERAGE(W27:W29)</f>
        <v>5.7</v>
      </c>
      <c r="X30" s="173">
        <f>AVERAGE(X27:X29)</f>
        <v>5.7</v>
      </c>
      <c r="Y30"/>
    </row>
    <row r="31" spans="2:31">
      <c r="B31" s="50"/>
      <c r="C31" s="41" t="s">
        <v>127</v>
      </c>
      <c r="D31" s="16"/>
      <c r="E31" s="34"/>
      <c r="F31" s="105">
        <f t="shared" ref="F31:I31" si="10">F29/E29-1</f>
        <v>-0.26320159007999477</v>
      </c>
      <c r="G31" s="105">
        <f t="shared" si="10"/>
        <v>-0.19366504032549026</v>
      </c>
      <c r="H31" s="105">
        <f t="shared" si="10"/>
        <v>0.33322089785466313</v>
      </c>
      <c r="I31" s="105">
        <f t="shared" si="10"/>
        <v>0.39728669162256414</v>
      </c>
      <c r="J31" s="105">
        <f>J29/I29-1</f>
        <v>0.25822418561855232</v>
      </c>
      <c r="K31" s="105">
        <f>K29/J29-1</f>
        <v>0.13895007342143906</v>
      </c>
      <c r="L31" s="16"/>
      <c r="M31" s="16"/>
      <c r="N31" s="16"/>
      <c r="O31" s="16"/>
      <c r="P31" s="16"/>
      <c r="Q31" s="16"/>
      <c r="R31" s="16"/>
      <c r="S31" s="16"/>
      <c r="T31" s="16"/>
      <c r="U31" s="16"/>
      <c r="V31" s="16"/>
      <c r="W31" s="16"/>
      <c r="X31" s="45"/>
      <c r="Y31"/>
    </row>
    <row r="32" spans="2:31">
      <c r="B32" s="94"/>
      <c r="C32" s="76"/>
      <c r="D32" s="36"/>
      <c r="E32" s="196"/>
      <c r="F32" s="196"/>
      <c r="G32" s="196"/>
      <c r="H32" s="196"/>
      <c r="I32" s="258"/>
      <c r="J32" s="258"/>
      <c r="K32" s="258"/>
      <c r="L32" s="16" t="s">
        <v>173</v>
      </c>
      <c r="M32" s="16" t="s">
        <v>125</v>
      </c>
      <c r="N32" s="16"/>
      <c r="O32" s="16"/>
      <c r="P32" s="16"/>
      <c r="Q32" s="16"/>
      <c r="R32" s="16"/>
      <c r="S32" s="16"/>
      <c r="T32" s="16"/>
      <c r="U32" s="16"/>
      <c r="V32" s="16"/>
      <c r="W32" s="16"/>
      <c r="X32" s="45"/>
      <c r="Y32"/>
    </row>
    <row r="33" spans="2:25">
      <c r="B33" s="46" t="s">
        <v>134</v>
      </c>
      <c r="C33" s="41"/>
      <c r="D33" s="16"/>
      <c r="E33" s="165">
        <f>'Model Shell'!K150</f>
        <v>377.07199999999995</v>
      </c>
      <c r="F33" s="165">
        <f>'Model Shell'!L150</f>
        <v>362.786</v>
      </c>
      <c r="G33" s="165">
        <f>'Model Shell'!M150</f>
        <v>315.78100000000001</v>
      </c>
      <c r="H33" s="165">
        <f>'Model Shell'!N150</f>
        <v>201.24299999999997</v>
      </c>
      <c r="I33" s="165">
        <f>'Model Shell'!O150</f>
        <v>213.96299999999997</v>
      </c>
      <c r="J33" s="165">
        <f>J29*(1-$L$33)-$M$33</f>
        <v>336.94999999999993</v>
      </c>
      <c r="K33" s="165">
        <f>K29*(1-$L$33)-$M$33</f>
        <v>426.84375</v>
      </c>
      <c r="L33" s="223">
        <v>0.05</v>
      </c>
      <c r="M33" s="231">
        <v>310</v>
      </c>
      <c r="N33" s="16"/>
      <c r="O33" s="16"/>
      <c r="P33" s="16"/>
      <c r="Q33" s="16"/>
      <c r="R33" s="16"/>
      <c r="S33" s="16"/>
      <c r="T33" s="16"/>
      <c r="U33" s="16"/>
      <c r="V33" s="16"/>
      <c r="W33" s="16"/>
      <c r="X33" s="45"/>
      <c r="Y33"/>
    </row>
    <row r="34" spans="2:25">
      <c r="B34" s="163" t="s">
        <v>51</v>
      </c>
      <c r="C34" s="8"/>
      <c r="D34" s="8"/>
      <c r="E34" s="38">
        <f>'Model Shell'!K122</f>
        <v>-55.765999999999998</v>
      </c>
      <c r="F34" s="38">
        <f>'Model Shell'!L122</f>
        <v>-48.720999999999997</v>
      </c>
      <c r="G34" s="38">
        <f>'Model Shell'!M122</f>
        <v>-40.878</v>
      </c>
      <c r="H34" s="38">
        <f>'Model Shell'!N122</f>
        <v>-42.816000000000003</v>
      </c>
      <c r="I34" s="38">
        <f>'Model Shell'!O122</f>
        <v>-49.317</v>
      </c>
      <c r="J34" s="225">
        <f>-50</f>
        <v>-50</v>
      </c>
      <c r="K34" s="225">
        <f>-50</f>
        <v>-50</v>
      </c>
      <c r="L34" s="16"/>
      <c r="R34" s="16"/>
      <c r="S34" s="16"/>
      <c r="T34" s="16"/>
      <c r="U34" s="16"/>
      <c r="V34" s="16"/>
      <c r="W34" s="16"/>
      <c r="X34" s="45"/>
      <c r="Y34"/>
    </row>
    <row r="35" spans="2:25">
      <c r="B35" s="46" t="s">
        <v>135</v>
      </c>
      <c r="E35" s="7">
        <f t="shared" ref="E35:H35" si="11">SUM(E33:E34)</f>
        <v>321.30599999999993</v>
      </c>
      <c r="F35" s="7">
        <f t="shared" si="11"/>
        <v>314.065</v>
      </c>
      <c r="G35" s="7">
        <f t="shared" si="11"/>
        <v>274.90300000000002</v>
      </c>
      <c r="H35" s="7">
        <f t="shared" si="11"/>
        <v>158.42699999999996</v>
      </c>
      <c r="I35" s="7">
        <f>SUM(I33:I34)</f>
        <v>164.64599999999996</v>
      </c>
      <c r="J35" s="7">
        <f>SUM(J33:J34)</f>
        <v>286.94999999999993</v>
      </c>
      <c r="K35" s="7">
        <f>SUM(K33:K34)</f>
        <v>376.84375</v>
      </c>
      <c r="L35" s="16"/>
      <c r="R35" s="16"/>
      <c r="S35" s="16"/>
      <c r="T35" s="16"/>
      <c r="U35" s="16"/>
      <c r="V35" s="16"/>
      <c r="W35" s="16"/>
      <c r="X35" s="45"/>
      <c r="Y35"/>
    </row>
    <row r="36" spans="2:25" ht="15.75" thickBot="1">
      <c r="B36" s="106" t="s">
        <v>136</v>
      </c>
      <c r="C36" s="41"/>
      <c r="D36" s="16"/>
      <c r="E36" s="105">
        <f t="shared" ref="E36:H36" ca="1" si="12">E33/$S$10</f>
        <v>4.7322358959956769E-2</v>
      </c>
      <c r="F36" s="105">
        <f t="shared" ca="1" si="12"/>
        <v>4.5529472667413334E-2</v>
      </c>
      <c r="G36" s="105">
        <f t="shared" ca="1" si="12"/>
        <v>3.9630367236851614E-2</v>
      </c>
      <c r="H36" s="105">
        <f t="shared" ca="1" si="12"/>
        <v>2.5255902013882177E-2</v>
      </c>
      <c r="I36" s="105">
        <f ca="1">I33/$S$10</f>
        <v>2.6852256041682305E-2</v>
      </c>
      <c r="J36" s="105">
        <f ca="1">J33/$S$10</f>
        <v>4.2287066797740039E-2</v>
      </c>
      <c r="K36" s="105">
        <f ca="1">K33/$S$10</f>
        <v>5.3568690216494595E-2</v>
      </c>
      <c r="L36" s="16"/>
      <c r="M36" s="110" t="s">
        <v>108</v>
      </c>
      <c r="N36" s="16"/>
      <c r="O36" s="16"/>
      <c r="P36" s="16"/>
      <c r="Q36" s="16"/>
      <c r="R36" s="16"/>
      <c r="S36" s="16"/>
      <c r="T36" s="16"/>
      <c r="U36" s="16"/>
      <c r="V36" s="16"/>
      <c r="W36" s="16"/>
      <c r="X36" s="45"/>
      <c r="Y36"/>
    </row>
    <row r="37" spans="2:25">
      <c r="B37" s="106" t="s">
        <v>137</v>
      </c>
      <c r="C37" s="41"/>
      <c r="D37" s="16"/>
      <c r="E37" s="105">
        <f t="shared" ref="E37:H37" ca="1" si="13">E35/$S$7</f>
        <v>4.6020409620403435E-2</v>
      </c>
      <c r="F37" s="105">
        <f t="shared" ca="1" si="13"/>
        <v>4.4983286796486867E-2</v>
      </c>
      <c r="G37" s="105">
        <f t="shared" ca="1" si="13"/>
        <v>3.9374143856254692E-2</v>
      </c>
      <c r="H37" s="105">
        <f t="shared" ca="1" si="13"/>
        <v>2.2691376553602035E-2</v>
      </c>
      <c r="I37" s="105">
        <f ca="1">I35/$S$7</f>
        <v>2.3582119108765301E-2</v>
      </c>
      <c r="J37" s="105">
        <f ca="1">J35/$S$7</f>
        <v>4.1099626339298881E-2</v>
      </c>
      <c r="K37" s="105">
        <f ca="1">K35/$S$7</f>
        <v>5.3975038554801069E-2</v>
      </c>
      <c r="L37" s="16"/>
      <c r="M37" s="79">
        <f ca="1">E112</f>
        <v>-8.0834852934178247E-2</v>
      </c>
      <c r="N37" s="80">
        <f ca="1">F112</f>
        <v>0.13690599224695688</v>
      </c>
      <c r="O37" s="80">
        <f ca="1">G112</f>
        <v>-0.3101943652391973</v>
      </c>
      <c r="P37" s="83">
        <f ca="1">M37*0.5+N37*0.25+O37*0.25</f>
        <v>-8.373951971514923E-2</v>
      </c>
      <c r="Q37" s="16" t="s">
        <v>103</v>
      </c>
      <c r="R37" s="16"/>
      <c r="S37" s="16"/>
      <c r="T37" s="16"/>
      <c r="U37" s="16"/>
      <c r="V37" s="16"/>
      <c r="W37" s="16"/>
      <c r="X37" s="45"/>
      <c r="Y37"/>
    </row>
    <row r="38" spans="2:25" ht="15.75" thickBot="1">
      <c r="B38" s="46" t="s">
        <v>88</v>
      </c>
      <c r="E38" s="103"/>
      <c r="F38" s="103"/>
      <c r="G38" s="103">
        <f t="shared" ref="G38:I38" ca="1" si="14">$S$10/G29</f>
        <v>27.425619800576193</v>
      </c>
      <c r="H38" s="103">
        <f t="shared" ca="1" si="14"/>
        <v>20.570949528849876</v>
      </c>
      <c r="I38" s="103">
        <f t="shared" ca="1" si="14"/>
        <v>14.722067884982412</v>
      </c>
      <c r="J38" s="103">
        <f ca="1">$S$10/J29</f>
        <v>11.700671512481644</v>
      </c>
      <c r="K38" s="103">
        <f ca="1">$S$10/K29</f>
        <v>10.273208444802579</v>
      </c>
      <c r="M38" s="81" t="s">
        <v>94</v>
      </c>
      <c r="N38" s="82" t="s">
        <v>101</v>
      </c>
      <c r="O38" s="82" t="s">
        <v>102</v>
      </c>
      <c r="P38" s="84">
        <f ca="1">P37/-O37</f>
        <v>-0.26995822329195424</v>
      </c>
      <c r="Q38" s="16" t="s">
        <v>109</v>
      </c>
      <c r="R38" s="16"/>
      <c r="S38" s="16"/>
      <c r="T38" s="16"/>
      <c r="U38" s="16"/>
      <c r="V38" s="16"/>
      <c r="W38" s="16"/>
      <c r="X38" s="45"/>
      <c r="Y38"/>
    </row>
    <row r="39" spans="2:25">
      <c r="B39" s="106" t="s">
        <v>59</v>
      </c>
      <c r="C39" s="16"/>
      <c r="D39" s="16"/>
      <c r="E39" s="107">
        <f>'Model Shell'!K42</f>
        <v>59.75</v>
      </c>
      <c r="F39" s="107">
        <f>'Model Shell'!L42</f>
        <v>59.911999999999999</v>
      </c>
      <c r="G39" s="107">
        <f>'Model Shell'!M42</f>
        <v>60.052999999999997</v>
      </c>
      <c r="H39" s="107">
        <f>'Model Shell'!N42</f>
        <v>60.329000000000001</v>
      </c>
      <c r="I39" s="107">
        <f>'Model Shell'!O42</f>
        <v>59.856999999999999</v>
      </c>
      <c r="J39" s="164">
        <f t="shared" ref="J39:K39" ca="1" si="15">$S$5</f>
        <v>58.819000000000003</v>
      </c>
      <c r="K39" s="164">
        <f t="shared" ca="1" si="15"/>
        <v>58.819000000000003</v>
      </c>
      <c r="M39" s="16"/>
      <c r="N39" s="16"/>
      <c r="O39" s="16"/>
      <c r="P39" s="16"/>
      <c r="Q39" s="16"/>
      <c r="R39" s="16"/>
      <c r="S39" s="16"/>
      <c r="T39" s="16"/>
      <c r="U39" s="16"/>
      <c r="V39" s="16"/>
      <c r="W39" s="16"/>
      <c r="X39" s="45"/>
      <c r="Y39"/>
    </row>
    <row r="40" spans="2:25">
      <c r="B40" s="89"/>
      <c r="C40" s="41"/>
      <c r="D40" s="16"/>
      <c r="E40" s="16"/>
      <c r="F40" s="16"/>
      <c r="G40" s="16"/>
      <c r="H40" s="16"/>
      <c r="I40" s="16"/>
      <c r="J40" s="16"/>
      <c r="K40" s="16"/>
      <c r="L40" s="16"/>
      <c r="M40" s="16"/>
      <c r="N40" s="16"/>
      <c r="O40" s="16"/>
      <c r="P40" s="16"/>
      <c r="Q40" s="16"/>
      <c r="R40" s="16"/>
      <c r="S40" s="16"/>
      <c r="T40" s="16"/>
      <c r="U40" s="16"/>
      <c r="V40" s="16"/>
      <c r="W40" s="16"/>
      <c r="X40" s="45"/>
      <c r="Y40"/>
    </row>
    <row r="41" spans="2:25">
      <c r="B41" s="93" t="s">
        <v>83</v>
      </c>
      <c r="C41" s="90"/>
      <c r="D41" s="90"/>
      <c r="E41" s="90"/>
      <c r="F41" s="90"/>
      <c r="G41" s="90"/>
      <c r="H41" s="90"/>
      <c r="I41" s="90"/>
      <c r="J41" s="90"/>
      <c r="K41" s="90"/>
      <c r="L41" s="90"/>
      <c r="M41" s="90"/>
      <c r="N41" s="90"/>
      <c r="O41" s="90"/>
      <c r="P41" s="90"/>
      <c r="Q41" s="90"/>
      <c r="R41" s="90"/>
      <c r="S41" s="90"/>
      <c r="T41" s="90"/>
      <c r="U41" s="90"/>
      <c r="V41" s="90"/>
      <c r="W41" s="90"/>
      <c r="X41" s="72"/>
      <c r="Y41"/>
    </row>
    <row r="42" spans="2:25">
      <c r="B42" s="108" t="s">
        <v>273</v>
      </c>
      <c r="C42" s="16"/>
      <c r="D42" s="16"/>
      <c r="E42" s="16"/>
      <c r="F42" s="16"/>
      <c r="G42" s="16"/>
      <c r="H42" s="16"/>
      <c r="I42" s="16"/>
      <c r="J42" s="16"/>
      <c r="K42" s="16"/>
      <c r="L42" s="16"/>
      <c r="M42" s="16"/>
      <c r="N42" s="16"/>
      <c r="O42" s="16"/>
      <c r="P42" s="16"/>
      <c r="Q42" s="16"/>
      <c r="R42" s="16"/>
      <c r="S42" s="16"/>
      <c r="T42" s="16"/>
      <c r="U42" s="16"/>
      <c r="V42" s="16"/>
      <c r="W42" s="16"/>
      <c r="X42" s="45"/>
      <c r="Y42"/>
    </row>
    <row r="43" spans="2:25">
      <c r="B43" s="233" t="s">
        <v>274</v>
      </c>
      <c r="C43" s="16"/>
      <c r="D43" s="16"/>
      <c r="E43" s="16"/>
      <c r="F43" s="16"/>
      <c r="G43" s="16"/>
      <c r="H43" s="16"/>
      <c r="I43" s="16"/>
      <c r="J43" s="16"/>
      <c r="K43" s="16"/>
      <c r="L43" s="16"/>
      <c r="M43" s="16"/>
      <c r="N43" s="16"/>
      <c r="O43" s="16"/>
      <c r="P43" s="16"/>
      <c r="Q43" s="16"/>
      <c r="R43" s="16"/>
      <c r="S43" s="16"/>
      <c r="T43" s="16"/>
      <c r="U43" s="16"/>
      <c r="V43" s="16"/>
      <c r="W43" s="16"/>
      <c r="X43" s="45"/>
      <c r="Y43"/>
    </row>
    <row r="44" spans="2:25">
      <c r="B44" s="233" t="s">
        <v>304</v>
      </c>
      <c r="C44" s="16"/>
      <c r="D44" s="16"/>
      <c r="E44" s="16"/>
      <c r="F44" s="16"/>
      <c r="G44" s="16"/>
      <c r="H44" s="16"/>
      <c r="I44" s="16"/>
      <c r="J44" s="16"/>
      <c r="K44" s="16"/>
      <c r="L44" s="16"/>
      <c r="M44" s="16"/>
      <c r="N44" s="16"/>
      <c r="O44" s="16"/>
      <c r="P44" s="16"/>
      <c r="Q44" s="16"/>
      <c r="R44" s="16"/>
      <c r="S44" s="16"/>
      <c r="T44" s="16"/>
      <c r="U44" s="16"/>
      <c r="V44" s="16"/>
      <c r="W44" s="16"/>
      <c r="X44" s="45"/>
      <c r="Y44"/>
    </row>
    <row r="45" spans="2:25">
      <c r="B45" s="233" t="s">
        <v>275</v>
      </c>
      <c r="C45" s="16"/>
      <c r="D45" s="16"/>
      <c r="E45" s="16"/>
      <c r="F45" s="16"/>
      <c r="G45" s="16"/>
      <c r="H45" s="16"/>
      <c r="I45" s="16"/>
      <c r="J45" s="16"/>
      <c r="K45" s="16"/>
      <c r="L45" s="16"/>
      <c r="M45" s="16"/>
      <c r="N45" s="16"/>
      <c r="O45" s="16"/>
      <c r="P45" s="16"/>
      <c r="Q45" s="16"/>
      <c r="R45" s="16"/>
      <c r="S45" s="16"/>
      <c r="T45" s="16"/>
      <c r="U45" s="16"/>
      <c r="V45" s="16"/>
      <c r="W45" s="16"/>
      <c r="X45" s="45"/>
      <c r="Y45"/>
    </row>
    <row r="46" spans="2:25">
      <c r="B46" s="233" t="s">
        <v>305</v>
      </c>
      <c r="C46" s="16"/>
      <c r="D46" s="16"/>
      <c r="E46" s="16"/>
      <c r="F46" s="16"/>
      <c r="G46" s="16"/>
      <c r="H46" s="16"/>
      <c r="I46" s="16"/>
      <c r="J46" s="16"/>
      <c r="K46" s="16"/>
      <c r="L46" s="16"/>
      <c r="M46" s="16"/>
      <c r="N46" s="16"/>
      <c r="O46" s="16"/>
      <c r="P46" s="16"/>
      <c r="Q46" s="16"/>
      <c r="R46" s="16"/>
      <c r="S46" s="16"/>
      <c r="T46" s="16"/>
      <c r="U46" s="16"/>
      <c r="V46" s="16"/>
      <c r="W46" s="16"/>
      <c r="X46" s="45"/>
      <c r="Y46"/>
    </row>
    <row r="47" spans="2:25">
      <c r="B47" s="233" t="s">
        <v>276</v>
      </c>
      <c r="C47" s="16"/>
      <c r="D47" s="16"/>
      <c r="E47" s="16"/>
      <c r="F47" s="16"/>
      <c r="G47" s="16"/>
      <c r="H47" s="16"/>
      <c r="I47" s="16"/>
      <c r="J47" s="16"/>
      <c r="K47" s="16"/>
      <c r="L47" s="16"/>
      <c r="M47" s="16"/>
      <c r="N47" s="16"/>
      <c r="O47" s="16"/>
      <c r="P47" s="16"/>
      <c r="Q47" s="16"/>
      <c r="R47" s="16"/>
      <c r="S47" s="16"/>
      <c r="T47" s="16"/>
      <c r="U47" s="16"/>
      <c r="V47" s="16"/>
      <c r="W47" s="16"/>
      <c r="X47" s="45"/>
      <c r="Y47"/>
    </row>
    <row r="48" spans="2:25">
      <c r="B48" s="89" t="s">
        <v>277</v>
      </c>
      <c r="C48" s="16"/>
      <c r="D48" s="16"/>
      <c r="E48" s="16"/>
      <c r="F48" s="16"/>
      <c r="G48" s="16"/>
      <c r="H48" s="16"/>
      <c r="I48" s="16"/>
      <c r="J48" s="16"/>
      <c r="K48" s="16"/>
      <c r="L48" s="16"/>
      <c r="M48" s="16"/>
      <c r="N48" s="16"/>
      <c r="O48" s="16"/>
      <c r="P48" s="16"/>
      <c r="Q48" s="16"/>
      <c r="R48" s="16"/>
      <c r="S48" s="16"/>
      <c r="T48" s="16"/>
      <c r="U48" s="16"/>
      <c r="V48" s="16"/>
      <c r="W48" s="16"/>
      <c r="X48" s="45"/>
      <c r="Y48"/>
    </row>
    <row r="49" spans="2:25">
      <c r="B49" s="89" t="s">
        <v>278</v>
      </c>
      <c r="C49" s="16"/>
      <c r="D49" s="16"/>
      <c r="E49" s="16"/>
      <c r="F49" s="16"/>
      <c r="G49" s="16"/>
      <c r="H49" s="16"/>
      <c r="I49" s="16"/>
      <c r="J49" s="16"/>
      <c r="K49" s="16"/>
      <c r="L49" s="16"/>
      <c r="M49" s="16"/>
      <c r="N49" s="16"/>
      <c r="O49" s="16"/>
      <c r="P49" s="16"/>
      <c r="Q49" s="16"/>
      <c r="R49" s="16"/>
      <c r="S49" s="16"/>
      <c r="T49" s="16"/>
      <c r="U49" s="16"/>
      <c r="V49" s="16"/>
      <c r="W49" s="16"/>
      <c r="X49" s="45"/>
      <c r="Y49"/>
    </row>
    <row r="50" spans="2:25">
      <c r="B50" s="89" t="s">
        <v>279</v>
      </c>
      <c r="C50" s="16"/>
      <c r="D50" s="16"/>
      <c r="E50" s="16"/>
      <c r="F50" s="16"/>
      <c r="G50" s="16"/>
      <c r="H50" s="16"/>
      <c r="I50" s="16"/>
      <c r="J50" s="16"/>
      <c r="K50" s="16"/>
      <c r="L50" s="16"/>
      <c r="M50" s="16"/>
      <c r="N50" s="16"/>
      <c r="O50" s="16"/>
      <c r="P50" s="16"/>
      <c r="Q50" s="16"/>
      <c r="R50" s="16"/>
      <c r="S50" s="16"/>
      <c r="T50" s="16"/>
      <c r="U50" s="16"/>
      <c r="V50" s="16"/>
      <c r="W50" s="16"/>
      <c r="X50" s="45"/>
      <c r="Y50"/>
    </row>
    <row r="51" spans="2:25">
      <c r="B51" s="234"/>
      <c r="C51" s="16"/>
      <c r="D51" s="16"/>
      <c r="E51" s="16"/>
      <c r="F51" s="16"/>
      <c r="G51" s="16"/>
      <c r="H51" s="16"/>
      <c r="I51" s="16"/>
      <c r="J51" s="16"/>
      <c r="K51" s="16"/>
      <c r="L51" s="16"/>
      <c r="M51" s="16"/>
      <c r="N51" s="16"/>
      <c r="O51" s="16"/>
      <c r="P51" s="16"/>
      <c r="Q51" s="16"/>
      <c r="R51" s="16"/>
      <c r="S51" s="16"/>
      <c r="T51" s="16"/>
      <c r="U51" s="16"/>
      <c r="V51" s="16"/>
      <c r="W51" s="16"/>
      <c r="X51" s="45"/>
      <c r="Y51"/>
    </row>
    <row r="52" spans="2:25">
      <c r="B52" s="89" t="s">
        <v>280</v>
      </c>
      <c r="C52" s="16"/>
      <c r="D52" s="16"/>
      <c r="E52" s="16"/>
      <c r="F52" s="16"/>
      <c r="G52" s="16"/>
      <c r="H52" s="16"/>
      <c r="I52" s="16"/>
      <c r="J52" s="16"/>
      <c r="K52" s="16"/>
      <c r="L52" s="16"/>
      <c r="M52" s="16"/>
      <c r="N52" s="16"/>
      <c r="O52" s="16"/>
      <c r="P52" s="16"/>
      <c r="Q52" s="16"/>
      <c r="R52" s="16"/>
      <c r="S52" s="16"/>
      <c r="T52" s="16"/>
      <c r="U52" s="16"/>
      <c r="V52" s="16"/>
      <c r="W52" s="16"/>
      <c r="X52" s="45"/>
      <c r="Y52"/>
    </row>
    <row r="53" spans="2:25">
      <c r="B53" s="89" t="s">
        <v>306</v>
      </c>
      <c r="C53" s="16"/>
      <c r="D53" s="16"/>
      <c r="E53" s="16"/>
      <c r="F53" s="16"/>
      <c r="G53" s="16"/>
      <c r="H53" s="16"/>
      <c r="I53" s="16"/>
      <c r="J53" s="16"/>
      <c r="K53" s="16"/>
      <c r="L53" s="16"/>
      <c r="M53" s="16"/>
      <c r="N53" s="16"/>
      <c r="O53" s="16"/>
      <c r="P53" s="16"/>
      <c r="Q53" s="16"/>
      <c r="R53" s="16"/>
      <c r="S53" s="16"/>
      <c r="T53" s="16"/>
      <c r="U53" s="16"/>
      <c r="V53" s="16"/>
      <c r="W53" s="16"/>
      <c r="X53" s="45"/>
      <c r="Y53"/>
    </row>
    <row r="54" spans="2:25">
      <c r="B54" s="89" t="s">
        <v>307</v>
      </c>
      <c r="C54" s="16"/>
      <c r="D54" s="16"/>
      <c r="E54" s="16"/>
      <c r="F54" s="16"/>
      <c r="G54" s="16"/>
      <c r="H54" s="16"/>
      <c r="I54" s="16"/>
      <c r="J54" s="16"/>
      <c r="K54" s="16"/>
      <c r="L54" s="16"/>
      <c r="M54" s="16"/>
      <c r="N54" s="16"/>
      <c r="O54" s="16"/>
      <c r="P54" s="16"/>
      <c r="Q54" s="16"/>
      <c r="R54" s="16"/>
      <c r="S54" s="16"/>
      <c r="T54" s="16"/>
      <c r="U54" s="16"/>
      <c r="V54" s="16"/>
      <c r="W54" s="16"/>
      <c r="X54" s="45"/>
      <c r="Y54"/>
    </row>
    <row r="55" spans="2:25">
      <c r="B55" s="234" t="s">
        <v>281</v>
      </c>
      <c r="C55" s="16"/>
      <c r="D55" s="16"/>
      <c r="E55" s="16"/>
      <c r="F55" s="16"/>
      <c r="G55" s="16"/>
      <c r="H55" s="16"/>
      <c r="I55" s="16"/>
      <c r="J55" s="16"/>
      <c r="K55" s="16"/>
      <c r="L55" s="16"/>
      <c r="M55" s="16"/>
      <c r="N55" s="16"/>
      <c r="O55" s="16"/>
      <c r="P55" s="16"/>
      <c r="Q55" s="16"/>
      <c r="R55" s="16"/>
      <c r="S55" s="16"/>
      <c r="T55" s="16"/>
      <c r="U55" s="16"/>
      <c r="V55" s="16"/>
      <c r="W55" s="16"/>
      <c r="X55" s="45"/>
      <c r="Y55"/>
    </row>
    <row r="56" spans="2:25">
      <c r="B56" s="234" t="s">
        <v>282</v>
      </c>
      <c r="C56" s="16"/>
      <c r="D56" s="16"/>
      <c r="E56" s="16"/>
      <c r="F56" s="16"/>
      <c r="G56" s="16"/>
      <c r="H56" s="16"/>
      <c r="I56" s="16"/>
      <c r="J56" s="16"/>
      <c r="K56" s="16"/>
      <c r="L56" s="16"/>
      <c r="M56" s="16"/>
      <c r="N56" s="16"/>
      <c r="O56" s="16"/>
      <c r="P56" s="16"/>
      <c r="Q56" s="16"/>
      <c r="R56" s="16"/>
      <c r="S56" s="16"/>
      <c r="T56" s="16"/>
      <c r="U56" s="16"/>
      <c r="V56" s="16"/>
      <c r="W56" s="16"/>
      <c r="X56" s="45"/>
      <c r="Y56"/>
    </row>
    <row r="57" spans="2:25">
      <c r="B57" s="89"/>
      <c r="C57" s="16"/>
      <c r="D57" s="16"/>
      <c r="E57" s="16"/>
      <c r="F57" s="16"/>
      <c r="G57" s="16"/>
      <c r="H57" s="16"/>
      <c r="I57" s="16"/>
      <c r="J57" s="16"/>
      <c r="K57" s="16"/>
      <c r="L57" s="16"/>
      <c r="M57" s="16"/>
      <c r="N57" s="16"/>
      <c r="O57" s="16"/>
      <c r="P57" s="16"/>
      <c r="Q57" s="16"/>
      <c r="R57" s="16"/>
      <c r="S57" s="16"/>
      <c r="T57" s="16"/>
      <c r="U57" s="16"/>
      <c r="V57" s="16"/>
      <c r="W57" s="16"/>
      <c r="X57" s="45"/>
      <c r="Y57"/>
    </row>
    <row r="58" spans="2:25">
      <c r="B58" s="46" t="s">
        <v>84</v>
      </c>
      <c r="C58" s="16"/>
      <c r="D58" s="16"/>
      <c r="E58" s="16"/>
      <c r="F58" s="16"/>
      <c r="G58" s="16"/>
      <c r="H58" s="16"/>
      <c r="I58" s="16"/>
      <c r="J58" s="16"/>
      <c r="K58" s="16"/>
      <c r="L58" s="16"/>
      <c r="M58" s="16"/>
      <c r="N58" s="16"/>
      <c r="O58" s="16"/>
      <c r="P58" s="16"/>
      <c r="Q58" s="16"/>
      <c r="R58" s="16"/>
      <c r="S58" s="16"/>
      <c r="T58" s="16"/>
      <c r="U58" s="16"/>
      <c r="V58" s="16"/>
      <c r="W58" s="16"/>
      <c r="X58" s="45"/>
      <c r="Y58"/>
    </row>
    <row r="59" spans="2:25">
      <c r="B59" s="89" t="s">
        <v>85</v>
      </c>
      <c r="C59" s="16" t="s">
        <v>286</v>
      </c>
      <c r="D59" s="16"/>
      <c r="E59" s="16"/>
      <c r="F59" s="16"/>
      <c r="G59" s="16"/>
      <c r="H59" s="16"/>
      <c r="I59" s="16"/>
      <c r="J59" s="16"/>
      <c r="K59" s="16"/>
      <c r="L59" s="16"/>
      <c r="M59" s="16"/>
      <c r="N59" s="16"/>
      <c r="O59" s="16"/>
      <c r="P59" s="16"/>
      <c r="Q59" s="16"/>
      <c r="R59" s="16"/>
      <c r="S59" s="16"/>
      <c r="T59" s="16"/>
      <c r="U59" s="16"/>
      <c r="V59" s="16"/>
      <c r="W59" s="16"/>
      <c r="X59" s="45"/>
      <c r="Y59"/>
    </row>
    <row r="60" spans="2:25">
      <c r="B60" s="89"/>
      <c r="C60" s="16" t="s">
        <v>287</v>
      </c>
      <c r="D60" s="16"/>
      <c r="E60" s="16"/>
      <c r="F60" s="16"/>
      <c r="G60" s="16"/>
      <c r="H60" s="16"/>
      <c r="I60" s="16"/>
      <c r="J60" s="16"/>
      <c r="K60" s="16"/>
      <c r="L60" s="16"/>
      <c r="M60" s="16"/>
      <c r="N60" s="16"/>
      <c r="O60" s="16"/>
      <c r="P60" s="16"/>
      <c r="Q60" s="16"/>
      <c r="R60" s="16"/>
      <c r="S60" s="16"/>
      <c r="T60" s="16"/>
      <c r="U60" s="16"/>
      <c r="V60" s="16"/>
      <c r="W60" s="16"/>
      <c r="X60" s="45"/>
      <c r="Y60"/>
    </row>
    <row r="61" spans="2:25">
      <c r="B61" s="89"/>
      <c r="C61" s="16" t="s">
        <v>89</v>
      </c>
      <c r="D61" s="16" t="s">
        <v>288</v>
      </c>
      <c r="E61" s="16"/>
      <c r="F61" s="16"/>
      <c r="G61" s="16"/>
      <c r="H61" s="16"/>
      <c r="I61" s="16"/>
      <c r="J61" s="16"/>
      <c r="K61" s="16"/>
      <c r="L61" s="16"/>
      <c r="M61" s="16"/>
      <c r="N61" s="16"/>
      <c r="O61" s="16"/>
      <c r="P61" s="16"/>
      <c r="Q61" s="16"/>
      <c r="R61" s="16"/>
      <c r="S61" s="16"/>
      <c r="T61" s="16"/>
      <c r="U61" s="16"/>
      <c r="V61" s="16"/>
      <c r="W61" s="16"/>
      <c r="X61" s="45"/>
      <c r="Y61"/>
    </row>
    <row r="62" spans="2:25">
      <c r="B62" s="89"/>
      <c r="C62" s="16"/>
      <c r="D62" s="16" t="s">
        <v>289</v>
      </c>
      <c r="E62" s="16"/>
      <c r="F62" s="16"/>
      <c r="G62" s="16"/>
      <c r="H62" s="16"/>
      <c r="I62" s="16"/>
      <c r="J62" s="16"/>
      <c r="K62" s="16"/>
      <c r="L62" s="16"/>
      <c r="M62" s="16"/>
      <c r="N62" s="16"/>
      <c r="O62" s="16"/>
      <c r="P62" s="16"/>
      <c r="Q62" s="16"/>
      <c r="R62" s="16"/>
      <c r="S62" s="16"/>
      <c r="T62" s="16"/>
      <c r="U62" s="16"/>
      <c r="V62" s="16"/>
      <c r="W62" s="16"/>
      <c r="X62" s="45"/>
      <c r="Y62"/>
    </row>
    <row r="63" spans="2:25">
      <c r="B63" s="89"/>
      <c r="C63" s="16"/>
      <c r="D63" s="16" t="s">
        <v>290</v>
      </c>
      <c r="E63" s="16"/>
      <c r="F63" s="16"/>
      <c r="G63" s="16"/>
      <c r="H63" s="16"/>
      <c r="I63" s="16"/>
      <c r="J63" s="16"/>
      <c r="K63" s="16"/>
      <c r="L63" s="16"/>
      <c r="M63" s="16"/>
      <c r="N63" s="16"/>
      <c r="O63" s="16"/>
      <c r="P63" s="16"/>
      <c r="Q63" s="16"/>
      <c r="R63" s="16"/>
      <c r="S63" s="16"/>
      <c r="T63" s="16"/>
      <c r="U63" s="16"/>
      <c r="V63" s="16"/>
      <c r="W63" s="16"/>
      <c r="X63" s="45"/>
      <c r="Y63"/>
    </row>
    <row r="64" spans="2:25">
      <c r="B64" s="89"/>
      <c r="C64" s="16" t="s">
        <v>90</v>
      </c>
      <c r="D64" s="36" t="s">
        <v>291</v>
      </c>
      <c r="E64" s="16"/>
      <c r="F64" s="16"/>
      <c r="G64" s="16"/>
      <c r="H64" s="16"/>
      <c r="I64" s="16"/>
      <c r="J64" s="16"/>
      <c r="K64" s="16"/>
      <c r="L64" s="16"/>
      <c r="M64" s="16"/>
      <c r="N64" s="16"/>
      <c r="O64" s="16"/>
      <c r="P64" s="16"/>
      <c r="Q64" s="16"/>
      <c r="R64" s="16"/>
      <c r="S64" s="16"/>
      <c r="T64" s="16"/>
      <c r="U64" s="16"/>
      <c r="V64" s="16"/>
      <c r="W64" s="16"/>
      <c r="X64" s="45"/>
      <c r="Y64"/>
    </row>
    <row r="65" spans="2:25">
      <c r="B65" s="89"/>
      <c r="C65" s="16"/>
      <c r="D65" s="36" t="s">
        <v>292</v>
      </c>
      <c r="E65" s="16"/>
      <c r="F65" s="16"/>
      <c r="G65" s="16"/>
      <c r="H65" s="16"/>
      <c r="I65" s="16"/>
      <c r="J65" s="16"/>
      <c r="K65" s="16"/>
      <c r="L65" s="16"/>
      <c r="M65" s="16"/>
      <c r="N65" s="16"/>
      <c r="O65" s="16"/>
      <c r="P65" s="16"/>
      <c r="Q65" s="16"/>
      <c r="R65" s="16"/>
      <c r="S65" s="16"/>
      <c r="T65" s="16"/>
      <c r="U65" s="16"/>
      <c r="V65" s="16"/>
      <c r="W65" s="16"/>
      <c r="X65" s="45"/>
      <c r="Y65"/>
    </row>
    <row r="66" spans="2:25">
      <c r="B66" s="89"/>
      <c r="C66" s="16" t="s">
        <v>175</v>
      </c>
      <c r="D66" s="36" t="s">
        <v>308</v>
      </c>
      <c r="E66" s="16"/>
      <c r="F66" s="16"/>
      <c r="G66" s="16"/>
      <c r="H66" s="16"/>
      <c r="I66" s="16"/>
      <c r="J66" s="16"/>
      <c r="K66" s="16"/>
      <c r="L66" s="16"/>
      <c r="M66" s="16"/>
      <c r="N66" s="16"/>
      <c r="O66" s="16"/>
      <c r="P66" s="16"/>
      <c r="Q66" s="16"/>
      <c r="R66" s="16"/>
      <c r="S66" s="16"/>
      <c r="T66" s="16"/>
      <c r="U66" s="16"/>
      <c r="V66" s="16"/>
      <c r="W66" s="16"/>
      <c r="X66" s="45"/>
      <c r="Y66"/>
    </row>
    <row r="67" spans="2:25">
      <c r="B67" s="89"/>
      <c r="C67" s="16"/>
      <c r="D67" s="36" t="s">
        <v>293</v>
      </c>
      <c r="E67" s="16"/>
      <c r="F67" s="16"/>
      <c r="G67" s="16"/>
      <c r="H67" s="16"/>
      <c r="I67" s="16"/>
      <c r="J67" s="16"/>
      <c r="K67" s="16"/>
      <c r="L67" s="16"/>
      <c r="M67" s="16"/>
      <c r="N67" s="16"/>
      <c r="O67" s="16"/>
      <c r="P67" s="16"/>
      <c r="Q67" s="16"/>
      <c r="R67" s="16"/>
      <c r="S67" s="16"/>
      <c r="T67" s="16"/>
      <c r="U67" s="16"/>
      <c r="V67" s="16"/>
      <c r="W67" s="16"/>
      <c r="X67" s="45"/>
      <c r="Y67"/>
    </row>
    <row r="68" spans="2:25">
      <c r="B68" s="89" t="s">
        <v>91</v>
      </c>
      <c r="C68" s="16" t="s">
        <v>294</v>
      </c>
      <c r="D68" s="36"/>
      <c r="E68" s="16"/>
      <c r="F68" s="16"/>
      <c r="G68" s="16"/>
      <c r="H68" s="16"/>
      <c r="I68" s="16"/>
      <c r="J68" s="16"/>
      <c r="K68" s="16"/>
      <c r="L68" s="16"/>
      <c r="M68" s="16"/>
      <c r="N68" s="16"/>
      <c r="O68" s="16"/>
      <c r="P68" s="16"/>
      <c r="Q68" s="16"/>
      <c r="R68" s="16"/>
      <c r="S68" s="16"/>
      <c r="T68" s="16"/>
      <c r="U68" s="16"/>
      <c r="V68" s="16"/>
      <c r="W68" s="16"/>
      <c r="X68" s="45"/>
      <c r="Y68"/>
    </row>
    <row r="69" spans="2:25">
      <c r="B69" s="89"/>
      <c r="C69" s="16" t="s">
        <v>89</v>
      </c>
      <c r="D69" s="36" t="s">
        <v>295</v>
      </c>
      <c r="E69" s="16"/>
      <c r="F69" s="16"/>
      <c r="G69" s="16"/>
      <c r="H69" s="16"/>
      <c r="I69" s="16"/>
      <c r="J69" s="16"/>
      <c r="K69" s="16"/>
      <c r="L69" s="16"/>
      <c r="M69" s="16"/>
      <c r="N69" s="16"/>
      <c r="O69" s="16"/>
      <c r="P69" s="16"/>
      <c r="Q69" s="16"/>
      <c r="R69" s="16"/>
      <c r="S69" s="16"/>
      <c r="T69" s="16"/>
      <c r="U69" s="16"/>
      <c r="V69" s="16"/>
      <c r="W69" s="16"/>
      <c r="X69" s="45"/>
      <c r="Y69"/>
    </row>
    <row r="70" spans="2:25">
      <c r="B70" s="89"/>
      <c r="C70" s="16" t="s">
        <v>90</v>
      </c>
      <c r="D70" s="36" t="s">
        <v>296</v>
      </c>
      <c r="E70" s="16"/>
      <c r="F70" s="16"/>
      <c r="G70" s="16"/>
      <c r="H70" s="16"/>
      <c r="I70" s="16"/>
      <c r="J70" s="16"/>
      <c r="K70" s="16"/>
      <c r="L70" s="16"/>
      <c r="M70" s="16"/>
      <c r="N70" s="16"/>
      <c r="O70" s="16"/>
      <c r="P70" s="16"/>
      <c r="Q70" s="16"/>
      <c r="R70" s="16"/>
      <c r="S70" s="16"/>
      <c r="T70" s="16"/>
      <c r="U70" s="16"/>
      <c r="V70" s="16"/>
      <c r="W70" s="16"/>
      <c r="X70" s="45"/>
      <c r="Y70"/>
    </row>
    <row r="71" spans="2:25">
      <c r="B71" s="89"/>
      <c r="C71" s="16"/>
      <c r="D71" s="36" t="s">
        <v>297</v>
      </c>
      <c r="E71" s="16"/>
      <c r="F71" s="16"/>
      <c r="G71" s="16"/>
      <c r="H71" s="16"/>
      <c r="I71" s="16"/>
      <c r="J71" s="16"/>
      <c r="K71" s="16"/>
      <c r="L71" s="16"/>
      <c r="M71" s="16"/>
      <c r="N71" s="16"/>
      <c r="O71" s="16"/>
      <c r="P71" s="16"/>
      <c r="Q71" s="16"/>
      <c r="R71" s="16"/>
      <c r="S71" s="16"/>
      <c r="T71" s="16"/>
      <c r="U71" s="16"/>
      <c r="V71" s="16"/>
      <c r="W71" s="16"/>
      <c r="X71" s="45"/>
      <c r="Y71"/>
    </row>
    <row r="72" spans="2:25">
      <c r="B72" s="89" t="s">
        <v>145</v>
      </c>
      <c r="C72" s="36" t="s">
        <v>298</v>
      </c>
      <c r="D72" s="16"/>
      <c r="E72" s="16"/>
      <c r="F72" s="16"/>
      <c r="G72" s="16"/>
      <c r="H72" s="16"/>
      <c r="I72" s="16"/>
      <c r="J72" s="16"/>
      <c r="K72" s="16"/>
      <c r="L72" s="16"/>
      <c r="M72" s="16"/>
      <c r="N72" s="16"/>
      <c r="O72" s="16"/>
      <c r="P72" s="16"/>
      <c r="Q72" s="16"/>
      <c r="R72" s="16"/>
      <c r="S72" s="16"/>
      <c r="T72" s="16"/>
      <c r="U72" s="16"/>
      <c r="V72" s="16"/>
      <c r="W72" s="16"/>
      <c r="X72" s="45"/>
      <c r="Y72"/>
    </row>
    <row r="73" spans="2:25">
      <c r="B73" s="89"/>
      <c r="C73" s="36" t="s">
        <v>309</v>
      </c>
      <c r="D73" s="16"/>
      <c r="E73" s="16"/>
      <c r="F73" s="16"/>
      <c r="G73" s="16"/>
      <c r="H73" s="16"/>
      <c r="I73" s="16"/>
      <c r="J73" s="16"/>
      <c r="K73" s="16"/>
      <c r="L73" s="16"/>
      <c r="M73" s="16"/>
      <c r="N73" s="16"/>
      <c r="O73" s="16"/>
      <c r="P73" s="16"/>
      <c r="Q73" s="16"/>
      <c r="R73" s="16"/>
      <c r="S73" s="16"/>
      <c r="T73" s="16"/>
      <c r="U73" s="16"/>
      <c r="V73" s="16"/>
      <c r="W73" s="16"/>
      <c r="X73" s="45"/>
      <c r="Y73"/>
    </row>
    <row r="74" spans="2:25">
      <c r="B74" s="89" t="s">
        <v>174</v>
      </c>
      <c r="C74" s="36" t="s">
        <v>299</v>
      </c>
      <c r="D74" s="16"/>
      <c r="E74" s="16"/>
      <c r="F74" s="16"/>
      <c r="G74" s="16"/>
      <c r="H74" s="16"/>
      <c r="I74" s="16"/>
      <c r="J74" s="16"/>
      <c r="K74" s="16"/>
      <c r="L74" s="16"/>
      <c r="M74" s="16"/>
      <c r="N74" s="16"/>
      <c r="O74" s="16"/>
      <c r="P74" s="16"/>
      <c r="Q74" s="16"/>
      <c r="R74" s="16"/>
      <c r="S74" s="16"/>
      <c r="T74" s="16"/>
      <c r="U74" s="16"/>
      <c r="V74" s="16"/>
      <c r="W74" s="16"/>
      <c r="X74" s="45"/>
      <c r="Y74"/>
    </row>
    <row r="75" spans="2:25">
      <c r="B75" s="89"/>
      <c r="C75" s="36" t="s">
        <v>300</v>
      </c>
      <c r="D75" s="36"/>
      <c r="E75" s="16"/>
      <c r="F75" s="16"/>
      <c r="G75" s="16"/>
      <c r="H75" s="16"/>
      <c r="I75" s="16"/>
      <c r="J75" s="16"/>
      <c r="K75" s="16"/>
      <c r="L75" s="16"/>
      <c r="M75" s="16"/>
      <c r="N75" s="16"/>
      <c r="O75" s="16"/>
      <c r="P75" s="16"/>
      <c r="Q75" s="16"/>
      <c r="R75" s="16"/>
      <c r="S75" s="16"/>
      <c r="T75" s="16"/>
      <c r="U75" s="16"/>
      <c r="V75" s="16"/>
      <c r="W75" s="16"/>
      <c r="X75" s="45"/>
      <c r="Y75"/>
    </row>
    <row r="76" spans="2:25">
      <c r="B76" s="89"/>
      <c r="C76" s="36" t="s">
        <v>310</v>
      </c>
      <c r="D76" s="36"/>
      <c r="E76" s="16"/>
      <c r="F76" s="16"/>
      <c r="G76" s="16"/>
      <c r="H76" s="16"/>
      <c r="I76" s="16"/>
      <c r="J76" s="16"/>
      <c r="K76" s="16"/>
      <c r="L76" s="16"/>
      <c r="M76" s="16"/>
      <c r="N76" s="16"/>
      <c r="O76" s="16"/>
      <c r="P76" s="16"/>
      <c r="Q76" s="16"/>
      <c r="R76" s="16"/>
      <c r="S76" s="16"/>
      <c r="T76" s="16"/>
      <c r="U76" s="16"/>
      <c r="V76" s="16"/>
      <c r="W76" s="16"/>
      <c r="X76" s="45"/>
      <c r="Y76"/>
    </row>
    <row r="77" spans="2:25">
      <c r="B77" s="89"/>
      <c r="C77" s="36" t="s">
        <v>301</v>
      </c>
      <c r="D77" s="36"/>
      <c r="E77" s="16"/>
      <c r="F77" s="16"/>
      <c r="G77" s="16"/>
      <c r="H77" s="16"/>
      <c r="I77" s="16"/>
      <c r="J77" s="16"/>
      <c r="K77" s="16"/>
      <c r="L77" s="16"/>
      <c r="M77" s="16"/>
      <c r="N77" s="16"/>
      <c r="O77" s="16"/>
      <c r="P77" s="16"/>
      <c r="Q77" s="16"/>
      <c r="R77" s="16"/>
      <c r="S77" s="16"/>
      <c r="T77" s="16"/>
      <c r="U77" s="16"/>
      <c r="V77" s="16"/>
      <c r="W77" s="16"/>
      <c r="X77" s="45"/>
      <c r="Y77"/>
    </row>
    <row r="78" spans="2:25">
      <c r="B78" s="89"/>
      <c r="C78" s="36"/>
      <c r="D78" s="36"/>
      <c r="E78" s="16"/>
      <c r="F78" s="16"/>
      <c r="G78" s="16"/>
      <c r="H78" s="16"/>
      <c r="I78" s="16"/>
      <c r="J78" s="16"/>
      <c r="K78" s="16"/>
      <c r="L78" s="16"/>
      <c r="M78" s="16"/>
      <c r="N78" s="16"/>
      <c r="O78" s="16"/>
      <c r="P78" s="16"/>
      <c r="Q78" s="16"/>
      <c r="R78" s="16"/>
      <c r="S78" s="16"/>
      <c r="T78" s="16"/>
      <c r="U78" s="16"/>
      <c r="V78" s="16"/>
      <c r="W78" s="16"/>
      <c r="X78" s="45"/>
      <c r="Y78"/>
    </row>
    <row r="79" spans="2:25">
      <c r="B79" s="109" t="s">
        <v>302</v>
      </c>
      <c r="C79" s="16"/>
      <c r="D79" s="16"/>
      <c r="E79" s="16"/>
      <c r="F79" s="16"/>
      <c r="G79" s="16"/>
      <c r="H79" s="16"/>
      <c r="I79" s="16"/>
      <c r="J79" s="16"/>
      <c r="K79" s="16"/>
      <c r="L79" s="16"/>
      <c r="M79" s="16"/>
      <c r="N79" s="16"/>
      <c r="O79" s="16"/>
      <c r="P79" s="16"/>
      <c r="Q79" s="16"/>
      <c r="R79" s="16"/>
      <c r="S79" s="16"/>
      <c r="T79" s="16"/>
      <c r="U79" s="16"/>
      <c r="V79" s="16"/>
      <c r="W79" s="16"/>
      <c r="X79" s="45"/>
      <c r="Y79"/>
    </row>
    <row r="80" spans="2:25">
      <c r="B80" s="89" t="s">
        <v>303</v>
      </c>
      <c r="C80" s="16"/>
      <c r="D80" s="16"/>
      <c r="E80" s="16"/>
      <c r="F80" s="16"/>
      <c r="G80" s="16"/>
      <c r="H80" s="16"/>
      <c r="I80" s="16"/>
      <c r="J80" s="16"/>
      <c r="K80" s="16"/>
      <c r="L80" s="16"/>
      <c r="M80" s="16"/>
      <c r="N80" s="16"/>
      <c r="O80" s="16"/>
      <c r="P80" s="16"/>
      <c r="Q80" s="16"/>
      <c r="R80" s="16"/>
      <c r="S80" s="16"/>
      <c r="T80" s="16"/>
      <c r="U80" s="16"/>
      <c r="V80" s="16"/>
      <c r="W80" s="16"/>
      <c r="X80" s="45"/>
      <c r="Y80"/>
    </row>
    <row r="81" spans="1:25">
      <c r="B81" s="89"/>
      <c r="C81" s="16"/>
      <c r="D81" s="16"/>
      <c r="E81" s="16"/>
      <c r="F81" s="16"/>
      <c r="G81" s="16"/>
      <c r="H81" s="16"/>
      <c r="I81" s="16"/>
      <c r="J81" s="16"/>
      <c r="K81" s="16"/>
      <c r="L81" s="16"/>
      <c r="M81" s="16"/>
      <c r="N81" s="16"/>
      <c r="O81" s="16"/>
      <c r="P81" s="16"/>
      <c r="Q81" s="16"/>
      <c r="R81" s="16"/>
      <c r="S81" s="16"/>
      <c r="T81" s="16"/>
      <c r="U81" s="16"/>
      <c r="V81" s="16"/>
      <c r="W81" s="16"/>
      <c r="X81" s="45"/>
      <c r="Y81"/>
    </row>
    <row r="82" spans="1:25">
      <c r="B82" s="108" t="s">
        <v>283</v>
      </c>
      <c r="C82" s="16"/>
      <c r="D82" s="16"/>
      <c r="E82" s="16"/>
      <c r="F82" s="16"/>
      <c r="G82" s="16"/>
      <c r="H82" s="16"/>
      <c r="I82" s="16"/>
      <c r="J82" s="16"/>
      <c r="K82" s="16"/>
      <c r="L82" s="16"/>
      <c r="M82" s="16"/>
      <c r="N82" s="16"/>
      <c r="O82" s="16"/>
      <c r="P82" s="16"/>
      <c r="Q82" s="16"/>
      <c r="R82" s="16"/>
      <c r="S82" s="16"/>
      <c r="T82" s="16"/>
      <c r="U82" s="16"/>
      <c r="V82" s="16"/>
      <c r="W82" s="16"/>
      <c r="X82" s="45"/>
      <c r="Y82"/>
    </row>
    <row r="83" spans="1:25">
      <c r="B83" s="89" t="s">
        <v>311</v>
      </c>
      <c r="C83" s="16"/>
      <c r="D83" s="16"/>
      <c r="E83" s="16"/>
      <c r="F83" s="16"/>
      <c r="G83" s="16"/>
      <c r="H83" s="16"/>
      <c r="I83" s="16"/>
      <c r="J83" s="16"/>
      <c r="K83" s="16"/>
      <c r="L83" s="16"/>
      <c r="M83" s="16"/>
      <c r="N83" s="16"/>
      <c r="O83" s="16"/>
      <c r="P83" s="16"/>
      <c r="Q83" s="16"/>
      <c r="R83" s="16"/>
      <c r="S83" s="16"/>
      <c r="T83" s="16"/>
      <c r="U83" s="16"/>
      <c r="V83" s="16"/>
      <c r="W83" s="16"/>
      <c r="X83" s="45"/>
      <c r="Y83"/>
    </row>
    <row r="84" spans="1:25">
      <c r="B84" s="89"/>
      <c r="C84" s="16"/>
      <c r="D84" s="16"/>
      <c r="E84" s="16"/>
      <c r="F84" s="16"/>
      <c r="G84" s="16"/>
      <c r="H84" s="16"/>
      <c r="I84" s="16"/>
      <c r="J84" s="16"/>
      <c r="K84" s="16"/>
      <c r="L84" s="16"/>
      <c r="M84" s="16"/>
      <c r="N84" s="16"/>
      <c r="O84" s="16"/>
      <c r="P84" s="16"/>
      <c r="Q84" s="16"/>
      <c r="R84" s="16"/>
      <c r="S84" s="16"/>
      <c r="T84" s="16"/>
      <c r="U84" s="16"/>
      <c r="V84" s="16"/>
      <c r="W84" s="16"/>
      <c r="X84" s="45"/>
      <c r="Y84"/>
    </row>
    <row r="85" spans="1:25">
      <c r="B85" s="109" t="s">
        <v>284</v>
      </c>
      <c r="C85" s="16"/>
      <c r="D85" s="16"/>
      <c r="E85" s="16"/>
      <c r="F85" s="16"/>
      <c r="G85" s="16"/>
      <c r="H85" s="16"/>
      <c r="I85" s="16"/>
      <c r="J85" s="16"/>
      <c r="K85" s="16"/>
      <c r="L85" s="16"/>
      <c r="M85" s="16"/>
      <c r="N85" s="16"/>
      <c r="O85" s="16"/>
      <c r="P85" s="16"/>
      <c r="Q85" s="16"/>
      <c r="R85" s="16"/>
      <c r="S85" s="16"/>
      <c r="T85" s="16"/>
      <c r="U85" s="16"/>
      <c r="V85" s="16"/>
      <c r="W85" s="16"/>
      <c r="X85" s="45"/>
      <c r="Y85"/>
    </row>
    <row r="86" spans="1:25">
      <c r="B86" s="89" t="s">
        <v>312</v>
      </c>
      <c r="C86" s="16"/>
      <c r="D86" s="16"/>
      <c r="E86" s="16"/>
      <c r="F86" s="16"/>
      <c r="G86" s="16"/>
      <c r="H86" s="16"/>
      <c r="I86" s="16"/>
      <c r="J86" s="16"/>
      <c r="K86" s="16"/>
      <c r="L86" s="16"/>
      <c r="M86" s="16"/>
      <c r="N86" s="16"/>
      <c r="O86" s="16"/>
      <c r="P86" s="16"/>
      <c r="Q86" s="16"/>
      <c r="R86" s="16"/>
      <c r="S86" s="16"/>
      <c r="T86" s="16"/>
      <c r="U86" s="16"/>
      <c r="V86" s="16"/>
      <c r="W86" s="16"/>
      <c r="X86" s="45"/>
      <c r="Y86"/>
    </row>
    <row r="87" spans="1:25">
      <c r="B87" s="89" t="s">
        <v>313</v>
      </c>
      <c r="C87" s="16"/>
      <c r="D87" s="16"/>
      <c r="E87" s="16"/>
      <c r="F87" s="16"/>
      <c r="G87" s="16"/>
      <c r="H87" s="16"/>
      <c r="I87" s="16"/>
      <c r="J87" s="16"/>
      <c r="K87" s="16"/>
      <c r="L87" s="16"/>
      <c r="M87" s="16"/>
      <c r="N87" s="16"/>
      <c r="O87" s="16"/>
      <c r="P87" s="16"/>
      <c r="Q87" s="16"/>
      <c r="R87" s="16"/>
      <c r="S87" s="16"/>
      <c r="T87" s="16"/>
      <c r="U87" s="16"/>
      <c r="V87" s="16"/>
      <c r="W87" s="16"/>
      <c r="X87" s="45"/>
      <c r="Y87"/>
    </row>
    <row r="88" spans="1:25">
      <c r="B88" s="89"/>
      <c r="C88" s="16"/>
      <c r="D88" s="16"/>
      <c r="E88" s="16"/>
      <c r="F88" s="16"/>
      <c r="G88" s="16"/>
      <c r="H88" s="16"/>
      <c r="I88" s="16"/>
      <c r="J88" s="16"/>
      <c r="K88" s="16"/>
      <c r="L88" s="16"/>
      <c r="M88" s="16"/>
      <c r="N88" s="16"/>
      <c r="O88" s="16"/>
      <c r="P88" s="16"/>
      <c r="Q88" s="16"/>
      <c r="R88" s="16"/>
      <c r="S88" s="16"/>
      <c r="T88" s="16"/>
      <c r="U88" s="16"/>
      <c r="V88" s="16"/>
      <c r="W88" s="16"/>
      <c r="X88" s="45"/>
      <c r="Y88"/>
    </row>
    <row r="89" spans="1:25">
      <c r="B89" s="109" t="s">
        <v>285</v>
      </c>
      <c r="C89" s="16"/>
      <c r="D89" s="16"/>
      <c r="E89" s="16"/>
      <c r="F89" s="16"/>
      <c r="G89" s="16"/>
      <c r="H89" s="16"/>
      <c r="I89" s="16"/>
      <c r="J89" s="16"/>
      <c r="K89" s="16"/>
      <c r="L89" s="16"/>
      <c r="M89" s="16"/>
      <c r="N89" s="16"/>
      <c r="O89" s="16"/>
      <c r="P89" s="16"/>
      <c r="Q89" s="16"/>
      <c r="R89" s="16"/>
      <c r="S89" s="16"/>
      <c r="T89" s="16"/>
      <c r="U89" s="16"/>
      <c r="V89" s="16"/>
      <c r="W89" s="16"/>
      <c r="X89" s="45"/>
      <c r="Y89"/>
    </row>
    <row r="90" spans="1:25">
      <c r="B90" s="89"/>
      <c r="C90" s="16"/>
      <c r="D90" s="16"/>
      <c r="E90" s="16"/>
      <c r="F90" s="16"/>
      <c r="G90" s="16"/>
      <c r="H90" s="16"/>
      <c r="I90" s="16"/>
      <c r="J90" s="16"/>
      <c r="K90" s="16"/>
      <c r="L90" s="16"/>
      <c r="M90" s="16"/>
      <c r="N90" s="16"/>
      <c r="O90" s="16"/>
      <c r="P90" s="16"/>
      <c r="Q90" s="16"/>
      <c r="R90" s="16"/>
      <c r="S90" s="16"/>
      <c r="T90" s="16"/>
      <c r="U90" s="16"/>
      <c r="V90" s="16"/>
      <c r="W90" s="16"/>
      <c r="X90" s="45"/>
      <c r="Y90"/>
    </row>
    <row r="91" spans="1:25">
      <c r="B91" s="44"/>
      <c r="C91" s="8"/>
      <c r="D91" s="8"/>
      <c r="E91" s="8"/>
      <c r="F91" s="8"/>
      <c r="G91" s="8"/>
      <c r="H91" s="8"/>
      <c r="I91" s="8"/>
      <c r="J91" s="8"/>
      <c r="K91" s="8"/>
      <c r="L91" s="8"/>
      <c r="M91" s="8"/>
      <c r="N91" s="8"/>
      <c r="O91" s="8"/>
      <c r="P91" s="8"/>
      <c r="Q91" s="8"/>
      <c r="R91" s="8"/>
      <c r="S91" s="8"/>
      <c r="T91" s="8"/>
      <c r="U91" s="8"/>
      <c r="V91" s="8"/>
      <c r="W91" s="8"/>
      <c r="X91" s="113"/>
      <c r="Y91"/>
    </row>
    <row r="92" spans="1:25">
      <c r="A92" s="16"/>
      <c r="B92" s="16"/>
      <c r="C92" s="16"/>
      <c r="D92" s="16"/>
      <c r="E92" s="16"/>
      <c r="F92" s="16"/>
      <c r="G92" s="16"/>
      <c r="H92" s="16"/>
      <c r="I92" s="16"/>
      <c r="J92" s="16"/>
      <c r="K92" s="16"/>
      <c r="L92" s="16"/>
      <c r="M92" s="16"/>
      <c r="N92" s="16"/>
      <c r="O92" s="16"/>
      <c r="P92" s="16"/>
      <c r="Q92" s="16"/>
      <c r="R92" s="16"/>
      <c r="S92" s="16"/>
      <c r="T92" s="16"/>
      <c r="U92" s="16"/>
      <c r="V92" s="16"/>
      <c r="W92" s="16"/>
    </row>
    <row r="93" spans="1:25">
      <c r="A93" s="16"/>
      <c r="B93" s="8"/>
      <c r="C93" s="8"/>
      <c r="D93" s="8"/>
      <c r="E93" s="8"/>
      <c r="F93" s="8"/>
      <c r="G93" s="8"/>
      <c r="H93" s="8"/>
      <c r="I93" s="8"/>
      <c r="J93" s="8"/>
      <c r="K93" s="8"/>
      <c r="L93" s="8"/>
      <c r="M93" s="8"/>
      <c r="N93" s="8"/>
      <c r="O93" s="8"/>
      <c r="P93" s="8"/>
      <c r="Q93" s="8"/>
      <c r="R93" s="8"/>
      <c r="S93" s="8"/>
      <c r="T93" s="8"/>
      <c r="U93" s="8"/>
      <c r="V93" s="8"/>
      <c r="W93" s="8"/>
      <c r="X93" s="8"/>
    </row>
    <row r="94" spans="1:25">
      <c r="B94" s="8"/>
      <c r="C94" s="8"/>
      <c r="D94" s="8"/>
      <c r="E94" s="8"/>
      <c r="F94" s="8"/>
      <c r="G94" s="8"/>
      <c r="H94" s="8"/>
      <c r="I94" s="8"/>
      <c r="J94" s="8"/>
      <c r="K94" s="8"/>
      <c r="L94" s="8"/>
      <c r="M94" s="8"/>
      <c r="N94" s="8"/>
      <c r="O94" s="8"/>
      <c r="P94" s="8"/>
      <c r="Q94" s="8"/>
      <c r="R94" s="8"/>
      <c r="S94" s="8"/>
      <c r="T94" s="8"/>
      <c r="U94" s="8"/>
      <c r="V94" s="8"/>
      <c r="W94" s="8"/>
      <c r="X94" s="8"/>
      <c r="Y94"/>
    </row>
    <row r="95" spans="1:25">
      <c r="B95" s="46">
        <v>2</v>
      </c>
      <c r="C95" s="110" t="s">
        <v>108</v>
      </c>
      <c r="D95" s="16"/>
      <c r="E95" s="16"/>
      <c r="F95" s="16"/>
      <c r="G95" s="16"/>
      <c r="H95" s="16"/>
      <c r="I95" s="16"/>
      <c r="J95" s="16"/>
      <c r="K95" s="16"/>
      <c r="L95" s="16"/>
      <c r="M95" s="16"/>
      <c r="N95" s="16"/>
      <c r="O95" s="16"/>
      <c r="P95" s="16"/>
      <c r="Q95" s="16"/>
      <c r="R95" s="16"/>
      <c r="S95" s="16"/>
      <c r="T95" s="16"/>
      <c r="U95" s="16"/>
      <c r="V95" s="16"/>
      <c r="W95" s="16"/>
      <c r="X95" s="45"/>
      <c r="Y95"/>
    </row>
    <row r="96" spans="1:25">
      <c r="B96" s="89"/>
      <c r="C96" s="16"/>
      <c r="D96" s="16"/>
      <c r="E96" s="16"/>
      <c r="F96" s="16"/>
      <c r="G96" s="16"/>
      <c r="H96" s="16"/>
      <c r="I96" s="16"/>
      <c r="J96" s="16"/>
      <c r="K96" s="16"/>
      <c r="L96" s="16"/>
      <c r="M96" s="16"/>
      <c r="N96" s="16"/>
      <c r="O96" s="16"/>
      <c r="P96" s="16"/>
      <c r="Q96" s="16"/>
      <c r="R96" s="16"/>
      <c r="S96" s="16"/>
      <c r="T96" s="16"/>
      <c r="U96" s="16"/>
      <c r="V96" s="16"/>
      <c r="W96" s="16"/>
      <c r="X96" s="45"/>
      <c r="Y96"/>
    </row>
    <row r="97" spans="2:25">
      <c r="B97" s="89"/>
      <c r="C97" s="16" t="s">
        <v>89</v>
      </c>
      <c r="D97" s="112" t="s">
        <v>170</v>
      </c>
      <c r="E97" s="16"/>
      <c r="F97" s="16"/>
      <c r="G97" s="16"/>
      <c r="H97" s="16"/>
      <c r="I97" s="16"/>
      <c r="J97" s="16"/>
      <c r="K97" s="16"/>
      <c r="L97" s="16"/>
      <c r="M97" s="16"/>
      <c r="N97" s="16"/>
      <c r="O97" s="16"/>
      <c r="P97" s="16"/>
      <c r="Q97" s="16"/>
      <c r="R97" s="16"/>
      <c r="S97" s="16"/>
      <c r="T97" s="16"/>
      <c r="U97" s="16"/>
      <c r="V97" s="16"/>
      <c r="W97" s="16"/>
      <c r="X97" s="45"/>
      <c r="Y97"/>
    </row>
    <row r="98" spans="2:25">
      <c r="B98" s="89"/>
      <c r="C98" s="16"/>
      <c r="D98" s="16"/>
      <c r="E98" s="16"/>
      <c r="F98" s="16"/>
      <c r="G98" s="16"/>
      <c r="H98" s="16"/>
      <c r="I98" s="16"/>
      <c r="J98" s="16"/>
      <c r="K98" s="16"/>
      <c r="L98" s="16"/>
      <c r="M98" s="16"/>
      <c r="N98" s="16"/>
      <c r="O98" s="16"/>
      <c r="P98" s="16"/>
      <c r="Q98" s="16"/>
      <c r="R98" s="16"/>
      <c r="S98" s="16"/>
      <c r="T98" s="16"/>
      <c r="U98" s="16"/>
      <c r="V98" s="16"/>
      <c r="W98" s="16"/>
      <c r="X98" s="45"/>
      <c r="Y98"/>
    </row>
    <row r="99" spans="2:25">
      <c r="B99" s="89"/>
      <c r="C99" s="16"/>
      <c r="D99" s="16"/>
      <c r="E99" s="16"/>
      <c r="F99" s="16"/>
      <c r="G99" s="114" t="s">
        <v>87</v>
      </c>
      <c r="H99" s="114"/>
      <c r="I99" s="114"/>
      <c r="J99" s="178" t="s">
        <v>141</v>
      </c>
      <c r="K99" s="178"/>
      <c r="L99" s="178"/>
      <c r="M99" s="96" t="s">
        <v>142</v>
      </c>
      <c r="N99" s="96"/>
      <c r="O99" s="96"/>
      <c r="P99" s="16"/>
      <c r="Q99" s="16"/>
      <c r="R99" s="16"/>
      <c r="S99" s="16"/>
      <c r="T99" s="16"/>
      <c r="U99" s="16"/>
      <c r="V99" s="16"/>
      <c r="W99" s="16"/>
      <c r="X99" s="45"/>
      <c r="Y99"/>
    </row>
    <row r="100" spans="2:25">
      <c r="B100" s="89"/>
      <c r="C100" s="16"/>
      <c r="D100" s="16"/>
      <c r="E100" s="16"/>
      <c r="F100" s="16"/>
      <c r="G100" s="111" t="s">
        <v>95</v>
      </c>
      <c r="H100" s="111" t="s">
        <v>94</v>
      </c>
      <c r="I100" s="111" t="s">
        <v>96</v>
      </c>
      <c r="J100" s="111" t="s">
        <v>95</v>
      </c>
      <c r="K100" s="111" t="s">
        <v>94</v>
      </c>
      <c r="L100" s="111" t="s">
        <v>96</v>
      </c>
      <c r="M100" s="111" t="s">
        <v>95</v>
      </c>
      <c r="N100" s="111" t="s">
        <v>94</v>
      </c>
      <c r="O100" s="111" t="s">
        <v>96</v>
      </c>
      <c r="P100" s="111" t="s">
        <v>171</v>
      </c>
      <c r="R100" s="16"/>
      <c r="S100" s="212" t="s">
        <v>244</v>
      </c>
      <c r="T100" s="16"/>
      <c r="U100" s="16"/>
      <c r="V100" s="16"/>
      <c r="W100" s="16"/>
      <c r="X100" s="45"/>
      <c r="Y100"/>
    </row>
    <row r="101" spans="2:25">
      <c r="B101" s="89"/>
      <c r="C101" s="16"/>
      <c r="D101" s="16" t="s">
        <v>237</v>
      </c>
      <c r="E101" s="16"/>
      <c r="F101" s="16"/>
      <c r="G101" s="179">
        <f ca="1">J101*M101</f>
        <v>421.2786010375857</v>
      </c>
      <c r="H101" s="179">
        <f t="shared" ref="H101:I101" ca="1" si="16">K101*N101</f>
        <v>526.5982512969822</v>
      </c>
      <c r="I101" s="179">
        <f t="shared" ca="1" si="16"/>
        <v>595.49895707415749</v>
      </c>
      <c r="J101" s="221">
        <f>J102-3</f>
        <v>10</v>
      </c>
      <c r="K101" s="221">
        <f t="shared" ref="K101:L101" si="17">K102-3</f>
        <v>10</v>
      </c>
      <c r="L101" s="221">
        <f t="shared" si="17"/>
        <v>10</v>
      </c>
      <c r="M101" s="162">
        <f ca="1">L125</f>
        <v>42.127860103758572</v>
      </c>
      <c r="N101" s="162">
        <f t="shared" ref="N101" ca="1" si="18">$L119</f>
        <v>52.65982512969822</v>
      </c>
      <c r="O101" s="162">
        <f ca="1">L131</f>
        <v>59.54989570741575</v>
      </c>
      <c r="P101" s="213">
        <f ca="1">O101/$O$104</f>
        <v>7.9490068813293305E-2</v>
      </c>
      <c r="Q101" s="41" t="s">
        <v>245</v>
      </c>
      <c r="R101" s="16"/>
      <c r="S101" s="16"/>
      <c r="T101" s="16"/>
      <c r="U101" s="16"/>
      <c r="V101" s="16"/>
      <c r="W101" s="16"/>
      <c r="X101" s="45"/>
      <c r="Y101"/>
    </row>
    <row r="102" spans="2:25">
      <c r="B102" s="89"/>
      <c r="C102" s="16"/>
      <c r="D102" s="16" t="s">
        <v>236</v>
      </c>
      <c r="E102" s="41"/>
      <c r="F102" s="16"/>
      <c r="G102" s="179">
        <f t="shared" ref="G102:G103" ca="1" si="19">J102*M102</f>
        <v>4895.4033577616028</v>
      </c>
      <c r="H102" s="179">
        <f t="shared" ref="H102:H103" ca="1" si="20">K102*N102</f>
        <v>5874.4840293139232</v>
      </c>
      <c r="I102" s="179">
        <f t="shared" ref="I102:I103" ca="1" si="21">L102*O102</f>
        <v>7310.469014257329</v>
      </c>
      <c r="J102" s="280">
        <v>13</v>
      </c>
      <c r="K102" s="280">
        <v>13</v>
      </c>
      <c r="L102" s="280">
        <v>13</v>
      </c>
      <c r="M102" s="162">
        <f t="shared" ref="M102:M103" ca="1" si="22">L126</f>
        <v>376.56948905858485</v>
      </c>
      <c r="N102" s="162">
        <f t="shared" ref="N102:N103" ca="1" si="23">$L120</f>
        <v>451.88338687030176</v>
      </c>
      <c r="O102" s="162">
        <f t="shared" ref="O102:O103" ca="1" si="24">L132</f>
        <v>562.34377032748682</v>
      </c>
      <c r="P102" s="213">
        <f t="shared" ref="P102:P103" ca="1" si="25">O102/$O$104</f>
        <v>0.75064354805397504</v>
      </c>
      <c r="Q102" s="41" t="s">
        <v>314</v>
      </c>
      <c r="R102" s="16"/>
      <c r="S102" s="16"/>
      <c r="T102" s="16"/>
      <c r="U102" s="16"/>
      <c r="V102" s="16"/>
      <c r="W102" s="16"/>
      <c r="X102" s="45"/>
      <c r="Y102"/>
    </row>
    <row r="103" spans="2:25">
      <c r="B103" s="89"/>
      <c r="C103" s="16"/>
      <c r="D103" s="26" t="s">
        <v>214</v>
      </c>
      <c r="E103" s="265"/>
      <c r="F103" s="265"/>
      <c r="G103" s="180">
        <f t="shared" ca="1" si="19"/>
        <v>485.7555759999949</v>
      </c>
      <c r="H103" s="180">
        <f t="shared" ca="1" si="20"/>
        <v>1002.7010064000001</v>
      </c>
      <c r="I103" s="180">
        <f t="shared" ca="1" si="21"/>
        <v>1018.04168</v>
      </c>
      <c r="J103" s="280">
        <v>8</v>
      </c>
      <c r="K103" s="280">
        <v>8</v>
      </c>
      <c r="L103" s="280">
        <v>8</v>
      </c>
      <c r="M103" s="189">
        <f t="shared" ca="1" si="22"/>
        <v>60.719446999999363</v>
      </c>
      <c r="N103" s="189">
        <f t="shared" ca="1" si="23"/>
        <v>125.33762580000001</v>
      </c>
      <c r="O103" s="189">
        <f t="shared" ca="1" si="24"/>
        <v>127.25521000000001</v>
      </c>
      <c r="P103" s="274">
        <f t="shared" ca="1" si="25"/>
        <v>0.16986638313273159</v>
      </c>
      <c r="Q103" s="41" t="s">
        <v>246</v>
      </c>
      <c r="R103" s="16"/>
      <c r="S103" s="16"/>
      <c r="T103" s="16"/>
      <c r="U103" s="16"/>
      <c r="V103" s="16"/>
      <c r="W103" s="16"/>
      <c r="X103" s="45"/>
      <c r="Y103"/>
    </row>
    <row r="104" spans="2:25">
      <c r="B104" s="89"/>
      <c r="C104" s="16"/>
      <c r="D104" s="21" t="s">
        <v>87</v>
      </c>
      <c r="E104" s="16"/>
      <c r="F104" s="16"/>
      <c r="G104" s="117">
        <f ca="1">SUM(G101:G103)</f>
        <v>5802.4375347991836</v>
      </c>
      <c r="H104" s="117">
        <f t="shared" ref="H104:I104" ca="1" si="26">SUM(H101:H103)</f>
        <v>7403.783287010905</v>
      </c>
      <c r="I104" s="117">
        <f t="shared" ca="1" si="26"/>
        <v>8924.0096513314857</v>
      </c>
      <c r="J104" s="103">
        <f ca="1">G104/M104</f>
        <v>12.103116914648792</v>
      </c>
      <c r="K104" s="103">
        <f t="shared" ref="K104:L104" ca="1" si="27">H104/N104</f>
        <v>11.754260238921187</v>
      </c>
      <c r="L104" s="103">
        <f t="shared" ca="1" si="27"/>
        <v>11.91219787789646</v>
      </c>
      <c r="M104" s="104">
        <f ca="1">SUM(M101:M103)</f>
        <v>479.41679616234279</v>
      </c>
      <c r="N104" s="104">
        <f t="shared" ref="N104:O104" ca="1" si="28">SUM(N101:N103)</f>
        <v>629.88083779999999</v>
      </c>
      <c r="O104" s="104">
        <f t="shared" ca="1" si="28"/>
        <v>749.14887603490263</v>
      </c>
      <c r="P104" s="290">
        <f ca="1">SUM(P101:P103)</f>
        <v>1</v>
      </c>
      <c r="Q104" s="41"/>
      <c r="R104" s="16"/>
      <c r="S104" s="16"/>
      <c r="T104" s="16"/>
      <c r="U104" s="16"/>
      <c r="V104" s="16"/>
      <c r="W104" s="16"/>
      <c r="X104" s="45"/>
      <c r="Y104"/>
    </row>
    <row r="105" spans="2:25">
      <c r="B105" s="89"/>
      <c r="C105" s="16"/>
      <c r="D105" s="37" t="s">
        <v>143</v>
      </c>
      <c r="E105" s="16"/>
      <c r="F105" s="16"/>
      <c r="G105" s="177">
        <f ca="1">-$S$8</f>
        <v>-985.24899999999991</v>
      </c>
      <c r="H105" s="177">
        <f t="shared" ref="H105:I105" ca="1" si="29">-$S$8</f>
        <v>-985.24899999999991</v>
      </c>
      <c r="I105" s="177">
        <f t="shared" ca="1" si="29"/>
        <v>-985.24899999999991</v>
      </c>
      <c r="J105" s="16"/>
      <c r="K105" s="16"/>
      <c r="L105" s="16"/>
      <c r="M105" s="16"/>
      <c r="N105" s="16"/>
      <c r="O105" s="16"/>
      <c r="P105" s="16"/>
      <c r="Q105" s="41"/>
      <c r="R105" s="16"/>
      <c r="S105" s="16"/>
      <c r="T105" s="16"/>
      <c r="U105" s="16"/>
      <c r="V105" s="16"/>
      <c r="W105" s="16"/>
      <c r="X105" s="45"/>
      <c r="Y105"/>
    </row>
    <row r="106" spans="2:25">
      <c r="B106" s="89"/>
      <c r="C106" s="16"/>
      <c r="D106" s="22" t="s">
        <v>144</v>
      </c>
      <c r="E106" s="8"/>
      <c r="F106" s="8"/>
      <c r="G106" s="118">
        <f ca="1">-$S$9</f>
        <v>-1.093</v>
      </c>
      <c r="H106" s="118">
        <f t="shared" ref="H106:I106" ca="1" si="30">-$S$9</f>
        <v>-1.093</v>
      </c>
      <c r="I106" s="118">
        <f t="shared" ca="1" si="30"/>
        <v>-1.093</v>
      </c>
      <c r="J106" s="16"/>
      <c r="K106" s="16"/>
      <c r="L106" s="16"/>
      <c r="N106" s="282"/>
      <c r="O106" s="283"/>
      <c r="P106" s="283"/>
      <c r="Q106" s="283"/>
      <c r="R106" s="36"/>
      <c r="S106" s="16"/>
      <c r="T106" s="16"/>
      <c r="U106" s="16"/>
      <c r="V106" s="16"/>
      <c r="W106" s="16"/>
      <c r="X106" s="45"/>
      <c r="Y106"/>
    </row>
    <row r="107" spans="2:25">
      <c r="B107" s="89"/>
      <c r="C107" s="16"/>
      <c r="D107" s="21" t="s">
        <v>97</v>
      </c>
      <c r="E107" s="16"/>
      <c r="F107" s="16"/>
      <c r="G107" s="117">
        <f ca="1">SUM(G104:G106)</f>
        <v>4816.095534799184</v>
      </c>
      <c r="H107" s="117">
        <f t="shared" ref="H107:I107" ca="1" si="31">SUM(H104:H106)</f>
        <v>6417.4412870109054</v>
      </c>
      <c r="I107" s="117">
        <f t="shared" ca="1" si="31"/>
        <v>7937.667651331486</v>
      </c>
      <c r="J107" s="16"/>
      <c r="K107" s="16"/>
      <c r="L107" s="16"/>
      <c r="M107" s="16"/>
      <c r="N107" s="36"/>
      <c r="O107" s="98"/>
      <c r="P107" s="98"/>
      <c r="Q107" s="98"/>
      <c r="R107" s="36"/>
      <c r="S107" s="16"/>
      <c r="T107" s="16"/>
      <c r="U107" s="16"/>
      <c r="V107" s="16"/>
      <c r="W107" s="16"/>
      <c r="X107" s="45"/>
      <c r="Y107"/>
    </row>
    <row r="108" spans="2:25">
      <c r="B108" s="89"/>
      <c r="C108" s="16"/>
      <c r="D108" s="22" t="s">
        <v>99</v>
      </c>
      <c r="E108" s="8"/>
      <c r="F108" s="8"/>
      <c r="G108" s="116">
        <f ca="1">$S$5</f>
        <v>58.819000000000003</v>
      </c>
      <c r="H108" s="116">
        <f t="shared" ref="H108:I108" ca="1" si="32">$S$5</f>
        <v>58.819000000000003</v>
      </c>
      <c r="I108" s="116">
        <f t="shared" ca="1" si="32"/>
        <v>58.819000000000003</v>
      </c>
      <c r="J108" s="41"/>
      <c r="K108" s="16"/>
      <c r="L108" s="16"/>
      <c r="M108" s="16"/>
      <c r="N108" s="36"/>
      <c r="O108" s="179"/>
      <c r="P108" s="284"/>
      <c r="Q108" s="179"/>
      <c r="R108" s="76"/>
      <c r="S108" s="16"/>
      <c r="T108" s="16"/>
      <c r="U108" s="16"/>
      <c r="V108" s="16"/>
      <c r="W108" s="16"/>
      <c r="X108" s="45"/>
      <c r="Y108"/>
    </row>
    <row r="109" spans="2:25">
      <c r="B109" s="89"/>
      <c r="C109" s="16"/>
      <c r="D109" s="120" t="s">
        <v>98</v>
      </c>
      <c r="E109" s="119"/>
      <c r="F109" s="119"/>
      <c r="G109" s="121">
        <f ca="1">G107/G108</f>
        <v>81.879928846107276</v>
      </c>
      <c r="H109" s="121">
        <f t="shared" ref="H109:I109" ca="1" si="33">H107/H108</f>
        <v>109.10490295671305</v>
      </c>
      <c r="I109" s="121">
        <f t="shared" ca="1" si="33"/>
        <v>134.95074127971378</v>
      </c>
      <c r="J109" s="41"/>
      <c r="K109" s="16"/>
      <c r="L109" s="16"/>
      <c r="M109" s="16"/>
      <c r="N109" s="36"/>
      <c r="O109" s="179"/>
      <c r="P109" s="284"/>
      <c r="Q109" s="179"/>
      <c r="R109" s="76"/>
      <c r="S109" s="16"/>
      <c r="T109" s="16"/>
      <c r="U109" s="16"/>
      <c r="V109" s="16"/>
      <c r="W109" s="16"/>
      <c r="X109" s="45"/>
      <c r="Y109"/>
    </row>
    <row r="110" spans="2:25">
      <c r="B110" s="89"/>
      <c r="C110" s="16"/>
      <c r="D110" s="76"/>
      <c r="E110" s="76" t="s">
        <v>100</v>
      </c>
      <c r="F110" s="36"/>
      <c r="G110" s="122">
        <f ca="1">G109/$S$6-1</f>
        <v>-0.3101943652391973</v>
      </c>
      <c r="H110" s="122">
        <f t="shared" ref="H110:I110" ca="1" si="34">H109/$S$6-1</f>
        <v>-8.0834852934178247E-2</v>
      </c>
      <c r="I110" s="122">
        <f t="shared" ca="1" si="34"/>
        <v>0.13690599224695688</v>
      </c>
      <c r="J110" s="41"/>
      <c r="K110" s="16"/>
      <c r="L110" s="16"/>
      <c r="M110" s="16"/>
      <c r="N110" s="21"/>
      <c r="O110" s="285"/>
      <c r="P110" s="286"/>
      <c r="Q110" s="285"/>
      <c r="R110" s="76"/>
      <c r="S110" s="16"/>
      <c r="T110" s="16"/>
      <c r="U110" s="16"/>
      <c r="V110" s="16"/>
      <c r="W110" s="16"/>
      <c r="X110" s="45"/>
      <c r="Y110"/>
    </row>
    <row r="111" spans="2:25" ht="15.75" thickBot="1">
      <c r="B111" s="89"/>
      <c r="C111" s="16"/>
      <c r="D111" s="16"/>
      <c r="E111" s="16"/>
      <c r="F111" s="16"/>
      <c r="G111" s="16"/>
      <c r="H111" s="16"/>
      <c r="I111" s="16"/>
      <c r="J111" s="41"/>
      <c r="K111" s="16"/>
      <c r="L111" s="16"/>
      <c r="M111" s="16"/>
      <c r="N111" s="37"/>
      <c r="O111" s="37"/>
      <c r="P111" s="37"/>
      <c r="Q111" s="235"/>
      <c r="R111" s="76"/>
      <c r="S111" s="16"/>
      <c r="T111" s="16"/>
      <c r="U111" s="16"/>
      <c r="V111" s="16"/>
      <c r="W111" s="16"/>
      <c r="X111" s="45"/>
      <c r="Y111"/>
    </row>
    <row r="112" spans="2:25">
      <c r="B112" s="89"/>
      <c r="C112" s="16"/>
      <c r="D112" s="16"/>
      <c r="E112" s="79">
        <f ca="1">H110</f>
        <v>-8.0834852934178247E-2</v>
      </c>
      <c r="F112" s="80">
        <f ca="1">I110</f>
        <v>0.13690599224695688</v>
      </c>
      <c r="G112" s="80">
        <f ca="1">G110</f>
        <v>-0.3101943652391973</v>
      </c>
      <c r="H112" s="83">
        <f ca="1">E112*0.5+F112*0.25+G112*0.25</f>
        <v>-8.373951971514923E-2</v>
      </c>
      <c r="I112" s="16" t="s">
        <v>103</v>
      </c>
      <c r="J112" s="41"/>
      <c r="K112" s="41"/>
      <c r="L112" s="16"/>
      <c r="M112" s="16"/>
      <c r="N112" s="36"/>
      <c r="O112" s="36"/>
      <c r="P112" s="36"/>
      <c r="Q112" s="235"/>
      <c r="R112" s="36"/>
      <c r="S112" s="16"/>
      <c r="T112" s="16"/>
      <c r="U112" s="16"/>
      <c r="V112" s="16"/>
      <c r="W112" s="16"/>
      <c r="X112" s="45"/>
      <c r="Y112"/>
    </row>
    <row r="113" spans="2:25" ht="15.75" thickBot="1">
      <c r="B113" s="89"/>
      <c r="C113" s="16"/>
      <c r="D113" s="16"/>
      <c r="E113" s="81" t="s">
        <v>94</v>
      </c>
      <c r="F113" s="82" t="s">
        <v>101</v>
      </c>
      <c r="G113" s="82" t="s">
        <v>102</v>
      </c>
      <c r="H113" s="84">
        <f ca="1">H112/-G112</f>
        <v>-0.26995822329195424</v>
      </c>
      <c r="I113" s="16" t="s">
        <v>104</v>
      </c>
      <c r="J113" s="76"/>
      <c r="K113" s="16"/>
      <c r="L113" s="16"/>
      <c r="M113" s="16"/>
      <c r="N113" s="21"/>
      <c r="O113" s="21"/>
      <c r="P113" s="21"/>
      <c r="Q113" s="287"/>
      <c r="R113" s="36"/>
      <c r="S113" s="16"/>
      <c r="T113" s="16"/>
      <c r="U113" s="16"/>
      <c r="V113" s="16"/>
      <c r="W113" s="16"/>
      <c r="X113" s="45"/>
      <c r="Y113"/>
    </row>
    <row r="114" spans="2:25">
      <c r="B114" s="89"/>
      <c r="C114" s="16"/>
      <c r="D114" s="16"/>
      <c r="E114" s="16"/>
      <c r="F114" s="16"/>
      <c r="G114" s="16"/>
      <c r="H114" s="16"/>
      <c r="I114" s="16"/>
      <c r="J114" s="16"/>
      <c r="K114" s="16"/>
      <c r="L114" s="16"/>
      <c r="M114" s="16"/>
      <c r="N114" s="36"/>
      <c r="O114" s="36"/>
      <c r="P114" s="36"/>
      <c r="Q114" s="289"/>
      <c r="R114" s="36"/>
      <c r="S114" s="16"/>
      <c r="T114" s="16"/>
      <c r="U114" s="16"/>
      <c r="V114" s="16"/>
      <c r="W114" s="16"/>
      <c r="X114" s="45"/>
      <c r="Y114"/>
    </row>
    <row r="115" spans="2:25">
      <c r="B115" s="89"/>
      <c r="C115" s="16"/>
      <c r="D115" s="16"/>
      <c r="E115" s="16"/>
      <c r="F115" s="16"/>
      <c r="G115" s="16"/>
      <c r="H115" s="16"/>
      <c r="I115" s="16"/>
      <c r="J115" s="16"/>
      <c r="K115" s="16"/>
      <c r="L115" s="16"/>
      <c r="M115" s="16"/>
      <c r="N115" s="21"/>
      <c r="O115" s="21"/>
      <c r="P115" s="21"/>
      <c r="Q115" s="288"/>
      <c r="R115" s="36"/>
      <c r="S115" s="16"/>
      <c r="T115" s="16"/>
      <c r="U115" s="16"/>
      <c r="V115" s="16"/>
      <c r="W115" s="16"/>
      <c r="X115" s="45"/>
      <c r="Y115"/>
    </row>
    <row r="116" spans="2:25">
      <c r="B116" s="89"/>
      <c r="C116" s="16" t="s">
        <v>90</v>
      </c>
      <c r="D116" s="112" t="s">
        <v>271</v>
      </c>
      <c r="E116" s="16"/>
      <c r="F116" s="16"/>
      <c r="G116" s="16"/>
      <c r="H116" s="16"/>
      <c r="I116" s="16"/>
      <c r="J116" s="16"/>
      <c r="K116" s="16"/>
      <c r="L116" s="16"/>
      <c r="M116" s="16"/>
      <c r="N116" s="76"/>
      <c r="O116" s="36"/>
      <c r="P116" s="36"/>
      <c r="Q116" s="122"/>
      <c r="R116" s="36"/>
      <c r="S116" s="16"/>
      <c r="T116" s="16"/>
      <c r="U116" s="16"/>
      <c r="V116" s="16"/>
      <c r="W116" s="16"/>
      <c r="X116" s="45"/>
      <c r="Y116"/>
    </row>
    <row r="117" spans="2:25">
      <c r="B117" s="89"/>
      <c r="C117" s="16"/>
      <c r="D117" s="16"/>
      <c r="E117" s="16"/>
      <c r="F117" s="16"/>
      <c r="G117" s="16"/>
      <c r="H117" s="16"/>
      <c r="I117" s="16"/>
      <c r="J117" s="16"/>
      <c r="K117" s="16"/>
      <c r="L117" s="16"/>
      <c r="M117" s="16"/>
      <c r="N117" s="16"/>
      <c r="O117" s="16"/>
      <c r="P117" s="16"/>
      <c r="Q117" s="16"/>
      <c r="R117" s="16"/>
      <c r="S117" s="16"/>
      <c r="T117" s="16"/>
      <c r="U117" s="16"/>
      <c r="V117" s="16"/>
      <c r="W117" s="16"/>
      <c r="X117" s="45"/>
      <c r="Y117"/>
    </row>
    <row r="118" spans="2:25">
      <c r="B118" s="89"/>
      <c r="C118" s="275" t="s">
        <v>242</v>
      </c>
      <c r="D118" s="262"/>
      <c r="E118" s="262"/>
      <c r="F118" s="263" t="s">
        <v>233</v>
      </c>
      <c r="G118" s="111" t="s">
        <v>127</v>
      </c>
      <c r="H118" s="263" t="s">
        <v>234</v>
      </c>
      <c r="I118" s="111" t="s">
        <v>235</v>
      </c>
      <c r="J118" s="263" t="s">
        <v>238</v>
      </c>
      <c r="K118" s="111" t="s">
        <v>128</v>
      </c>
      <c r="L118" s="111" t="s">
        <v>48</v>
      </c>
      <c r="M118" s="111" t="s">
        <v>235</v>
      </c>
      <c r="N118" s="166"/>
      <c r="O118" s="166"/>
      <c r="P118" s="36"/>
      <c r="Q118" s="16"/>
      <c r="R118" s="16"/>
      <c r="S118" s="16"/>
      <c r="T118" s="16"/>
      <c r="U118" s="16"/>
      <c r="V118" s="16"/>
      <c r="W118" s="16"/>
      <c r="X118" s="45"/>
      <c r="Y118"/>
    </row>
    <row r="119" spans="2:25">
      <c r="B119" s="89"/>
      <c r="C119" s="16" t="s">
        <v>237</v>
      </c>
      <c r="D119" s="36"/>
      <c r="E119" s="3"/>
      <c r="F119" s="177">
        <f>305.454</f>
        <v>305.45400000000001</v>
      </c>
      <c r="G119" s="281">
        <v>7.0000000000000007E-2</v>
      </c>
      <c r="H119" s="268">
        <f>F119*(1+G119)</f>
        <v>326.83578</v>
      </c>
      <c r="I119" s="281">
        <v>0.1</v>
      </c>
      <c r="J119" s="268">
        <f>H119*I119</f>
        <v>32.683578000000004</v>
      </c>
      <c r="K119" s="266">
        <f ca="1">J119/($J$119+$J$120)*'Model Shell'!$G$97</f>
        <v>19.976247129698219</v>
      </c>
      <c r="L119" s="268">
        <f ca="1">J119+K119</f>
        <v>52.65982512969822</v>
      </c>
      <c r="M119" s="270">
        <f ca="1">L119/H119</f>
        <v>0.16112013540775194</v>
      </c>
      <c r="N119" s="218"/>
      <c r="O119" s="218"/>
      <c r="P119" s="36"/>
      <c r="Q119" s="16"/>
      <c r="R119" s="16"/>
      <c r="S119" s="16"/>
      <c r="T119" s="16"/>
      <c r="U119" s="16"/>
      <c r="V119" s="16"/>
      <c r="W119" s="16"/>
      <c r="X119" s="45"/>
      <c r="Y119"/>
    </row>
    <row r="120" spans="2:25">
      <c r="B120" s="89"/>
      <c r="C120" s="16" t="s">
        <v>236</v>
      </c>
      <c r="D120" s="21"/>
      <c r="E120" s="3"/>
      <c r="F120" s="177">
        <f>'Model Shell'!O7-Memo!F119</f>
        <v>1416.4830000000002</v>
      </c>
      <c r="G120" s="281">
        <v>0.1</v>
      </c>
      <c r="H120" s="268">
        <f>F120*(1+G120)</f>
        <v>1558.1313000000002</v>
      </c>
      <c r="I120" s="281">
        <v>0.18</v>
      </c>
      <c r="J120" s="268">
        <f t="shared" ref="J120:J121" si="35">H120*I120</f>
        <v>280.46363400000001</v>
      </c>
      <c r="K120" s="266">
        <f ca="1">J120/($J$119+$J$120)*'Model Shell'!$G$97</f>
        <v>171.41975287030175</v>
      </c>
      <c r="L120" s="268">
        <f t="shared" ref="L120:L121" ca="1" si="36">J120+K120</f>
        <v>451.88338687030176</v>
      </c>
      <c r="M120" s="270">
        <f t="shared" ref="M120:M121" ca="1" si="37">L120/H120</f>
        <v>0.2900162437339534</v>
      </c>
      <c r="N120" s="227"/>
      <c r="O120" s="227"/>
      <c r="P120" s="36"/>
      <c r="Q120" s="16"/>
      <c r="R120" s="16"/>
      <c r="S120" s="16"/>
      <c r="T120" s="16"/>
      <c r="U120" s="16"/>
      <c r="V120" s="16"/>
      <c r="W120" s="16"/>
      <c r="X120" s="45"/>
      <c r="Y120"/>
    </row>
    <row r="121" spans="2:25">
      <c r="B121" s="89"/>
      <c r="C121" s="22" t="s">
        <v>214</v>
      </c>
      <c r="D121" s="22"/>
      <c r="E121" s="22"/>
      <c r="F121" s="118">
        <f>'Model Shell'!O8</f>
        <v>1369.703</v>
      </c>
      <c r="G121" s="281">
        <v>-0.02</v>
      </c>
      <c r="H121" s="269">
        <f>F121*(1+G121)</f>
        <v>1342.3089399999999</v>
      </c>
      <c r="I121" s="281">
        <v>7.0000000000000007E-2</v>
      </c>
      <c r="J121" s="269">
        <f t="shared" si="35"/>
        <v>93.961625800000007</v>
      </c>
      <c r="K121" s="267">
        <f ca="1">'Model Shell'!G102</f>
        <v>31.376000000000001</v>
      </c>
      <c r="L121" s="269">
        <f t="shared" ca="1" si="36"/>
        <v>125.33762580000001</v>
      </c>
      <c r="M121" s="271">
        <f t="shared" ca="1" si="37"/>
        <v>9.3374648760068624E-2</v>
      </c>
      <c r="N121" s="218"/>
      <c r="O121" s="218"/>
      <c r="P121" s="194"/>
      <c r="Q121" s="16"/>
      <c r="R121" s="16"/>
      <c r="S121" s="16"/>
      <c r="T121" s="16"/>
      <c r="U121" s="16"/>
      <c r="V121" s="16"/>
      <c r="W121" s="16"/>
      <c r="X121" s="45"/>
      <c r="Y121"/>
    </row>
    <row r="122" spans="2:25">
      <c r="B122" s="89"/>
      <c r="C122" s="36" t="s">
        <v>166</v>
      </c>
      <c r="D122" s="36"/>
      <c r="E122" s="36"/>
      <c r="F122" s="117">
        <f>SUM(F119:F121)</f>
        <v>3091.6400000000003</v>
      </c>
      <c r="G122" s="272">
        <f>H122/F122-1</f>
        <v>4.3871867358424632E-2</v>
      </c>
      <c r="H122" s="273">
        <f>SUM(H119:H121)</f>
        <v>3227.2760200000002</v>
      </c>
      <c r="I122" s="272">
        <f>J122/H122</f>
        <v>0.1261462717403391</v>
      </c>
      <c r="J122" s="273">
        <f>SUM(J119:J121)</f>
        <v>407.10883780000006</v>
      </c>
      <c r="K122" s="273">
        <f ca="1">SUM(K119:K121)</f>
        <v>222.77199999999996</v>
      </c>
      <c r="L122" s="273">
        <f ca="1">SUM(L119:L121)</f>
        <v>629.88083779999999</v>
      </c>
      <c r="M122" s="272">
        <f ca="1">L122/H122</f>
        <v>0.19517414497443572</v>
      </c>
      <c r="N122" s="228"/>
      <c r="O122" s="228"/>
      <c r="P122" s="36"/>
      <c r="Q122" s="16"/>
      <c r="R122" s="16"/>
      <c r="S122" s="16"/>
      <c r="T122" s="16"/>
      <c r="U122" s="16"/>
      <c r="V122" s="16"/>
      <c r="W122" s="16"/>
      <c r="X122" s="45"/>
      <c r="Y122"/>
    </row>
    <row r="123" spans="2:25">
      <c r="B123" s="89"/>
      <c r="C123" s="16"/>
      <c r="D123" s="36"/>
      <c r="E123" s="36"/>
      <c r="F123" s="218"/>
      <c r="G123" s="36"/>
      <c r="H123" s="16"/>
      <c r="I123" s="36"/>
      <c r="J123" s="36"/>
      <c r="K123" s="228"/>
      <c r="L123" s="228"/>
      <c r="M123" s="228"/>
      <c r="N123" s="228"/>
      <c r="O123" s="228"/>
      <c r="P123" s="36"/>
      <c r="Q123" s="16"/>
      <c r="R123" s="16"/>
      <c r="S123" s="16"/>
      <c r="T123" s="16"/>
      <c r="U123" s="16"/>
      <c r="V123" s="16"/>
      <c r="W123" s="16"/>
      <c r="X123" s="45"/>
      <c r="Y123"/>
    </row>
    <row r="124" spans="2:25">
      <c r="B124" s="89"/>
      <c r="C124" s="275" t="s">
        <v>272</v>
      </c>
      <c r="D124" s="262"/>
      <c r="E124" s="262"/>
      <c r="F124" s="263" t="s">
        <v>233</v>
      </c>
      <c r="G124" s="111" t="s">
        <v>127</v>
      </c>
      <c r="H124" s="263" t="s">
        <v>234</v>
      </c>
      <c r="I124" s="111" t="s">
        <v>235</v>
      </c>
      <c r="J124" s="263" t="s">
        <v>238</v>
      </c>
      <c r="K124" s="111" t="s">
        <v>128</v>
      </c>
      <c r="L124" s="111" t="s">
        <v>48</v>
      </c>
      <c r="M124" s="111" t="s">
        <v>235</v>
      </c>
      <c r="N124" s="228"/>
      <c r="O124" s="228"/>
      <c r="P124" s="36"/>
      <c r="Q124" s="16"/>
      <c r="R124" s="16"/>
      <c r="S124" s="16"/>
      <c r="T124" s="16"/>
      <c r="U124" s="16"/>
      <c r="V124" s="16"/>
      <c r="W124" s="16"/>
      <c r="X124" s="45"/>
      <c r="Y124"/>
    </row>
    <row r="125" spans="2:25">
      <c r="B125" s="89"/>
      <c r="C125" s="16" t="s">
        <v>237</v>
      </c>
      <c r="D125" s="36"/>
      <c r="E125" s="3"/>
      <c r="F125" s="276">
        <f>F119</f>
        <v>305.45400000000001</v>
      </c>
      <c r="G125" s="281">
        <v>7.0000000000000007E-2</v>
      </c>
      <c r="H125" s="268">
        <f>F125*(1+G125)</f>
        <v>326.83578</v>
      </c>
      <c r="I125" s="281">
        <v>0.08</v>
      </c>
      <c r="J125" s="268">
        <f>H125*I125</f>
        <v>26.1468624</v>
      </c>
      <c r="K125" s="266">
        <f ca="1">J125/($J$119+$J$120)*'Model Shell'!$G$97</f>
        <v>15.980997703758574</v>
      </c>
      <c r="L125" s="268">
        <f ca="1">J125+K125</f>
        <v>42.127860103758572</v>
      </c>
      <c r="M125" s="270">
        <f ca="1">L125/H125</f>
        <v>0.12889610832620152</v>
      </c>
      <c r="N125" s="228"/>
      <c r="O125" s="229"/>
      <c r="P125" s="36"/>
      <c r="Q125" s="16"/>
      <c r="R125" s="16"/>
      <c r="S125" s="16"/>
      <c r="T125" s="16"/>
      <c r="U125" s="16"/>
      <c r="V125" s="16"/>
      <c r="W125" s="16"/>
      <c r="X125" s="45"/>
      <c r="Y125"/>
    </row>
    <row r="126" spans="2:25">
      <c r="B126" s="89"/>
      <c r="C126" s="16" t="s">
        <v>236</v>
      </c>
      <c r="D126" s="21"/>
      <c r="E126" s="3"/>
      <c r="F126" s="276">
        <f t="shared" ref="F126:F127" si="38">F120</f>
        <v>1416.4830000000002</v>
      </c>
      <c r="G126" s="281">
        <v>0.1</v>
      </c>
      <c r="H126" s="268">
        <f>F126*(1+G126)</f>
        <v>1558.1313000000002</v>
      </c>
      <c r="I126" s="281">
        <v>0.15</v>
      </c>
      <c r="J126" s="268">
        <f t="shared" ref="J126:J127" si="39">H126*I126</f>
        <v>233.71969500000003</v>
      </c>
      <c r="K126" s="266">
        <f ca="1">J126/($J$119+$J$120)*'Model Shell'!$G$97</f>
        <v>142.84979405858482</v>
      </c>
      <c r="L126" s="268">
        <f t="shared" ref="L126:L127" ca="1" si="40">J126+K126</f>
        <v>376.56948905858485</v>
      </c>
      <c r="M126" s="270">
        <f t="shared" ref="M126:M127" ca="1" si="41">L126/H126</f>
        <v>0.24168020311162788</v>
      </c>
      <c r="N126" s="228"/>
      <c r="O126" s="229"/>
      <c r="P126" s="36"/>
      <c r="Q126" s="16"/>
      <c r="R126" s="16"/>
      <c r="S126" s="16"/>
      <c r="T126" s="16"/>
      <c r="U126" s="16"/>
      <c r="V126" s="16"/>
      <c r="W126" s="16"/>
      <c r="X126" s="45"/>
      <c r="Y126"/>
    </row>
    <row r="127" spans="2:25">
      <c r="B127" s="89"/>
      <c r="C127" s="22" t="s">
        <v>214</v>
      </c>
      <c r="D127" s="22"/>
      <c r="E127" s="22"/>
      <c r="F127" s="277">
        <f t="shared" si="38"/>
        <v>1369.703</v>
      </c>
      <c r="G127" s="281">
        <v>-0.02</v>
      </c>
      <c r="H127" s="269">
        <f>F127*(1+G127)</f>
        <v>1342.3089399999999</v>
      </c>
      <c r="I127" s="281">
        <v>0.05</v>
      </c>
      <c r="J127" s="269">
        <f t="shared" si="39"/>
        <v>67.115447000000003</v>
      </c>
      <c r="K127" s="267">
        <f ca="1">'Model Shell'!G108</f>
        <v>-6.3960000000006403</v>
      </c>
      <c r="L127" s="269">
        <f t="shared" ca="1" si="40"/>
        <v>60.719446999999363</v>
      </c>
      <c r="M127" s="271">
        <f t="shared" ca="1" si="41"/>
        <v>4.5235076062295591E-2</v>
      </c>
      <c r="N127" s="228"/>
      <c r="O127" s="229"/>
      <c r="P127" s="36"/>
      <c r="Q127" s="16"/>
      <c r="R127" s="16"/>
      <c r="S127" s="16"/>
      <c r="T127" s="16"/>
      <c r="U127" s="16"/>
      <c r="V127" s="16"/>
      <c r="W127" s="16"/>
      <c r="X127" s="45"/>
      <c r="Y127"/>
    </row>
    <row r="128" spans="2:25">
      <c r="B128" s="89"/>
      <c r="C128" s="36" t="s">
        <v>166</v>
      </c>
      <c r="D128" s="36"/>
      <c r="E128" s="36"/>
      <c r="F128" s="117">
        <f>SUM(F125:F127)</f>
        <v>3091.6400000000003</v>
      </c>
      <c r="G128" s="272">
        <f>H128/F128-1</f>
        <v>4.3871867358424632E-2</v>
      </c>
      <c r="H128" s="273">
        <f>SUM(H125:H127)</f>
        <v>3227.2760200000002</v>
      </c>
      <c r="I128" s="272">
        <f>J128/H128</f>
        <v>0.10131826418739356</v>
      </c>
      <c r="J128" s="273">
        <f>SUM(J125:J127)</f>
        <v>326.98200440000005</v>
      </c>
      <c r="K128" s="273">
        <f ca="1">SUM(K125:K127)</f>
        <v>152.43479176234274</v>
      </c>
      <c r="L128" s="273">
        <f ca="1">SUM(L125:L127)</f>
        <v>479.41679616234279</v>
      </c>
      <c r="M128" s="272">
        <f ca="1">L128/H128</f>
        <v>0.14855153175350114</v>
      </c>
      <c r="N128" s="228"/>
      <c r="O128" s="229"/>
      <c r="P128" s="36"/>
      <c r="Q128" s="16"/>
      <c r="R128" s="16"/>
      <c r="S128" s="16"/>
      <c r="T128" s="16"/>
      <c r="U128" s="16"/>
      <c r="V128" s="16"/>
      <c r="W128" s="16"/>
      <c r="X128" s="45"/>
      <c r="Y128"/>
    </row>
    <row r="129" spans="2:25">
      <c r="B129" s="89"/>
      <c r="C129" s="16"/>
      <c r="D129" s="36"/>
      <c r="E129" s="36"/>
      <c r="F129" s="218"/>
      <c r="G129" s="36"/>
      <c r="H129" s="16"/>
      <c r="I129" s="36"/>
      <c r="J129" s="36"/>
      <c r="K129" s="228"/>
      <c r="L129" s="228"/>
      <c r="M129" s="228"/>
      <c r="N129" s="228"/>
      <c r="O129" s="228"/>
      <c r="P129" s="36"/>
      <c r="Q129" s="16"/>
      <c r="R129" s="16"/>
      <c r="S129" s="16"/>
      <c r="T129" s="16"/>
      <c r="U129" s="16"/>
      <c r="V129" s="16"/>
      <c r="W129" s="16"/>
      <c r="X129" s="45"/>
      <c r="Y129"/>
    </row>
    <row r="130" spans="2:25">
      <c r="B130" s="89"/>
      <c r="C130" s="275" t="s">
        <v>243</v>
      </c>
      <c r="D130" s="262"/>
      <c r="E130" s="262"/>
      <c r="F130" s="263" t="s">
        <v>233</v>
      </c>
      <c r="G130" s="111" t="s">
        <v>127</v>
      </c>
      <c r="H130" s="263" t="s">
        <v>234</v>
      </c>
      <c r="I130" s="111" t="s">
        <v>235</v>
      </c>
      <c r="J130" s="263" t="s">
        <v>238</v>
      </c>
      <c r="K130" s="111" t="s">
        <v>128</v>
      </c>
      <c r="L130" s="111" t="s">
        <v>48</v>
      </c>
      <c r="M130" s="111" t="s">
        <v>235</v>
      </c>
      <c r="N130" s="228"/>
      <c r="O130" s="228"/>
      <c r="P130" s="36"/>
      <c r="Q130" s="16"/>
      <c r="R130" s="16"/>
      <c r="S130" s="16"/>
      <c r="T130" s="16"/>
      <c r="U130" s="16"/>
      <c r="V130" s="16"/>
      <c r="W130" s="16"/>
      <c r="X130" s="45"/>
      <c r="Y130"/>
    </row>
    <row r="131" spans="2:25">
      <c r="B131" s="89"/>
      <c r="C131" s="16" t="s">
        <v>237</v>
      </c>
      <c r="D131" s="36"/>
      <c r="E131" s="3"/>
      <c r="F131" s="276">
        <f>F125</f>
        <v>305.45400000000001</v>
      </c>
      <c r="G131" s="281">
        <v>0.1</v>
      </c>
      <c r="H131" s="268">
        <f>F131*(1+G131)</f>
        <v>335.99940000000004</v>
      </c>
      <c r="I131" s="281">
        <v>0.11</v>
      </c>
      <c r="J131" s="268">
        <f>H131*I131</f>
        <v>36.959934000000004</v>
      </c>
      <c r="K131" s="266">
        <f ca="1">J131/($J$119+$J$120)*'Model Shell'!$G$97</f>
        <v>22.589961707415746</v>
      </c>
      <c r="L131" s="268">
        <f ca="1">J131+K131</f>
        <v>59.54989570741575</v>
      </c>
      <c r="M131" s="270">
        <f ca="1">L131/H131</f>
        <v>0.17723214894852712</v>
      </c>
      <c r="N131" s="228"/>
      <c r="O131" s="228"/>
      <c r="P131" s="36"/>
      <c r="Q131" s="16"/>
      <c r="R131" s="16"/>
      <c r="S131" s="16"/>
      <c r="T131" s="16"/>
      <c r="U131" s="16"/>
      <c r="V131" s="16"/>
      <c r="W131" s="16"/>
      <c r="X131" s="45"/>
      <c r="Y131"/>
    </row>
    <row r="132" spans="2:25">
      <c r="B132" s="89"/>
      <c r="C132" s="16" t="s">
        <v>236</v>
      </c>
      <c r="D132" s="21"/>
      <c r="E132" s="3"/>
      <c r="F132" s="276">
        <f t="shared" ref="F132:F133" si="42">F126</f>
        <v>1416.4830000000002</v>
      </c>
      <c r="G132" s="281">
        <v>0.12</v>
      </c>
      <c r="H132" s="268">
        <f>F132*(1+G132)</f>
        <v>1586.4609600000003</v>
      </c>
      <c r="I132" s="281">
        <v>0.22</v>
      </c>
      <c r="J132" s="268">
        <f t="shared" ref="J132:J133" si="43">H132*I132</f>
        <v>349.0214112000001</v>
      </c>
      <c r="K132" s="266">
        <f ca="1">J132/($J$119+$J$120)*'Model Shell'!$G$97</f>
        <v>213.32235912748669</v>
      </c>
      <c r="L132" s="268">
        <f t="shared" ref="L132:L133" ca="1" si="44">J132+K132</f>
        <v>562.34377032748682</v>
      </c>
      <c r="M132" s="270">
        <f t="shared" ref="M132:M133" ca="1" si="45">L132/H132</f>
        <v>0.35446429789705425</v>
      </c>
      <c r="N132" s="228"/>
      <c r="O132" s="228"/>
      <c r="P132" s="36"/>
      <c r="Q132" s="16"/>
      <c r="R132" s="16"/>
      <c r="S132" s="16"/>
      <c r="T132" s="16"/>
      <c r="U132" s="16"/>
      <c r="V132" s="16"/>
      <c r="W132" s="16"/>
      <c r="X132" s="45"/>
      <c r="Y132"/>
    </row>
    <row r="133" spans="2:25">
      <c r="B133" s="89"/>
      <c r="C133" s="22" t="s">
        <v>214</v>
      </c>
      <c r="D133" s="22"/>
      <c r="E133" s="22"/>
      <c r="F133" s="277">
        <f t="shared" si="42"/>
        <v>1369.703</v>
      </c>
      <c r="G133" s="281">
        <v>0</v>
      </c>
      <c r="H133" s="269">
        <f>F133*(1+G133)</f>
        <v>1369.703</v>
      </c>
      <c r="I133" s="281">
        <v>7.0000000000000007E-2</v>
      </c>
      <c r="J133" s="269">
        <f t="shared" si="43"/>
        <v>95.87921</v>
      </c>
      <c r="K133" s="267">
        <f ca="1">'Model Shell'!G102</f>
        <v>31.376000000000001</v>
      </c>
      <c r="L133" s="269">
        <f t="shared" ca="1" si="44"/>
        <v>127.25521000000001</v>
      </c>
      <c r="M133" s="271">
        <f t="shared" ca="1" si="45"/>
        <v>9.2907155784867232E-2</v>
      </c>
      <c r="N133" s="228"/>
      <c r="O133" s="228"/>
      <c r="P133" s="36"/>
      <c r="Q133" s="16"/>
      <c r="R133" s="16"/>
      <c r="S133" s="16"/>
      <c r="T133" s="16"/>
      <c r="U133" s="16"/>
      <c r="V133" s="16"/>
      <c r="W133" s="16"/>
      <c r="X133" s="45"/>
      <c r="Y133"/>
    </row>
    <row r="134" spans="2:25">
      <c r="B134" s="89"/>
      <c r="C134" s="36" t="s">
        <v>166</v>
      </c>
      <c r="D134" s="36"/>
      <c r="E134" s="36"/>
      <c r="F134" s="117">
        <f>SUM(F131:F133)</f>
        <v>3091.6400000000003</v>
      </c>
      <c r="G134" s="272">
        <f>H134/F134-1</f>
        <v>6.4859867254919656E-2</v>
      </c>
      <c r="H134" s="273">
        <f>SUM(H131:H133)</f>
        <v>3292.1633600000005</v>
      </c>
      <c r="I134" s="272">
        <f>J134/H134</f>
        <v>0.14636593100288925</v>
      </c>
      <c r="J134" s="273">
        <f>SUM(J131:J133)</f>
        <v>481.86055520000008</v>
      </c>
      <c r="K134" s="273">
        <f ca="1">SUM(K131:K133)</f>
        <v>267.28832083490244</v>
      </c>
      <c r="L134" s="273">
        <f ca="1">SUM(L131:L133)</f>
        <v>749.14887603490263</v>
      </c>
      <c r="M134" s="272">
        <f ca="1">L134/H134</f>
        <v>0.22755519520601875</v>
      </c>
      <c r="N134" s="228"/>
      <c r="O134" s="228"/>
      <c r="P134" s="36"/>
      <c r="Q134" s="16"/>
      <c r="R134" s="16"/>
      <c r="S134" s="16"/>
      <c r="T134" s="16"/>
      <c r="U134" s="16"/>
      <c r="V134" s="16"/>
      <c r="W134" s="16"/>
      <c r="X134" s="45"/>
      <c r="Y134"/>
    </row>
    <row r="135" spans="2:25">
      <c r="B135" s="89"/>
      <c r="C135" s="16"/>
      <c r="D135" s="36"/>
      <c r="E135" s="36"/>
      <c r="F135" s="218"/>
      <c r="G135" s="36"/>
      <c r="H135" s="16"/>
      <c r="I135" s="36"/>
      <c r="J135" s="36"/>
      <c r="K135" s="228"/>
      <c r="L135" s="228"/>
      <c r="M135" s="228"/>
      <c r="N135" s="228"/>
      <c r="O135" s="228"/>
      <c r="P135" s="36"/>
      <c r="Q135" s="16"/>
      <c r="R135" s="16"/>
      <c r="S135" s="16"/>
      <c r="T135" s="16"/>
      <c r="U135" s="16"/>
      <c r="V135" s="16"/>
      <c r="W135" s="16"/>
      <c r="X135" s="45"/>
      <c r="Y135"/>
    </row>
    <row r="136" spans="2:25">
      <c r="B136" s="89"/>
      <c r="C136" s="36" t="s">
        <v>92</v>
      </c>
      <c r="D136" s="328" t="s">
        <v>270</v>
      </c>
      <c r="E136" s="176"/>
      <c r="F136" s="219"/>
      <c r="G136" s="194"/>
      <c r="H136" s="16"/>
      <c r="I136" s="76"/>
      <c r="J136" s="36"/>
      <c r="K136" s="36"/>
      <c r="L136" s="227"/>
      <c r="M136" s="227"/>
      <c r="N136" s="227"/>
      <c r="O136" s="227"/>
      <c r="P136" s="36"/>
      <c r="Q136" s="16"/>
      <c r="R136" s="16"/>
      <c r="S136" s="16"/>
      <c r="T136" s="16"/>
      <c r="U136" s="16"/>
      <c r="V136" s="16"/>
      <c r="W136" s="16"/>
      <c r="X136" s="45"/>
      <c r="Y136"/>
    </row>
    <row r="137" spans="2:25" ht="15.75" thickBot="1">
      <c r="B137" s="89"/>
      <c r="C137" s="36"/>
      <c r="D137" s="37"/>
      <c r="E137" s="37"/>
      <c r="F137" s="100"/>
      <c r="G137" s="36"/>
      <c r="H137" s="16"/>
      <c r="I137" s="36"/>
      <c r="J137" s="36"/>
      <c r="K137" s="36"/>
      <c r="L137" s="36"/>
      <c r="M137" s="36"/>
      <c r="N137" s="36"/>
      <c r="O137" s="36"/>
      <c r="P137" s="36"/>
      <c r="Q137" s="16"/>
      <c r="R137" s="16"/>
      <c r="S137" s="16"/>
      <c r="T137" s="16"/>
      <c r="U137" s="16"/>
      <c r="V137" s="16"/>
      <c r="W137" s="16"/>
      <c r="X137" s="45"/>
      <c r="Y137"/>
    </row>
    <row r="138" spans="2:25">
      <c r="B138" s="89"/>
      <c r="C138" s="16"/>
      <c r="D138" s="319" t="s">
        <v>87</v>
      </c>
      <c r="E138" s="320"/>
      <c r="F138" s="320"/>
      <c r="G138" s="329">
        <f>'Marine DCF'!E27</f>
        <v>5552.4295539242667</v>
      </c>
      <c r="H138" s="16"/>
      <c r="I138" s="36"/>
      <c r="J138" s="36"/>
      <c r="K138" s="100"/>
      <c r="L138" s="100"/>
      <c r="M138" s="100"/>
      <c r="N138" s="100"/>
      <c r="O138" s="36"/>
      <c r="P138" s="36"/>
      <c r="Q138" s="16"/>
      <c r="R138" s="16"/>
      <c r="S138" s="16"/>
      <c r="T138" s="16"/>
      <c r="U138" s="16"/>
      <c r="V138" s="16"/>
      <c r="W138" s="16"/>
      <c r="X138" s="45"/>
      <c r="Y138"/>
    </row>
    <row r="139" spans="2:25">
      <c r="B139" s="89"/>
      <c r="C139" s="16"/>
      <c r="D139" s="331" t="s">
        <v>266</v>
      </c>
      <c r="E139" s="41"/>
      <c r="F139" s="16"/>
      <c r="G139" s="323">
        <f ca="1">'Marine DCF'!E28</f>
        <v>11.004864245253719</v>
      </c>
      <c r="H139" s="16"/>
      <c r="I139" s="36"/>
      <c r="J139" s="36"/>
      <c r="K139" s="36"/>
      <c r="L139" s="36"/>
      <c r="M139" s="36"/>
      <c r="N139" s="36"/>
      <c r="O139" s="36"/>
      <c r="P139" s="36"/>
      <c r="Q139" s="16"/>
      <c r="R139" s="16"/>
      <c r="S139" s="16"/>
      <c r="T139" s="16"/>
      <c r="U139" s="16"/>
      <c r="V139" s="16"/>
      <c r="W139" s="16"/>
      <c r="X139" s="45"/>
      <c r="Y139"/>
    </row>
    <row r="140" spans="2:25" ht="15.75" thickBot="1">
      <c r="B140" s="89"/>
      <c r="D140" s="332" t="s">
        <v>267</v>
      </c>
      <c r="E140" s="325"/>
      <c r="F140" s="326"/>
      <c r="G140" s="330">
        <f>'Marine DCF'!E29</f>
        <v>4.8815348429668171E-2</v>
      </c>
      <c r="H140" s="16"/>
      <c r="I140" s="36"/>
      <c r="J140" s="36"/>
      <c r="K140" s="98"/>
      <c r="L140" s="98"/>
      <c r="M140" s="98"/>
      <c r="N140" s="36"/>
      <c r="O140" s="36"/>
      <c r="P140" s="36"/>
      <c r="Q140" s="16"/>
      <c r="R140" s="16"/>
      <c r="S140" s="16"/>
      <c r="T140" s="16"/>
      <c r="U140" s="16"/>
      <c r="V140" s="16"/>
      <c r="W140" s="16"/>
      <c r="X140" s="45"/>
      <c r="Y140"/>
    </row>
    <row r="141" spans="2:25">
      <c r="B141" s="89"/>
      <c r="D141" s="41"/>
      <c r="E141" s="41"/>
      <c r="F141" s="16"/>
      <c r="G141" s="333"/>
      <c r="H141" s="16"/>
      <c r="I141" s="36"/>
      <c r="J141" s="36"/>
      <c r="K141" s="98"/>
      <c r="L141" s="98"/>
      <c r="M141" s="98"/>
      <c r="N141" s="36"/>
      <c r="O141" s="36"/>
      <c r="P141" s="36"/>
      <c r="Q141" s="16"/>
      <c r="R141" s="16"/>
      <c r="S141" s="16"/>
      <c r="T141" s="16"/>
      <c r="U141" s="16"/>
      <c r="V141" s="16"/>
      <c r="W141" s="16"/>
      <c r="X141" s="45"/>
      <c r="Y141"/>
    </row>
    <row r="142" spans="2:25">
      <c r="B142" s="89"/>
      <c r="D142" s="41"/>
      <c r="E142" s="41"/>
      <c r="F142" s="16"/>
      <c r="G142" s="333"/>
      <c r="H142" s="16"/>
      <c r="I142" s="36"/>
      <c r="J142" s="36"/>
      <c r="K142" s="98"/>
      <c r="L142" s="98"/>
      <c r="M142" s="98"/>
      <c r="N142" s="36"/>
      <c r="O142" s="36"/>
      <c r="P142" s="36"/>
      <c r="Q142" s="16"/>
      <c r="R142" s="16"/>
      <c r="S142" s="16"/>
      <c r="T142" s="16"/>
      <c r="U142" s="16"/>
      <c r="V142" s="16"/>
      <c r="W142" s="16"/>
      <c r="X142" s="45"/>
      <c r="Y142"/>
    </row>
    <row r="143" spans="2:25">
      <c r="B143" s="89"/>
      <c r="D143" s="41"/>
      <c r="E143" s="41"/>
      <c r="F143" s="16"/>
      <c r="G143" s="333"/>
      <c r="H143" s="16"/>
      <c r="I143" s="36"/>
      <c r="J143" s="36"/>
      <c r="K143" s="98"/>
      <c r="L143" s="98"/>
      <c r="M143" s="98"/>
      <c r="N143" s="36"/>
      <c r="O143" s="36"/>
      <c r="P143" s="36"/>
      <c r="Q143" s="16"/>
      <c r="R143" s="16"/>
      <c r="S143" s="16"/>
      <c r="T143" s="16"/>
      <c r="U143" s="16"/>
      <c r="V143" s="16"/>
      <c r="W143" s="16"/>
      <c r="X143" s="45"/>
      <c r="Y143"/>
    </row>
    <row r="144" spans="2:25">
      <c r="B144" s="89"/>
      <c r="D144" s="41"/>
      <c r="E144" s="41"/>
      <c r="F144" s="16"/>
      <c r="G144" s="333"/>
      <c r="H144" s="16"/>
      <c r="I144" s="36"/>
      <c r="J144" s="36"/>
      <c r="K144" s="98"/>
      <c r="L144" s="98"/>
      <c r="M144" s="98"/>
      <c r="N144" s="36"/>
      <c r="O144" s="36"/>
      <c r="P144" s="36"/>
      <c r="Q144" s="16"/>
      <c r="R144" s="16"/>
      <c r="S144" s="16"/>
      <c r="T144" s="16"/>
      <c r="U144" s="16"/>
      <c r="V144" s="16"/>
      <c r="W144" s="16"/>
      <c r="X144" s="45"/>
      <c r="Y144"/>
    </row>
    <row r="145" spans="2:25">
      <c r="B145" s="89"/>
      <c r="C145" s="36" t="s">
        <v>315</v>
      </c>
      <c r="D145" s="328" t="s">
        <v>316</v>
      </c>
      <c r="E145" s="41"/>
      <c r="F145" s="16"/>
      <c r="G145" s="333"/>
      <c r="H145" s="16"/>
      <c r="I145" s="36"/>
      <c r="J145" s="36"/>
      <c r="K145" s="98"/>
      <c r="L145" s="98"/>
      <c r="M145" s="98"/>
      <c r="N145" s="36"/>
      <c r="O145" s="36"/>
      <c r="P145" s="36"/>
      <c r="Q145" s="16"/>
      <c r="R145" s="16"/>
      <c r="S145" s="16"/>
      <c r="T145" s="16"/>
      <c r="U145" s="16"/>
      <c r="V145" s="16"/>
      <c r="W145" s="16"/>
      <c r="X145" s="45"/>
      <c r="Y145"/>
    </row>
    <row r="146" spans="2:25">
      <c r="B146" s="89"/>
      <c r="D146" s="41"/>
      <c r="E146" s="41"/>
      <c r="F146" s="16"/>
      <c r="G146" s="333"/>
      <c r="H146" s="16"/>
      <c r="I146" s="36"/>
      <c r="J146" s="36"/>
      <c r="K146" s="98"/>
      <c r="L146" s="98"/>
      <c r="M146" s="98"/>
      <c r="N146" s="36"/>
      <c r="O146" s="36"/>
      <c r="P146" s="36"/>
      <c r="Q146" s="16"/>
      <c r="R146" s="16"/>
      <c r="S146" s="16"/>
      <c r="T146" s="16"/>
      <c r="U146" s="16"/>
      <c r="V146" s="16"/>
      <c r="W146" s="16"/>
      <c r="X146" s="45"/>
      <c r="Y146"/>
    </row>
    <row r="147" spans="2:25">
      <c r="B147" s="89"/>
      <c r="D147" s="41"/>
      <c r="E147" s="41"/>
      <c r="F147" s="16"/>
      <c r="G147" s="333"/>
      <c r="H147" s="16"/>
      <c r="I147" s="36"/>
      <c r="J147" s="36"/>
      <c r="K147" s="98"/>
      <c r="L147" s="98"/>
      <c r="M147" s="98"/>
      <c r="N147" s="36"/>
      <c r="O147" s="36"/>
      <c r="P147" s="36"/>
      <c r="Q147" s="16"/>
      <c r="R147" s="16"/>
      <c r="S147" s="16"/>
      <c r="T147" s="16"/>
      <c r="U147" s="16"/>
      <c r="V147" s="16"/>
      <c r="W147" s="16"/>
      <c r="X147" s="45"/>
      <c r="Y147"/>
    </row>
    <row r="148" spans="2:25">
      <c r="B148" s="89"/>
      <c r="D148" s="41"/>
      <c r="E148" s="41"/>
      <c r="F148" s="16"/>
      <c r="G148" s="333"/>
      <c r="H148" s="16"/>
      <c r="I148" s="36"/>
      <c r="J148" s="36"/>
      <c r="K148" s="98"/>
      <c r="L148" s="98"/>
      <c r="M148" s="98"/>
      <c r="N148" s="36"/>
      <c r="O148" s="36"/>
      <c r="P148" s="36"/>
      <c r="Q148" s="16"/>
      <c r="R148" s="16"/>
      <c r="S148" s="16"/>
      <c r="T148" s="16"/>
      <c r="U148" s="16"/>
      <c r="V148" s="16"/>
      <c r="W148" s="16"/>
      <c r="X148" s="45"/>
      <c r="Y148"/>
    </row>
    <row r="149" spans="2:25">
      <c r="B149" s="89"/>
      <c r="D149" s="41"/>
      <c r="E149" s="41"/>
      <c r="F149" s="16"/>
      <c r="G149" s="333"/>
      <c r="H149" s="16"/>
      <c r="I149" s="36"/>
      <c r="J149" s="36"/>
      <c r="K149" s="98"/>
      <c r="L149" s="98"/>
      <c r="M149" s="98"/>
      <c r="N149" s="36"/>
      <c r="O149" s="36"/>
      <c r="P149" s="36"/>
      <c r="Q149" s="16"/>
      <c r="R149" s="16"/>
      <c r="S149" s="16"/>
      <c r="T149" s="16"/>
      <c r="U149" s="16"/>
      <c r="V149" s="16"/>
      <c r="W149" s="16"/>
      <c r="X149" s="45"/>
      <c r="Y149"/>
    </row>
    <row r="150" spans="2:25">
      <c r="B150" s="89"/>
      <c r="D150" s="41"/>
      <c r="E150" s="41"/>
      <c r="F150" s="16"/>
      <c r="G150" s="333"/>
      <c r="H150" s="16"/>
      <c r="I150" s="36"/>
      <c r="J150" s="36"/>
      <c r="K150" s="98"/>
      <c r="L150" s="98"/>
      <c r="M150" s="98"/>
      <c r="N150" s="36"/>
      <c r="O150" s="36"/>
      <c r="P150" s="36"/>
      <c r="Q150" s="16"/>
      <c r="R150" s="16"/>
      <c r="S150" s="16"/>
      <c r="T150" s="16"/>
      <c r="U150" s="16"/>
      <c r="V150" s="16"/>
      <c r="W150" s="16"/>
      <c r="X150" s="45"/>
      <c r="Y150"/>
    </row>
    <row r="151" spans="2:25">
      <c r="B151" s="89"/>
      <c r="D151" s="41"/>
      <c r="E151" s="41"/>
      <c r="F151" s="16"/>
      <c r="G151" s="333"/>
      <c r="H151" s="16"/>
      <c r="I151" s="36"/>
      <c r="J151" s="36"/>
      <c r="K151" s="98"/>
      <c r="L151" s="98"/>
      <c r="M151" s="98"/>
      <c r="N151" s="36"/>
      <c r="O151" s="36"/>
      <c r="P151" s="36"/>
      <c r="Q151" s="16"/>
      <c r="R151" s="16"/>
      <c r="S151" s="16"/>
      <c r="T151" s="16"/>
      <c r="U151" s="16"/>
      <c r="V151" s="16"/>
      <c r="W151" s="16"/>
      <c r="X151" s="45"/>
      <c r="Y151"/>
    </row>
    <row r="152" spans="2:25">
      <c r="B152" s="89"/>
      <c r="D152" s="41"/>
      <c r="E152" s="41"/>
      <c r="F152" s="16"/>
      <c r="G152" s="333"/>
      <c r="H152" s="16"/>
      <c r="I152" s="36"/>
      <c r="J152" s="36"/>
      <c r="K152" s="98"/>
      <c r="L152" s="98"/>
      <c r="M152" s="98"/>
      <c r="N152" s="36"/>
      <c r="O152" s="36"/>
      <c r="P152" s="36"/>
      <c r="Q152" s="16"/>
      <c r="R152" s="16"/>
      <c r="S152" s="16"/>
      <c r="T152" s="16"/>
      <c r="U152" s="16"/>
      <c r="V152" s="16"/>
      <c r="W152" s="16"/>
      <c r="X152" s="45"/>
      <c r="Y152"/>
    </row>
    <row r="153" spans="2:25">
      <c r="B153" s="89"/>
      <c r="D153" s="41"/>
      <c r="E153" s="41"/>
      <c r="F153" s="16"/>
      <c r="G153" s="333"/>
      <c r="H153" s="16"/>
      <c r="I153" s="36"/>
      <c r="J153" s="36"/>
      <c r="K153" s="98"/>
      <c r="L153" s="98"/>
      <c r="M153" s="98"/>
      <c r="N153" s="36"/>
      <c r="O153" s="36"/>
      <c r="P153" s="36"/>
      <c r="Q153" s="16"/>
      <c r="R153" s="16"/>
      <c r="S153" s="16"/>
      <c r="T153" s="16"/>
      <c r="U153" s="16"/>
      <c r="V153" s="16"/>
      <c r="W153" s="16"/>
      <c r="X153" s="45"/>
      <c r="Y153"/>
    </row>
    <row r="154" spans="2:25">
      <c r="B154" s="89"/>
      <c r="D154" s="41"/>
      <c r="E154" s="41"/>
      <c r="F154" s="16"/>
      <c r="G154" s="333"/>
      <c r="H154" s="16"/>
      <c r="I154" s="36"/>
      <c r="J154" s="36"/>
      <c r="K154" s="98"/>
      <c r="L154" s="98"/>
      <c r="M154" s="98"/>
      <c r="N154" s="36"/>
      <c r="O154" s="36"/>
      <c r="P154" s="36"/>
      <c r="Q154" s="16"/>
      <c r="R154" s="16"/>
      <c r="S154" s="16"/>
      <c r="T154" s="16"/>
      <c r="U154" s="16"/>
      <c r="V154" s="16"/>
      <c r="W154" s="16"/>
      <c r="X154" s="45"/>
      <c r="Y154"/>
    </row>
    <row r="155" spans="2:25">
      <c r="B155" s="89"/>
      <c r="D155" s="41"/>
      <c r="E155" s="41"/>
      <c r="F155" s="16"/>
      <c r="G155" s="333"/>
      <c r="H155" s="16"/>
      <c r="I155" s="36"/>
      <c r="J155" s="36"/>
      <c r="K155" s="98"/>
      <c r="L155" s="98"/>
      <c r="M155" s="98"/>
      <c r="N155" s="36"/>
      <c r="O155" s="36"/>
      <c r="P155" s="36"/>
      <c r="Q155" s="16"/>
      <c r="R155" s="16"/>
      <c r="S155" s="16"/>
      <c r="T155" s="16"/>
      <c r="U155" s="16"/>
      <c r="V155" s="16"/>
      <c r="W155" s="16"/>
      <c r="X155" s="45"/>
      <c r="Y155"/>
    </row>
    <row r="156" spans="2:25">
      <c r="B156" s="89"/>
      <c r="D156" s="41"/>
      <c r="E156" s="41"/>
      <c r="F156" s="16"/>
      <c r="G156" s="333"/>
      <c r="H156" s="16"/>
      <c r="I156" s="36"/>
      <c r="J156" s="36"/>
      <c r="K156" s="98"/>
      <c r="L156" s="98"/>
      <c r="M156" s="98"/>
      <c r="N156" s="36"/>
      <c r="O156" s="36"/>
      <c r="P156" s="36"/>
      <c r="Q156" s="16"/>
      <c r="R156" s="16"/>
      <c r="S156" s="16"/>
      <c r="T156" s="16"/>
      <c r="U156" s="16"/>
      <c r="V156" s="16"/>
      <c r="W156" s="16"/>
      <c r="X156" s="45"/>
      <c r="Y156"/>
    </row>
    <row r="157" spans="2:25">
      <c r="B157" s="89"/>
      <c r="D157" s="41"/>
      <c r="E157" s="41"/>
      <c r="F157" s="16"/>
      <c r="G157" s="333"/>
      <c r="H157" s="16"/>
      <c r="I157" s="36"/>
      <c r="J157" s="36"/>
      <c r="K157" s="98"/>
      <c r="L157" s="98"/>
      <c r="M157" s="98"/>
      <c r="N157" s="36"/>
      <c r="O157" s="36"/>
      <c r="P157" s="36"/>
      <c r="Q157" s="16"/>
      <c r="R157" s="16"/>
      <c r="S157" s="16"/>
      <c r="T157" s="16"/>
      <c r="U157" s="16"/>
      <c r="V157" s="16"/>
      <c r="W157" s="16"/>
      <c r="X157" s="45"/>
      <c r="Y157"/>
    </row>
    <row r="158" spans="2:25">
      <c r="B158" s="89"/>
      <c r="D158" s="41"/>
      <c r="E158" s="41"/>
      <c r="F158" s="16"/>
      <c r="G158" s="333"/>
      <c r="H158" s="16"/>
      <c r="I158" s="36"/>
      <c r="J158" s="36"/>
      <c r="K158" s="98"/>
      <c r="L158" s="98"/>
      <c r="M158" s="98"/>
      <c r="N158" s="36"/>
      <c r="O158" s="36"/>
      <c r="P158" s="36"/>
      <c r="Q158" s="16"/>
      <c r="R158" s="16"/>
      <c r="S158" s="16"/>
      <c r="T158" s="16"/>
      <c r="U158" s="16"/>
      <c r="V158" s="16"/>
      <c r="W158" s="16"/>
      <c r="X158" s="45"/>
      <c r="Y158"/>
    </row>
    <row r="159" spans="2:25">
      <c r="B159" s="89"/>
      <c r="D159" s="41"/>
      <c r="E159" s="41"/>
      <c r="F159" s="16"/>
      <c r="G159" s="333"/>
      <c r="H159" s="16"/>
      <c r="I159" s="36"/>
      <c r="J159" s="36"/>
      <c r="K159" s="98"/>
      <c r="L159" s="98"/>
      <c r="M159" s="98"/>
      <c r="N159" s="36"/>
      <c r="O159" s="36"/>
      <c r="P159" s="36"/>
      <c r="Q159" s="16"/>
      <c r="R159" s="16"/>
      <c r="S159" s="16"/>
      <c r="T159" s="16"/>
      <c r="U159" s="16"/>
      <c r="V159" s="16"/>
      <c r="W159" s="16"/>
      <c r="X159" s="45"/>
      <c r="Y159"/>
    </row>
    <row r="160" spans="2:25">
      <c r="B160" s="89"/>
      <c r="D160" s="41"/>
      <c r="E160" s="41"/>
      <c r="F160" s="16"/>
      <c r="G160" s="333"/>
      <c r="H160" s="16"/>
      <c r="I160" s="36"/>
      <c r="J160" s="36"/>
      <c r="K160" s="98"/>
      <c r="L160" s="98"/>
      <c r="M160" s="98"/>
      <c r="N160" s="36"/>
      <c r="O160" s="36"/>
      <c r="P160" s="36"/>
      <c r="Q160" s="16"/>
      <c r="R160" s="16"/>
      <c r="S160" s="16"/>
      <c r="T160" s="16"/>
      <c r="U160" s="16"/>
      <c r="V160" s="16"/>
      <c r="W160" s="16"/>
      <c r="X160" s="45"/>
      <c r="Y160"/>
    </row>
    <row r="161" spans="2:25">
      <c r="B161" s="89"/>
      <c r="D161" s="41"/>
      <c r="E161" s="41"/>
      <c r="F161" s="16"/>
      <c r="G161" s="333"/>
      <c r="H161" s="16"/>
      <c r="I161" s="36"/>
      <c r="J161" s="36"/>
      <c r="K161" s="98"/>
      <c r="L161" s="98"/>
      <c r="M161" s="98"/>
      <c r="N161" s="36"/>
      <c r="O161" s="36"/>
      <c r="P161" s="36"/>
      <c r="Q161" s="16"/>
      <c r="R161" s="16"/>
      <c r="S161" s="16"/>
      <c r="T161" s="16"/>
      <c r="U161" s="16"/>
      <c r="V161" s="16"/>
      <c r="W161" s="16"/>
      <c r="X161" s="45"/>
      <c r="Y161"/>
    </row>
    <row r="162" spans="2:25">
      <c r="B162" s="89"/>
      <c r="D162" s="41"/>
      <c r="E162" s="41"/>
      <c r="F162" s="16"/>
      <c r="G162" s="333"/>
      <c r="H162" s="16"/>
      <c r="I162" s="36"/>
      <c r="J162" s="36"/>
      <c r="K162" s="98"/>
      <c r="L162" s="98"/>
      <c r="M162" s="98"/>
      <c r="N162" s="36"/>
      <c r="O162" s="36"/>
      <c r="P162" s="36"/>
      <c r="Q162" s="16"/>
      <c r="R162" s="16"/>
      <c r="S162" s="16"/>
      <c r="T162" s="16"/>
      <c r="U162" s="16"/>
      <c r="V162" s="16"/>
      <c r="W162" s="16"/>
      <c r="X162" s="45"/>
      <c r="Y162"/>
    </row>
    <row r="163" spans="2:25">
      <c r="B163" s="89"/>
      <c r="D163" s="41"/>
      <c r="E163" s="41"/>
      <c r="F163" s="16"/>
      <c r="G163" s="333"/>
      <c r="H163" s="16"/>
      <c r="I163" s="36"/>
      <c r="J163" s="36"/>
      <c r="K163" s="98"/>
      <c r="L163" s="98"/>
      <c r="M163" s="98"/>
      <c r="N163" s="36"/>
      <c r="O163" s="36"/>
      <c r="P163" s="36"/>
      <c r="Q163" s="16"/>
      <c r="R163" s="16"/>
      <c r="S163" s="16"/>
      <c r="T163" s="16"/>
      <c r="U163" s="16"/>
      <c r="V163" s="16"/>
      <c r="W163" s="16"/>
      <c r="X163" s="45"/>
      <c r="Y163"/>
    </row>
    <row r="164" spans="2:25">
      <c r="B164" s="89"/>
      <c r="D164" s="41"/>
      <c r="E164" s="41"/>
      <c r="F164" s="16"/>
      <c r="G164" s="333"/>
      <c r="H164" s="16"/>
      <c r="I164" s="36"/>
      <c r="J164" s="36"/>
      <c r="K164" s="98"/>
      <c r="L164" s="98"/>
      <c r="M164" s="98"/>
      <c r="N164" s="36"/>
      <c r="O164" s="36"/>
      <c r="P164" s="36"/>
      <c r="Q164" s="16"/>
      <c r="R164" s="16"/>
      <c r="S164" s="16"/>
      <c r="T164" s="16"/>
      <c r="U164" s="16"/>
      <c r="V164" s="16"/>
      <c r="W164" s="16"/>
      <c r="X164" s="45"/>
      <c r="Y164"/>
    </row>
    <row r="165" spans="2:25">
      <c r="B165" s="89"/>
      <c r="D165" s="41"/>
      <c r="E165" s="41"/>
      <c r="F165" s="16"/>
      <c r="G165" s="333"/>
      <c r="H165" s="16"/>
      <c r="I165" s="36"/>
      <c r="J165" s="36"/>
      <c r="K165" s="98"/>
      <c r="L165" s="98"/>
      <c r="M165" s="98"/>
      <c r="N165" s="36"/>
      <c r="O165" s="36"/>
      <c r="P165" s="36"/>
      <c r="Q165" s="16"/>
      <c r="R165" s="16"/>
      <c r="S165" s="16"/>
      <c r="T165" s="16"/>
      <c r="U165" s="16"/>
      <c r="V165" s="16"/>
      <c r="W165" s="16"/>
      <c r="X165" s="45"/>
      <c r="Y165"/>
    </row>
    <row r="166" spans="2:25">
      <c r="B166" s="89"/>
      <c r="D166" s="41"/>
      <c r="E166" s="41"/>
      <c r="F166" s="16"/>
      <c r="G166" s="333"/>
      <c r="H166" s="16"/>
      <c r="I166" s="36"/>
      <c r="J166" s="36"/>
      <c r="K166" s="98"/>
      <c r="L166" s="98"/>
      <c r="M166" s="98"/>
      <c r="N166" s="36"/>
      <c r="O166" s="36"/>
      <c r="P166" s="36"/>
      <c r="Q166" s="16"/>
      <c r="R166" s="16"/>
      <c r="S166" s="16"/>
      <c r="T166" s="16"/>
      <c r="U166" s="16"/>
      <c r="V166" s="16"/>
      <c r="W166" s="16"/>
      <c r="X166" s="45"/>
      <c r="Y166"/>
    </row>
    <row r="167" spans="2:25">
      <c r="B167" s="89"/>
      <c r="D167" s="41"/>
      <c r="E167" s="41"/>
      <c r="F167" s="16"/>
      <c r="G167" s="333"/>
      <c r="H167" s="16"/>
      <c r="I167" s="36"/>
      <c r="J167" s="36"/>
      <c r="K167" s="98"/>
      <c r="L167" s="98"/>
      <c r="M167" s="98"/>
      <c r="N167" s="36"/>
      <c r="O167" s="36"/>
      <c r="P167" s="36"/>
      <c r="Q167" s="16"/>
      <c r="R167" s="16"/>
      <c r="S167" s="16"/>
      <c r="T167" s="16"/>
      <c r="U167" s="16"/>
      <c r="V167" s="16"/>
      <c r="W167" s="16"/>
      <c r="X167" s="45"/>
      <c r="Y167"/>
    </row>
    <row r="168" spans="2:25">
      <c r="B168" s="89"/>
      <c r="D168" s="41"/>
      <c r="E168" s="41"/>
      <c r="F168" s="16"/>
      <c r="G168" s="333"/>
      <c r="H168" s="16"/>
      <c r="I168" s="36"/>
      <c r="J168" s="36"/>
      <c r="K168" s="98"/>
      <c r="L168" s="98"/>
      <c r="M168" s="98"/>
      <c r="N168" s="36"/>
      <c r="O168" s="36"/>
      <c r="P168" s="36"/>
      <c r="Q168" s="16"/>
      <c r="R168" s="16"/>
      <c r="S168" s="16"/>
      <c r="T168" s="16"/>
      <c r="U168" s="16"/>
      <c r="V168" s="16"/>
      <c r="W168" s="16"/>
      <c r="X168" s="45"/>
      <c r="Y168"/>
    </row>
    <row r="169" spans="2:25">
      <c r="B169" s="89"/>
      <c r="D169" s="41"/>
      <c r="E169" s="41"/>
      <c r="F169" s="16"/>
      <c r="G169" s="333"/>
      <c r="H169" s="16"/>
      <c r="I169" s="36"/>
      <c r="J169" s="36"/>
      <c r="K169" s="98"/>
      <c r="L169" s="98"/>
      <c r="M169" s="98"/>
      <c r="N169" s="36"/>
      <c r="O169" s="36"/>
      <c r="P169" s="36"/>
      <c r="Q169" s="16"/>
      <c r="R169" s="16"/>
      <c r="S169" s="16"/>
      <c r="T169" s="16"/>
      <c r="U169" s="16"/>
      <c r="V169" s="16"/>
      <c r="W169" s="16"/>
      <c r="X169" s="45"/>
      <c r="Y169"/>
    </row>
    <row r="170" spans="2:25">
      <c r="B170" s="89"/>
      <c r="C170" s="16"/>
      <c r="D170" s="16"/>
      <c r="E170" s="16"/>
      <c r="F170" s="16"/>
      <c r="G170" s="16"/>
      <c r="H170" s="16"/>
      <c r="I170" s="16"/>
      <c r="J170" s="16"/>
      <c r="K170" s="16"/>
      <c r="L170" s="16"/>
      <c r="M170" s="16"/>
      <c r="N170" s="16"/>
      <c r="O170" s="16"/>
      <c r="P170" s="16"/>
      <c r="Q170" s="16"/>
      <c r="R170" s="16"/>
      <c r="S170" s="16"/>
      <c r="T170" s="16"/>
      <c r="U170" s="16"/>
      <c r="V170" s="16"/>
      <c r="W170" s="16"/>
      <c r="X170" s="45"/>
      <c r="Y170"/>
    </row>
    <row r="171" spans="2:25">
      <c r="B171" s="89"/>
      <c r="C171" s="16"/>
      <c r="D171" s="112"/>
      <c r="E171" s="16"/>
      <c r="F171" s="16"/>
      <c r="G171" s="16"/>
      <c r="H171" s="16"/>
      <c r="I171" s="16"/>
      <c r="J171" s="16"/>
      <c r="K171" s="16"/>
      <c r="L171" s="16"/>
      <c r="M171" s="16"/>
      <c r="N171" s="16"/>
      <c r="O171" s="16"/>
      <c r="P171" s="16"/>
      <c r="Q171" s="16"/>
      <c r="R171" s="16"/>
      <c r="S171" s="16"/>
      <c r="T171" s="16"/>
      <c r="U171" s="16"/>
      <c r="V171" s="16"/>
      <c r="W171" s="16"/>
      <c r="X171" s="45"/>
      <c r="Y171"/>
    </row>
    <row r="172" spans="2:25">
      <c r="B172" s="89"/>
      <c r="C172" s="16"/>
      <c r="D172" s="16"/>
      <c r="E172" s="16"/>
      <c r="F172" s="16"/>
      <c r="G172" s="16"/>
      <c r="H172" s="16"/>
      <c r="I172" s="16"/>
      <c r="J172" s="16"/>
      <c r="K172" s="16"/>
      <c r="L172" s="16"/>
      <c r="M172" s="16"/>
      <c r="N172" s="16"/>
      <c r="O172" s="16"/>
      <c r="P172" s="16"/>
      <c r="Q172" s="16"/>
      <c r="R172" s="16"/>
      <c r="S172" s="16"/>
      <c r="T172" s="16"/>
      <c r="U172" s="16"/>
      <c r="V172" s="16"/>
      <c r="W172" s="16"/>
      <c r="X172" s="45"/>
      <c r="Y172"/>
    </row>
    <row r="173" spans="2:25">
      <c r="B173" s="89"/>
      <c r="C173" s="16"/>
      <c r="D173" s="16"/>
      <c r="E173" s="16"/>
      <c r="F173" s="16"/>
      <c r="G173" s="16"/>
      <c r="H173" s="16"/>
      <c r="I173" s="16"/>
      <c r="J173" s="16"/>
      <c r="K173" s="214"/>
      <c r="L173" s="214"/>
      <c r="M173" s="214"/>
      <c r="N173" s="214"/>
      <c r="O173" s="214"/>
      <c r="P173" s="16"/>
      <c r="Q173" s="16"/>
      <c r="R173" s="16"/>
      <c r="S173" s="16"/>
      <c r="T173" s="16"/>
      <c r="U173" s="16"/>
      <c r="V173" s="16"/>
      <c r="W173" s="16"/>
      <c r="X173" s="45"/>
      <c r="Y173"/>
    </row>
    <row r="174" spans="2:25">
      <c r="B174" s="44"/>
      <c r="C174" s="8"/>
      <c r="D174" s="8"/>
      <c r="E174" s="8"/>
      <c r="F174" s="8"/>
      <c r="G174" s="8"/>
      <c r="H174" s="8"/>
      <c r="I174" s="8"/>
      <c r="J174" s="8"/>
      <c r="K174" s="8"/>
      <c r="L174" s="8"/>
      <c r="M174" s="8"/>
      <c r="N174" s="8"/>
      <c r="O174" s="8"/>
      <c r="P174" s="8"/>
      <c r="Q174" s="8"/>
      <c r="R174" s="8"/>
      <c r="S174" s="8"/>
      <c r="T174" s="8"/>
      <c r="U174" s="8"/>
      <c r="V174" s="8"/>
      <c r="W174" s="8"/>
      <c r="X174" s="113"/>
      <c r="Y174"/>
    </row>
    <row r="175" spans="2:25">
      <c r="Y175"/>
    </row>
    <row r="176" spans="2:25">
      <c r="Y176"/>
    </row>
  </sheetData>
  <printOptions horizontalCentered="1"/>
  <pageMargins left="0.25" right="0.25" top="0.5" bottom="0.5" header="0" footer="0"/>
  <pageSetup scale="46" fitToHeight="0" orientation="portrait" r:id="rId1"/>
  <rowBreaks count="3" manualBreakCount="3">
    <brk id="92" max="16383" man="1"/>
    <brk id="93" max="16383" man="1"/>
    <brk id="175"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G168"/>
  <sheetViews>
    <sheetView showGridLines="0" zoomScale="85" zoomScaleNormal="85" zoomScaleSheetLayoutView="100" workbookViewId="0">
      <pane xSplit="9" ySplit="3" topLeftCell="J4" activePane="bottomRight" state="frozen"/>
      <selection pane="topRight" activeCell="J1" sqref="J1"/>
      <selection pane="bottomLeft" activeCell="A4" sqref="A4"/>
      <selection pane="bottomRight" activeCell="J4" sqref="J4"/>
    </sheetView>
  </sheetViews>
  <sheetFormatPr defaultRowHeight="15"/>
  <cols>
    <col min="1" max="5" width="2.7109375" style="25" customWidth="1"/>
    <col min="6" max="6" width="22.140625" style="25" customWidth="1"/>
    <col min="7" max="8" width="9.7109375" style="25" customWidth="1"/>
    <col min="9" max="9" width="3.7109375" style="25" customWidth="1"/>
    <col min="10" max="16" width="9.7109375" style="25" customWidth="1"/>
    <col min="17" max="17" width="3.7109375" style="25" customWidth="1"/>
    <col min="18" max="49" width="9.7109375" style="25" customWidth="1"/>
    <col min="50" max="16384" width="9.140625" style="25"/>
  </cols>
  <sheetData>
    <row r="1" spans="1:49">
      <c r="A1" s="33" t="s">
        <v>185</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row>
    <row r="2" spans="1:49" s="236" customFormat="1">
      <c r="A2" s="4" t="s">
        <v>35</v>
      </c>
      <c r="B2" s="2"/>
      <c r="C2" s="2"/>
      <c r="D2" s="2"/>
      <c r="E2" s="2"/>
      <c r="F2" s="2"/>
      <c r="G2" s="29" t="str">
        <f>AP3</f>
        <v>1Q24</v>
      </c>
      <c r="H2" s="2"/>
      <c r="I2" s="2"/>
      <c r="J2" s="5" t="s">
        <v>4</v>
      </c>
      <c r="K2" s="5" t="s">
        <v>4</v>
      </c>
      <c r="L2" s="5" t="s">
        <v>4</v>
      </c>
      <c r="M2" s="5" t="s">
        <v>4</v>
      </c>
      <c r="N2" s="5" t="s">
        <v>4</v>
      </c>
      <c r="O2" s="5" t="s">
        <v>4</v>
      </c>
      <c r="P2" s="5" t="s">
        <v>5</v>
      </c>
      <c r="Q2" s="2"/>
      <c r="R2" s="5" t="s">
        <v>4</v>
      </c>
      <c r="S2" s="5" t="s">
        <v>4</v>
      </c>
      <c r="T2" s="5" t="s">
        <v>4</v>
      </c>
      <c r="U2" s="5" t="s">
        <v>4</v>
      </c>
      <c r="V2" s="5" t="s">
        <v>4</v>
      </c>
      <c r="W2" s="5" t="s">
        <v>4</v>
      </c>
      <c r="X2" s="5" t="s">
        <v>4</v>
      </c>
      <c r="Y2" s="5" t="s">
        <v>4</v>
      </c>
      <c r="Z2" s="5" t="s">
        <v>4</v>
      </c>
      <c r="AA2" s="5" t="s">
        <v>4</v>
      </c>
      <c r="AB2" s="5" t="s">
        <v>4</v>
      </c>
      <c r="AC2" s="5" t="s">
        <v>4</v>
      </c>
      <c r="AD2" s="5" t="s">
        <v>4</v>
      </c>
      <c r="AE2" s="5" t="s">
        <v>4</v>
      </c>
      <c r="AF2" s="5" t="s">
        <v>4</v>
      </c>
      <c r="AG2" s="5" t="s">
        <v>4</v>
      </c>
      <c r="AH2" s="5" t="s">
        <v>4</v>
      </c>
      <c r="AI2" s="5" t="s">
        <v>4</v>
      </c>
      <c r="AJ2" s="5" t="s">
        <v>4</v>
      </c>
      <c r="AK2" s="5" t="s">
        <v>4</v>
      </c>
      <c r="AL2" s="5" t="s">
        <v>4</v>
      </c>
      <c r="AM2" s="5" t="s">
        <v>4</v>
      </c>
      <c r="AN2" s="5" t="s">
        <v>4</v>
      </c>
      <c r="AO2" s="5" t="s">
        <v>4</v>
      </c>
      <c r="AP2" s="5" t="s">
        <v>4</v>
      </c>
      <c r="AQ2" s="5" t="s">
        <v>5</v>
      </c>
      <c r="AR2" s="5" t="s">
        <v>5</v>
      </c>
      <c r="AS2" s="5" t="s">
        <v>5</v>
      </c>
      <c r="AT2" s="5" t="s">
        <v>5</v>
      </c>
      <c r="AU2" s="5" t="s">
        <v>5</v>
      </c>
      <c r="AV2" s="5" t="s">
        <v>5</v>
      </c>
      <c r="AW2" s="5" t="s">
        <v>5</v>
      </c>
    </row>
    <row r="3" spans="1:49">
      <c r="G3" s="135" t="s">
        <v>2</v>
      </c>
      <c r="H3" s="125" t="s">
        <v>3</v>
      </c>
      <c r="I3" s="124"/>
      <c r="J3" s="123">
        <v>2018</v>
      </c>
      <c r="K3" s="123">
        <f>J3+1</f>
        <v>2019</v>
      </c>
      <c r="L3" s="123">
        <f t="shared" ref="L3:O3" si="0">K3+1</f>
        <v>2020</v>
      </c>
      <c r="M3" s="123">
        <f t="shared" si="0"/>
        <v>2021</v>
      </c>
      <c r="N3" s="123">
        <f t="shared" si="0"/>
        <v>2022</v>
      </c>
      <c r="O3" s="123">
        <f t="shared" si="0"/>
        <v>2023</v>
      </c>
      <c r="P3" s="123">
        <f t="shared" ref="P3" si="1">O3+1</f>
        <v>2024</v>
      </c>
      <c r="Q3" s="124"/>
      <c r="R3" s="123" t="s">
        <v>6</v>
      </c>
      <c r="S3" s="123" t="s">
        <v>7</v>
      </c>
      <c r="T3" s="123" t="s">
        <v>8</v>
      </c>
      <c r="U3" s="123" t="s">
        <v>9</v>
      </c>
      <c r="V3" s="123" t="s">
        <v>10</v>
      </c>
      <c r="W3" s="123" t="s">
        <v>11</v>
      </c>
      <c r="X3" s="123" t="s">
        <v>12</v>
      </c>
      <c r="Y3" s="123" t="s">
        <v>13</v>
      </c>
      <c r="Z3" s="123" t="s">
        <v>14</v>
      </c>
      <c r="AA3" s="123" t="s">
        <v>15</v>
      </c>
      <c r="AB3" s="123" t="s">
        <v>16</v>
      </c>
      <c r="AC3" s="123" t="s">
        <v>17</v>
      </c>
      <c r="AD3" s="123" t="s">
        <v>18</v>
      </c>
      <c r="AE3" s="123" t="s">
        <v>20</v>
      </c>
      <c r="AF3" s="123" t="s">
        <v>21</v>
      </c>
      <c r="AG3" s="123" t="s">
        <v>22</v>
      </c>
      <c r="AH3" s="123" t="s">
        <v>23</v>
      </c>
      <c r="AI3" s="123" t="s">
        <v>19</v>
      </c>
      <c r="AJ3" s="123" t="s">
        <v>24</v>
      </c>
      <c r="AK3" s="123" t="s">
        <v>25</v>
      </c>
      <c r="AL3" s="123" t="s">
        <v>26</v>
      </c>
      <c r="AM3" s="123" t="s">
        <v>27</v>
      </c>
      <c r="AN3" s="123" t="s">
        <v>28</v>
      </c>
      <c r="AO3" s="123" t="s">
        <v>29</v>
      </c>
      <c r="AP3" s="123" t="s">
        <v>177</v>
      </c>
      <c r="AQ3" s="123" t="s">
        <v>178</v>
      </c>
      <c r="AR3" s="123" t="s">
        <v>179</v>
      </c>
      <c r="AS3" s="123" t="s">
        <v>180</v>
      </c>
      <c r="AT3" s="123" t="s">
        <v>181</v>
      </c>
      <c r="AU3" s="123" t="s">
        <v>182</v>
      </c>
      <c r="AV3" s="123" t="s">
        <v>183</v>
      </c>
      <c r="AW3" s="123" t="s">
        <v>184</v>
      </c>
    </row>
    <row r="4" spans="1:49">
      <c r="G4" s="136"/>
      <c r="H4" s="126"/>
    </row>
    <row r="5" spans="1:49" ht="15" customHeight="1">
      <c r="A5" s="30" t="s">
        <v>0</v>
      </c>
      <c r="B5" s="30" t="s">
        <v>1</v>
      </c>
      <c r="C5" s="31"/>
      <c r="D5" s="31"/>
      <c r="E5" s="31"/>
      <c r="F5" s="31"/>
      <c r="G5" s="137"/>
      <c r="H5" s="127"/>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row>
    <row r="6" spans="1:49">
      <c r="G6" s="138"/>
      <c r="H6" s="237"/>
    </row>
    <row r="7" spans="1:49">
      <c r="B7" s="248" t="s">
        <v>186</v>
      </c>
      <c r="G7" s="139">
        <f ca="1">OFFSET(R7,0,MATCH($G$2,$R$3:$AW$3,0)-1)*4</f>
        <v>1901.6479999999999</v>
      </c>
      <c r="H7" s="75">
        <f ca="1">SUM(OFFSET(R7,0,MATCH($G$2,$R$3:$AW$3,0)-4),OFFSET(R7,0,MATCH($G$2,$R$3:$AW$3,0)-3),OFFSET(R7,0,MATCH($G$2,$R$3:$AW$3,0)-2),OFFSET(R7,0,MATCH($G$2,$R$3:$AW$3,0)-1))</f>
        <v>1784.854</v>
      </c>
      <c r="J7" s="10">
        <f>SUM(R7:U7)</f>
        <v>1483.143</v>
      </c>
      <c r="K7" s="10">
        <f t="shared" ref="K7" si="2">SUM(V7:Y7)</f>
        <v>1587.0819999999999</v>
      </c>
      <c r="L7" s="10">
        <f>SUM(Z7:AC7)</f>
        <v>1404.2649999999999</v>
      </c>
      <c r="M7" s="10">
        <f>SUM(AD7:AG7)</f>
        <v>1322.9179999999999</v>
      </c>
      <c r="N7" s="10">
        <f>SUM(AH7:AK7)</f>
        <v>1616.9670000000001</v>
      </c>
      <c r="O7" s="10">
        <f>SUM(AL7:AO7)</f>
        <v>1721.9370000000001</v>
      </c>
      <c r="P7" s="238"/>
      <c r="R7" s="11">
        <v>340.40300000000002</v>
      </c>
      <c r="S7" s="11">
        <v>378.16300000000001</v>
      </c>
      <c r="T7" s="11">
        <v>382.04</v>
      </c>
      <c r="U7" s="11">
        <v>382.53699999999998</v>
      </c>
      <c r="V7" s="11">
        <v>368.12099999999998</v>
      </c>
      <c r="W7" s="11">
        <v>404.286</v>
      </c>
      <c r="X7" s="11">
        <v>412.66500000000002</v>
      </c>
      <c r="Y7" s="11">
        <v>402.01</v>
      </c>
      <c r="Z7" s="11">
        <v>403.25700000000001</v>
      </c>
      <c r="AA7" s="11">
        <v>380.98700000000002</v>
      </c>
      <c r="AB7" s="11">
        <v>320.60199999999998</v>
      </c>
      <c r="AC7" s="11">
        <v>299.41899999999998</v>
      </c>
      <c r="AD7" s="11">
        <v>300.95100000000002</v>
      </c>
      <c r="AE7" s="11">
        <v>332.887</v>
      </c>
      <c r="AF7" s="11">
        <v>338.51400000000001</v>
      </c>
      <c r="AG7" s="11">
        <v>350.56599999999997</v>
      </c>
      <c r="AH7" s="11">
        <v>355.536</v>
      </c>
      <c r="AI7" s="11">
        <v>405.65499999999997</v>
      </c>
      <c r="AJ7" s="11">
        <v>433.04</v>
      </c>
      <c r="AK7" s="11">
        <v>422.73599999999999</v>
      </c>
      <c r="AL7" s="11">
        <v>412.495</v>
      </c>
      <c r="AM7" s="11">
        <v>426.96199999999999</v>
      </c>
      <c r="AN7" s="11">
        <v>429.88499999999999</v>
      </c>
      <c r="AO7" s="11">
        <v>452.59500000000003</v>
      </c>
      <c r="AP7" s="11">
        <v>475.41199999999998</v>
      </c>
      <c r="AQ7" s="238"/>
      <c r="AR7" s="238"/>
      <c r="AS7" s="238"/>
      <c r="AT7" s="238"/>
      <c r="AU7" s="238"/>
      <c r="AV7" s="238"/>
      <c r="AW7" s="238"/>
    </row>
    <row r="8" spans="1:49">
      <c r="B8" s="249" t="s">
        <v>187</v>
      </c>
      <c r="C8" s="26"/>
      <c r="D8" s="26"/>
      <c r="E8" s="26"/>
      <c r="F8" s="26"/>
      <c r="G8" s="140">
        <f ca="1">OFFSET(R8,0,MATCH($G$2,$R$3:$AW$3,0)-1)*4</f>
        <v>1330.44</v>
      </c>
      <c r="H8" s="128">
        <f ca="1">SUM(OFFSET(R8,0,MATCH($G$2,$R$3:$AW$3,0)-4),OFFSET(R8,0,MATCH($G$2,$R$3:$AW$3,0)-3),OFFSET(R8,0,MATCH($G$2,$R$3:$AW$3,0)-2),OFFSET(R8,0,MATCH($G$2,$R$3:$AW$3,0)-1))</f>
        <v>1364.364</v>
      </c>
      <c r="I8" s="26"/>
      <c r="J8" s="12">
        <f t="shared" ref="J8" si="3">SUM(R8:U8)</f>
        <v>1487.5540000000001</v>
      </c>
      <c r="K8" s="12">
        <f t="shared" ref="K8" si="4">SUM(V8:Y8)</f>
        <v>1251.317</v>
      </c>
      <c r="L8" s="12">
        <f>SUM(Z8:AC8)</f>
        <v>767.14300000000003</v>
      </c>
      <c r="M8" s="12">
        <f>SUM(AD8:AG8)</f>
        <v>923.74199999999996</v>
      </c>
      <c r="N8" s="12">
        <f>SUM(AH8:AK8)</f>
        <v>1167.787</v>
      </c>
      <c r="O8" s="12">
        <f t="shared" ref="O8" si="5">SUM(AL8:AO8)</f>
        <v>1369.703</v>
      </c>
      <c r="P8" s="239"/>
      <c r="Q8" s="26"/>
      <c r="R8" s="13">
        <v>401.28500000000003</v>
      </c>
      <c r="S8" s="13">
        <v>424.50799999999998</v>
      </c>
      <c r="T8" s="13">
        <v>322.80500000000001</v>
      </c>
      <c r="U8" s="13">
        <v>338.95600000000002</v>
      </c>
      <c r="V8" s="13">
        <v>376.5</v>
      </c>
      <c r="W8" s="13">
        <v>366.75599999999997</v>
      </c>
      <c r="X8" s="13">
        <v>254.14400000000001</v>
      </c>
      <c r="Y8" s="13">
        <v>253.917</v>
      </c>
      <c r="Z8" s="13">
        <v>240.66900000000001</v>
      </c>
      <c r="AA8" s="13">
        <v>160.172</v>
      </c>
      <c r="AB8" s="13">
        <v>175.965</v>
      </c>
      <c r="AC8" s="13">
        <v>190.33699999999999</v>
      </c>
      <c r="AD8" s="13">
        <v>195.899</v>
      </c>
      <c r="AE8" s="13">
        <v>226.73699999999999</v>
      </c>
      <c r="AF8" s="13">
        <v>260.40600000000001</v>
      </c>
      <c r="AG8" s="13">
        <v>240.7</v>
      </c>
      <c r="AH8" s="13">
        <v>255.24600000000001</v>
      </c>
      <c r="AI8" s="13">
        <v>292.30900000000003</v>
      </c>
      <c r="AJ8" s="13">
        <v>312.803</v>
      </c>
      <c r="AK8" s="13">
        <v>307.42899999999997</v>
      </c>
      <c r="AL8" s="13">
        <v>337.94900000000001</v>
      </c>
      <c r="AM8" s="13">
        <v>350.286</v>
      </c>
      <c r="AN8" s="13">
        <v>334.887</v>
      </c>
      <c r="AO8" s="13">
        <v>346.58100000000002</v>
      </c>
      <c r="AP8" s="13">
        <v>332.61</v>
      </c>
      <c r="AQ8" s="239"/>
      <c r="AR8" s="239"/>
      <c r="AS8" s="239"/>
      <c r="AT8" s="239"/>
      <c r="AU8" s="239"/>
      <c r="AV8" s="239"/>
      <c r="AW8" s="239"/>
    </row>
    <row r="9" spans="1:49">
      <c r="B9" s="250" t="s">
        <v>146</v>
      </c>
      <c r="C9" s="153"/>
      <c r="D9" s="153"/>
      <c r="E9" s="153"/>
      <c r="F9" s="153"/>
      <c r="G9" s="150">
        <f ca="1">SUM(G7:G8)</f>
        <v>3232.0879999999997</v>
      </c>
      <c r="H9" s="151">
        <f ca="1">SUM(H7:H8)</f>
        <v>3149.2179999999998</v>
      </c>
      <c r="I9" s="153"/>
      <c r="J9" s="152">
        <f t="shared" ref="J9:O9" si="6">SUM(J7:J8)</f>
        <v>2970.6970000000001</v>
      </c>
      <c r="K9" s="152">
        <f t="shared" si="6"/>
        <v>2838.3989999999999</v>
      </c>
      <c r="L9" s="152">
        <f t="shared" si="6"/>
        <v>2171.4079999999999</v>
      </c>
      <c r="M9" s="152">
        <f t="shared" si="6"/>
        <v>2246.66</v>
      </c>
      <c r="N9" s="152">
        <f t="shared" si="6"/>
        <v>2784.7539999999999</v>
      </c>
      <c r="O9" s="152">
        <f t="shared" si="6"/>
        <v>3091.6400000000003</v>
      </c>
      <c r="P9" s="240"/>
      <c r="Q9" s="240"/>
      <c r="R9" s="152">
        <f t="shared" ref="R9:Y9" si="7">SUM(R7:R8)</f>
        <v>741.6880000000001</v>
      </c>
      <c r="S9" s="152">
        <f t="shared" si="7"/>
        <v>802.67100000000005</v>
      </c>
      <c r="T9" s="152">
        <f t="shared" si="7"/>
        <v>704.84500000000003</v>
      </c>
      <c r="U9" s="152">
        <f t="shared" si="7"/>
        <v>721.49299999999994</v>
      </c>
      <c r="V9" s="152">
        <f t="shared" si="7"/>
        <v>744.62099999999998</v>
      </c>
      <c r="W9" s="152">
        <f t="shared" si="7"/>
        <v>771.04199999999992</v>
      </c>
      <c r="X9" s="152">
        <f t="shared" si="7"/>
        <v>666.80899999999997</v>
      </c>
      <c r="Y9" s="152">
        <f t="shared" si="7"/>
        <v>655.92700000000002</v>
      </c>
      <c r="Z9" s="152">
        <f t="shared" ref="Z9:AN9" si="8">SUM(Z7:Z8)</f>
        <v>643.92600000000004</v>
      </c>
      <c r="AA9" s="152">
        <f t="shared" si="8"/>
        <v>541.15899999999999</v>
      </c>
      <c r="AB9" s="152">
        <f t="shared" si="8"/>
        <v>496.56700000000001</v>
      </c>
      <c r="AC9" s="152">
        <f t="shared" si="8"/>
        <v>489.75599999999997</v>
      </c>
      <c r="AD9" s="152">
        <f t="shared" si="8"/>
        <v>496.85</v>
      </c>
      <c r="AE9" s="152">
        <f t="shared" si="8"/>
        <v>559.62400000000002</v>
      </c>
      <c r="AF9" s="152">
        <f t="shared" si="8"/>
        <v>598.92000000000007</v>
      </c>
      <c r="AG9" s="152">
        <f t="shared" si="8"/>
        <v>591.26599999999996</v>
      </c>
      <c r="AH9" s="152">
        <f t="shared" si="8"/>
        <v>610.78200000000004</v>
      </c>
      <c r="AI9" s="152">
        <f t="shared" si="8"/>
        <v>697.96399999999994</v>
      </c>
      <c r="AJ9" s="152">
        <f t="shared" si="8"/>
        <v>745.84300000000007</v>
      </c>
      <c r="AK9" s="152">
        <f t="shared" si="8"/>
        <v>730.16499999999996</v>
      </c>
      <c r="AL9" s="152">
        <f t="shared" si="8"/>
        <v>750.44399999999996</v>
      </c>
      <c r="AM9" s="152">
        <f t="shared" si="8"/>
        <v>777.24800000000005</v>
      </c>
      <c r="AN9" s="152">
        <f t="shared" si="8"/>
        <v>764.77199999999993</v>
      </c>
      <c r="AO9" s="152">
        <f t="shared" ref="AO9:AP9" si="9">SUM(AO7:AO8)</f>
        <v>799.17600000000004</v>
      </c>
      <c r="AP9" s="152">
        <f t="shared" si="9"/>
        <v>808.02199999999993</v>
      </c>
      <c r="AQ9" s="240"/>
      <c r="AR9" s="240"/>
      <c r="AS9" s="240"/>
      <c r="AT9" s="240"/>
      <c r="AU9" s="240"/>
      <c r="AV9" s="240"/>
      <c r="AW9" s="240"/>
    </row>
    <row r="10" spans="1:49">
      <c r="B10" s="248"/>
      <c r="C10" s="4" t="s">
        <v>117</v>
      </c>
      <c r="G10" s="142">
        <f ca="1">G9/G7</f>
        <v>1.6996247465356364</v>
      </c>
      <c r="H10" s="129">
        <f ca="1">H9/H7</f>
        <v>1.7644121031748254</v>
      </c>
      <c r="J10" s="9"/>
      <c r="K10" s="9">
        <f t="shared" ref="K10:O10" si="10">K9/J9-1</f>
        <v>-4.4534329822260688E-2</v>
      </c>
      <c r="L10" s="9">
        <f t="shared" si="10"/>
        <v>-0.23498845652073586</v>
      </c>
      <c r="M10" s="9">
        <f t="shared" si="10"/>
        <v>3.4655854634412231E-2</v>
      </c>
      <c r="N10" s="9">
        <f t="shared" si="10"/>
        <v>0.23950842584102627</v>
      </c>
      <c r="O10" s="9">
        <f t="shared" si="10"/>
        <v>0.11020219380239715</v>
      </c>
      <c r="P10" s="238"/>
      <c r="R10" s="9"/>
      <c r="S10" s="9"/>
      <c r="T10" s="9"/>
      <c r="U10" s="9"/>
      <c r="V10" s="9">
        <f t="shared" ref="V10:Y10" si="11">V9/R9-1</f>
        <v>3.9544929943586826E-3</v>
      </c>
      <c r="W10" s="9">
        <f t="shared" si="11"/>
        <v>-3.9404687599278065E-2</v>
      </c>
      <c r="X10" s="9">
        <f t="shared" si="11"/>
        <v>-5.3963637395455843E-2</v>
      </c>
      <c r="Y10" s="9">
        <f t="shared" si="11"/>
        <v>-9.0875448549050275E-2</v>
      </c>
      <c r="Z10" s="9">
        <f>Z9/V9-1</f>
        <v>-0.13522986861772623</v>
      </c>
      <c r="AA10" s="9">
        <f t="shared" ref="AA10:AN10" si="12">AA9/W9-1</f>
        <v>-0.29814588569753653</v>
      </c>
      <c r="AB10" s="9">
        <f t="shared" si="12"/>
        <v>-0.2553084916370354</v>
      </c>
      <c r="AC10" s="9">
        <f t="shared" si="12"/>
        <v>-0.25333764275597748</v>
      </c>
      <c r="AD10" s="9">
        <f t="shared" si="12"/>
        <v>-0.22840512729723605</v>
      </c>
      <c r="AE10" s="9">
        <f t="shared" si="12"/>
        <v>3.4121210217329834E-2</v>
      </c>
      <c r="AF10" s="9">
        <f t="shared" si="12"/>
        <v>0.20612122835387781</v>
      </c>
      <c r="AG10" s="9">
        <f t="shared" si="12"/>
        <v>0.20726647555109068</v>
      </c>
      <c r="AH10" s="9">
        <f t="shared" si="12"/>
        <v>0.22930864446009869</v>
      </c>
      <c r="AI10" s="9">
        <f t="shared" si="12"/>
        <v>0.24720169256500779</v>
      </c>
      <c r="AJ10" s="9">
        <f t="shared" si="12"/>
        <v>0.24531323048153331</v>
      </c>
      <c r="AK10" s="9">
        <f t="shared" si="12"/>
        <v>0.23491795570859808</v>
      </c>
      <c r="AL10" s="9">
        <f t="shared" si="12"/>
        <v>0.22866096250380652</v>
      </c>
      <c r="AM10" s="9">
        <f t="shared" si="12"/>
        <v>0.11359325122785724</v>
      </c>
      <c r="AN10" s="9">
        <f t="shared" si="12"/>
        <v>2.5379335865590935E-2</v>
      </c>
      <c r="AO10" s="9">
        <f t="shared" ref="AO10" si="13">AO9/AK9-1</f>
        <v>9.4514253627604905E-2</v>
      </c>
      <c r="AP10" s="9">
        <f t="shared" ref="AP10" si="14">AP9/AL9-1</f>
        <v>7.6725245321436431E-2</v>
      </c>
      <c r="AQ10" s="238"/>
      <c r="AR10" s="238"/>
      <c r="AS10" s="238"/>
      <c r="AT10" s="238"/>
      <c r="AU10" s="238"/>
      <c r="AV10" s="238"/>
      <c r="AW10" s="238"/>
    </row>
    <row r="11" spans="1:49">
      <c r="B11" s="248"/>
      <c r="C11" s="4" t="s">
        <v>118</v>
      </c>
      <c r="G11" s="241"/>
      <c r="H11" s="237"/>
      <c r="J11" s="9"/>
      <c r="K11" s="9"/>
      <c r="L11" s="9"/>
      <c r="M11" s="9"/>
      <c r="N11" s="9"/>
      <c r="O11" s="9"/>
      <c r="P11" s="238"/>
      <c r="R11" s="9"/>
      <c r="S11" s="9">
        <f t="shared" ref="S11" si="15">S9/R9-1</f>
        <v>8.2221904628361209E-2</v>
      </c>
      <c r="T11" s="9">
        <f t="shared" ref="T11" si="16">T9/S9-1</f>
        <v>-0.12187558788096242</v>
      </c>
      <c r="U11" s="9">
        <f t="shared" ref="U11" si="17">U9/T9-1</f>
        <v>2.3619377309904932E-2</v>
      </c>
      <c r="V11" s="9">
        <f t="shared" ref="V11" si="18">V9/U9-1</f>
        <v>3.2055751060647841E-2</v>
      </c>
      <c r="W11" s="9">
        <f t="shared" ref="W11:AN11" si="19">W9/V9-1</f>
        <v>3.5482480349063428E-2</v>
      </c>
      <c r="X11" s="9">
        <f t="shared" si="19"/>
        <v>-0.13518459435413366</v>
      </c>
      <c r="Y11" s="9">
        <f t="shared" si="19"/>
        <v>-1.6319515783380201E-2</v>
      </c>
      <c r="Z11" s="9">
        <f t="shared" si="19"/>
        <v>-1.8296243331956119E-2</v>
      </c>
      <c r="AA11" s="9">
        <f t="shared" si="19"/>
        <v>-0.15959442544640234</v>
      </c>
      <c r="AB11" s="9">
        <f t="shared" si="19"/>
        <v>-8.2400920986253512E-2</v>
      </c>
      <c r="AC11" s="9">
        <f t="shared" si="19"/>
        <v>-1.3716175259330665E-2</v>
      </c>
      <c r="AD11" s="9">
        <f t="shared" si="19"/>
        <v>1.448476384158659E-2</v>
      </c>
      <c r="AE11" s="9">
        <f t="shared" si="19"/>
        <v>0.12634396699204986</v>
      </c>
      <c r="AF11" s="9">
        <f t="shared" si="19"/>
        <v>7.0218575329149546E-2</v>
      </c>
      <c r="AG11" s="9">
        <f t="shared" si="19"/>
        <v>-1.27796700727979E-2</v>
      </c>
      <c r="AH11" s="9">
        <f t="shared" si="19"/>
        <v>3.3007140610148422E-2</v>
      </c>
      <c r="AI11" s="9">
        <f t="shared" si="19"/>
        <v>0.14273832562190747</v>
      </c>
      <c r="AJ11" s="9">
        <f t="shared" si="19"/>
        <v>6.8598093884498557E-2</v>
      </c>
      <c r="AK11" s="9">
        <f t="shared" si="19"/>
        <v>-2.1020509678310484E-2</v>
      </c>
      <c r="AL11" s="9">
        <f t="shared" si="19"/>
        <v>2.7773174556435798E-2</v>
      </c>
      <c r="AM11" s="9">
        <f t="shared" si="19"/>
        <v>3.5717521893705806E-2</v>
      </c>
      <c r="AN11" s="9">
        <f t="shared" si="19"/>
        <v>-1.6051504796410043E-2</v>
      </c>
      <c r="AO11" s="9">
        <f t="shared" ref="AO11" si="20">AO9/AN9-1</f>
        <v>4.4985956598829535E-2</v>
      </c>
      <c r="AP11" s="9">
        <f t="shared" ref="AP11" si="21">AP9/AO9-1</f>
        <v>1.1068900967996953E-2</v>
      </c>
      <c r="AQ11" s="238"/>
      <c r="AR11" s="238"/>
      <c r="AS11" s="238"/>
      <c r="AT11" s="238"/>
      <c r="AU11" s="238"/>
      <c r="AV11" s="238"/>
      <c r="AW11" s="238"/>
    </row>
    <row r="12" spans="1:49">
      <c r="B12" s="248"/>
      <c r="C12" s="4"/>
      <c r="G12" s="241"/>
      <c r="H12" s="237"/>
      <c r="N12" s="251"/>
      <c r="O12" s="251"/>
      <c r="P12" s="238"/>
      <c r="AQ12" s="238"/>
      <c r="AR12" s="238"/>
      <c r="AS12" s="238"/>
      <c r="AT12" s="238"/>
      <c r="AU12" s="238"/>
      <c r="AV12" s="238"/>
      <c r="AW12" s="238"/>
    </row>
    <row r="13" spans="1:49">
      <c r="B13" s="249" t="s">
        <v>188</v>
      </c>
      <c r="C13" s="26"/>
      <c r="D13" s="26"/>
      <c r="E13" s="26"/>
      <c r="F13" s="26"/>
      <c r="G13" s="140">
        <f ca="1">OFFSET(R13,0,MATCH($G$2,$R$3:$AW$3,0)-1)*4</f>
        <v>-2202.7240000000002</v>
      </c>
      <c r="H13" s="128">
        <f ca="1">SUM(OFFSET(R13,0,MATCH($G$2,$R$3:$AW$3,0)-4),OFFSET(R13,0,MATCH($G$2,$R$3:$AW$3,0)-3),OFFSET(R13,0,MATCH($G$2,$R$3:$AW$3,0)-2),OFFSET(R13,0,MATCH($G$2,$R$3:$AW$3,0)-1))</f>
        <v>-2189.0230000000001</v>
      </c>
      <c r="I13" s="26"/>
      <c r="J13" s="12">
        <f>SUM(R13:U13)</f>
        <v>-2160.9459999999999</v>
      </c>
      <c r="K13" s="12">
        <f t="shared" ref="K13" si="22">SUM(V13:Y13)</f>
        <v>-2030.0460000000003</v>
      </c>
      <c r="L13" s="12">
        <f t="shared" ref="L13" si="23">SUM(Z13:AC13)</f>
        <v>-1510.8180000000002</v>
      </c>
      <c r="M13" s="12">
        <f t="shared" ref="M13" si="24">SUM(AD13:AG13)</f>
        <v>-1652.961</v>
      </c>
      <c r="N13" s="12">
        <f t="shared" ref="N13" si="25">SUM(AH13:AK13)</f>
        <v>-2060.9409999999998</v>
      </c>
      <c r="O13" s="12">
        <f t="shared" ref="O13" si="26">SUM(AL13:AO13)</f>
        <v>-2180.422</v>
      </c>
      <c r="P13" s="242"/>
      <c r="Q13" s="243"/>
      <c r="R13" s="13">
        <v>-553.31700000000001</v>
      </c>
      <c r="S13" s="13">
        <v>-588.62799999999993</v>
      </c>
      <c r="T13" s="13">
        <v>-498.42100000000005</v>
      </c>
      <c r="U13" s="13">
        <v>-520.57999999999993</v>
      </c>
      <c r="V13" s="13">
        <v>-536.65499999999997</v>
      </c>
      <c r="W13" s="13">
        <v>-563.495</v>
      </c>
      <c r="X13" s="13">
        <v>-458.51400000000001</v>
      </c>
      <c r="Y13" s="13">
        <v>-471.38199999999995</v>
      </c>
      <c r="Z13" s="13">
        <v>-453.56799999999998</v>
      </c>
      <c r="AA13" s="13">
        <v>-373.53899999999999</v>
      </c>
      <c r="AB13" s="13">
        <v>-340.76400000000001</v>
      </c>
      <c r="AC13" s="13">
        <v>-342.947</v>
      </c>
      <c r="AD13" s="13">
        <v>-363.04</v>
      </c>
      <c r="AE13" s="13">
        <v>-409.47899999999998</v>
      </c>
      <c r="AF13" s="13">
        <v>-446.51900000000001</v>
      </c>
      <c r="AG13" s="13">
        <v>-433.923</v>
      </c>
      <c r="AH13" s="13">
        <v>-450.61799999999999</v>
      </c>
      <c r="AI13" s="13">
        <v>-523.86199999999997</v>
      </c>
      <c r="AJ13" s="13">
        <v>-552.39200000000005</v>
      </c>
      <c r="AK13" s="13">
        <v>-534.06899999999996</v>
      </c>
      <c r="AL13" s="13">
        <v>-542.08000000000004</v>
      </c>
      <c r="AM13" s="13">
        <v>-546.06899999999996</v>
      </c>
      <c r="AN13" s="13">
        <v>-530.54100000000005</v>
      </c>
      <c r="AO13" s="13">
        <v>-561.73199999999997</v>
      </c>
      <c r="AP13" s="13">
        <v>-550.68100000000004</v>
      </c>
      <c r="AQ13" s="242"/>
      <c r="AR13" s="242"/>
      <c r="AS13" s="242"/>
      <c r="AT13" s="242"/>
      <c r="AU13" s="242"/>
      <c r="AV13" s="242"/>
      <c r="AW13" s="242"/>
    </row>
    <row r="14" spans="1:49">
      <c r="B14" s="1" t="s">
        <v>189</v>
      </c>
      <c r="G14" s="141">
        <f ca="1">G9+SUM(G13:G13)</f>
        <v>1029.3639999999996</v>
      </c>
      <c r="H14" s="74">
        <f ca="1">H9+SUM(H13:H13)</f>
        <v>960.19499999999971</v>
      </c>
      <c r="J14" s="14">
        <f t="shared" ref="J14:O14" si="27">J9+SUM(J13:J13)</f>
        <v>809.7510000000002</v>
      </c>
      <c r="K14" s="14">
        <f t="shared" si="27"/>
        <v>808.35299999999961</v>
      </c>
      <c r="L14" s="14">
        <f t="shared" si="27"/>
        <v>660.58999999999969</v>
      </c>
      <c r="M14" s="14">
        <f t="shared" si="27"/>
        <v>593.69899999999984</v>
      </c>
      <c r="N14" s="14">
        <f t="shared" si="27"/>
        <v>723.8130000000001</v>
      </c>
      <c r="O14" s="14">
        <f t="shared" si="27"/>
        <v>911.2180000000003</v>
      </c>
      <c r="P14" s="238"/>
      <c r="R14" s="14">
        <f t="shared" ref="R14:U14" si="28">R9+SUM(R13:R13)</f>
        <v>188.37100000000009</v>
      </c>
      <c r="S14" s="14">
        <f t="shared" si="28"/>
        <v>214.04300000000012</v>
      </c>
      <c r="T14" s="14">
        <f t="shared" si="28"/>
        <v>206.42399999999998</v>
      </c>
      <c r="U14" s="14">
        <f t="shared" si="28"/>
        <v>200.91300000000001</v>
      </c>
      <c r="V14" s="14">
        <f t="shared" ref="V14:AN14" si="29">V9+SUM(V13:V13)</f>
        <v>207.96600000000001</v>
      </c>
      <c r="W14" s="14">
        <f t="shared" si="29"/>
        <v>207.54699999999991</v>
      </c>
      <c r="X14" s="14">
        <f t="shared" si="29"/>
        <v>208.29499999999996</v>
      </c>
      <c r="Y14" s="14">
        <f t="shared" si="29"/>
        <v>184.54500000000007</v>
      </c>
      <c r="Z14" s="14">
        <f t="shared" si="29"/>
        <v>190.35800000000006</v>
      </c>
      <c r="AA14" s="14">
        <f t="shared" si="29"/>
        <v>167.62</v>
      </c>
      <c r="AB14" s="14">
        <f t="shared" si="29"/>
        <v>155.803</v>
      </c>
      <c r="AC14" s="14">
        <f t="shared" si="29"/>
        <v>146.80899999999997</v>
      </c>
      <c r="AD14" s="14">
        <f t="shared" si="29"/>
        <v>133.81</v>
      </c>
      <c r="AE14" s="14">
        <f t="shared" si="29"/>
        <v>150.14500000000004</v>
      </c>
      <c r="AF14" s="14">
        <f t="shared" si="29"/>
        <v>152.40100000000007</v>
      </c>
      <c r="AG14" s="14">
        <f t="shared" si="29"/>
        <v>157.34299999999996</v>
      </c>
      <c r="AH14" s="14">
        <f t="shared" si="29"/>
        <v>160.16400000000004</v>
      </c>
      <c r="AI14" s="14">
        <f t="shared" si="29"/>
        <v>174.10199999999998</v>
      </c>
      <c r="AJ14" s="14">
        <f t="shared" si="29"/>
        <v>193.45100000000002</v>
      </c>
      <c r="AK14" s="14">
        <f t="shared" si="29"/>
        <v>196.096</v>
      </c>
      <c r="AL14" s="14">
        <f t="shared" si="29"/>
        <v>208.36399999999992</v>
      </c>
      <c r="AM14" s="14">
        <f t="shared" si="29"/>
        <v>231.17900000000009</v>
      </c>
      <c r="AN14" s="14">
        <f t="shared" si="29"/>
        <v>234.23099999999988</v>
      </c>
      <c r="AO14" s="14">
        <f t="shared" ref="AO14:AP14" si="30">AO9+SUM(AO13:AO13)</f>
        <v>237.44400000000007</v>
      </c>
      <c r="AP14" s="14">
        <f t="shared" si="30"/>
        <v>257.34099999999989</v>
      </c>
      <c r="AQ14" s="238"/>
      <c r="AR14" s="238"/>
      <c r="AS14" s="238"/>
      <c r="AT14" s="238"/>
      <c r="AU14" s="238"/>
      <c r="AV14" s="238"/>
      <c r="AW14" s="238"/>
    </row>
    <row r="15" spans="1:49">
      <c r="C15" s="4" t="s">
        <v>119</v>
      </c>
      <c r="G15" s="142">
        <f ca="1">G14/G9</f>
        <v>0.3184826650759508</v>
      </c>
      <c r="H15" s="129">
        <f ca="1">H14/H9</f>
        <v>0.30489950203510829</v>
      </c>
      <c r="J15" s="9">
        <f t="shared" ref="J15:O15" si="31">J14/J9</f>
        <v>0.2725794653577932</v>
      </c>
      <c r="K15" s="9">
        <f t="shared" si="31"/>
        <v>0.28479188443907977</v>
      </c>
      <c r="L15" s="9">
        <f t="shared" si="31"/>
        <v>0.3042219610501572</v>
      </c>
      <c r="M15" s="9">
        <f t="shared" si="31"/>
        <v>0.26425849928338063</v>
      </c>
      <c r="N15" s="9">
        <f t="shared" si="31"/>
        <v>0.25991990674939336</v>
      </c>
      <c r="O15" s="9">
        <f t="shared" si="31"/>
        <v>0.29473612710406133</v>
      </c>
      <c r="P15" s="238"/>
      <c r="R15" s="9">
        <f t="shared" ref="R15:U15" si="32">R14/R9</f>
        <v>0.25397606540755691</v>
      </c>
      <c r="S15" s="9">
        <f t="shared" si="32"/>
        <v>0.2666634274814963</v>
      </c>
      <c r="T15" s="9">
        <f t="shared" si="32"/>
        <v>0.2928643886244493</v>
      </c>
      <c r="U15" s="9">
        <f t="shared" si="32"/>
        <v>0.27846839816879726</v>
      </c>
      <c r="V15" s="9">
        <f t="shared" ref="V15:AN15" si="33">V14/V9</f>
        <v>0.27929107559416133</v>
      </c>
      <c r="W15" s="9">
        <f t="shared" si="33"/>
        <v>0.26917729514086125</v>
      </c>
      <c r="X15" s="9">
        <f t="shared" si="33"/>
        <v>0.31237580776504209</v>
      </c>
      <c r="Y15" s="9">
        <f t="shared" si="33"/>
        <v>0.28134990631579437</v>
      </c>
      <c r="Z15" s="9">
        <f t="shared" si="33"/>
        <v>0.29562092538583634</v>
      </c>
      <c r="AA15" s="9">
        <f t="shared" si="33"/>
        <v>0.30974260799506248</v>
      </c>
      <c r="AB15" s="9">
        <f t="shared" si="33"/>
        <v>0.3137602780692233</v>
      </c>
      <c r="AC15" s="9">
        <f t="shared" si="33"/>
        <v>0.29975947206363979</v>
      </c>
      <c r="AD15" s="9">
        <f t="shared" si="33"/>
        <v>0.26931669517963169</v>
      </c>
      <c r="AE15" s="9">
        <f t="shared" si="33"/>
        <v>0.26829621317170105</v>
      </c>
      <c r="AF15" s="9">
        <f t="shared" si="33"/>
        <v>0.25445969411607566</v>
      </c>
      <c r="AG15" s="9">
        <f t="shared" si="33"/>
        <v>0.26611203756008289</v>
      </c>
      <c r="AH15" s="9">
        <f t="shared" si="33"/>
        <v>0.26222776702653328</v>
      </c>
      <c r="AI15" s="9">
        <f t="shared" si="33"/>
        <v>0.24944266466465317</v>
      </c>
      <c r="AJ15" s="9">
        <f t="shared" si="33"/>
        <v>0.25937228076150076</v>
      </c>
      <c r="AK15" s="9">
        <f t="shared" si="33"/>
        <v>0.26856395472256273</v>
      </c>
      <c r="AL15" s="9">
        <f t="shared" si="33"/>
        <v>0.27765429532383484</v>
      </c>
      <c r="AM15" s="9">
        <f t="shared" si="33"/>
        <v>0.29743273704145917</v>
      </c>
      <c r="AN15" s="9">
        <f t="shared" si="33"/>
        <v>0.30627559586386516</v>
      </c>
      <c r="AO15" s="9">
        <f t="shared" ref="AO15:AP15" si="34">AO14/AO9</f>
        <v>0.2971110243550858</v>
      </c>
      <c r="AP15" s="9">
        <f t="shared" si="34"/>
        <v>0.3184826650759508</v>
      </c>
      <c r="AQ15" s="238"/>
      <c r="AR15" s="238"/>
      <c r="AS15" s="238"/>
      <c r="AT15" s="238"/>
      <c r="AU15" s="238"/>
      <c r="AV15" s="238"/>
      <c r="AW15" s="238"/>
    </row>
    <row r="16" spans="1:49">
      <c r="C16" s="4"/>
      <c r="G16" s="241"/>
      <c r="H16" s="237"/>
      <c r="J16" s="9"/>
      <c r="K16" s="9"/>
      <c r="L16" s="9"/>
      <c r="M16" s="9"/>
      <c r="N16" s="9"/>
      <c r="O16" s="9"/>
      <c r="P16" s="238"/>
      <c r="R16" s="9"/>
      <c r="S16" s="9"/>
      <c r="T16" s="9"/>
      <c r="U16" s="9"/>
      <c r="V16" s="9"/>
      <c r="W16" s="9"/>
      <c r="X16" s="9"/>
      <c r="Y16" s="9"/>
      <c r="Z16" s="9"/>
      <c r="AA16" s="9"/>
      <c r="AB16" s="9"/>
      <c r="AC16" s="9"/>
      <c r="AD16" s="9"/>
      <c r="AE16" s="9"/>
      <c r="AF16" s="9"/>
      <c r="AG16" s="9"/>
      <c r="AH16" s="9"/>
      <c r="AI16" s="9"/>
      <c r="AJ16" s="9"/>
      <c r="AK16" s="9"/>
      <c r="AL16" s="9"/>
      <c r="AM16" s="9"/>
      <c r="AN16" s="9"/>
      <c r="AO16" s="9"/>
      <c r="AP16" s="9"/>
      <c r="AQ16" s="238"/>
      <c r="AR16" s="238"/>
      <c r="AS16" s="238"/>
      <c r="AT16" s="238"/>
      <c r="AU16" s="238"/>
      <c r="AV16" s="238"/>
      <c r="AW16" s="238"/>
    </row>
    <row r="17" spans="2:49">
      <c r="B17" s="248" t="s">
        <v>120</v>
      </c>
      <c r="G17" s="139">
        <f ca="1">OFFSET(R17,0,MATCH($G$2,$R$3:$AW$3,0)-1)*4</f>
        <v>-360.82400000000001</v>
      </c>
      <c r="H17" s="75">
        <f ca="1">SUM(OFFSET(R17,0,MATCH($G$2,$R$3:$AW$3,0)-4),OFFSET(R17,0,MATCH($G$2,$R$3:$AW$3,0)-3),OFFSET(R17,0,MATCH($G$2,$R$3:$AW$3,0)-2),OFFSET(R17,0,MATCH($G$2,$R$3:$AW$3,0)-1))</f>
        <v>-336.57000000000005</v>
      </c>
      <c r="J17" s="15">
        <f>SUM(R17:U17)</f>
        <v>-304.39699999999999</v>
      </c>
      <c r="K17" s="15">
        <f>SUM(V17:Y17)</f>
        <v>-277.38800000000003</v>
      </c>
      <c r="L17" s="15">
        <f>SUM(Z17:AC17)</f>
        <v>-258.27199999999999</v>
      </c>
      <c r="M17" s="15">
        <f>SUM(AD17:AG17)</f>
        <v>-266.911</v>
      </c>
      <c r="N17" s="15">
        <f>SUM(AH17:AK17)</f>
        <v>-301.39200000000005</v>
      </c>
      <c r="O17" s="15">
        <f t="shared" ref="O17:O19" si="35">SUM(AL17:AO17)</f>
        <v>-335.21300000000002</v>
      </c>
      <c r="P17" s="238"/>
      <c r="R17" s="11">
        <v>-76.796000000000006</v>
      </c>
      <c r="S17" s="11">
        <v>-92.587999999999994</v>
      </c>
      <c r="T17" s="11">
        <v>-70.031999999999996</v>
      </c>
      <c r="U17" s="11">
        <v>-64.980999999999995</v>
      </c>
      <c r="V17" s="11">
        <v>-72.796000000000006</v>
      </c>
      <c r="W17" s="11">
        <v>-69.150000000000006</v>
      </c>
      <c r="X17" s="11">
        <v>-64.656000000000006</v>
      </c>
      <c r="Y17" s="11">
        <v>-70.786000000000001</v>
      </c>
      <c r="Z17" s="11">
        <v>-72.08</v>
      </c>
      <c r="AA17" s="11">
        <v>-65.611999999999995</v>
      </c>
      <c r="AB17" s="11">
        <v>-61.72</v>
      </c>
      <c r="AC17" s="11">
        <v>-58.86</v>
      </c>
      <c r="AD17" s="11">
        <v>-69.629000000000005</v>
      </c>
      <c r="AE17" s="11">
        <v>-62.74</v>
      </c>
      <c r="AF17" s="11">
        <v>-66.064999999999998</v>
      </c>
      <c r="AG17" s="11">
        <v>-68.477000000000004</v>
      </c>
      <c r="AH17" s="11">
        <v>-75.765000000000001</v>
      </c>
      <c r="AI17" s="11">
        <v>-69.275000000000006</v>
      </c>
      <c r="AJ17" s="11">
        <v>-75.381</v>
      </c>
      <c r="AK17" s="11">
        <v>-80.971000000000004</v>
      </c>
      <c r="AL17" s="11">
        <v>-88.849000000000004</v>
      </c>
      <c r="AM17" s="11">
        <v>-82.896000000000001</v>
      </c>
      <c r="AN17" s="11">
        <v>-79.125</v>
      </c>
      <c r="AO17" s="11">
        <v>-84.343000000000004</v>
      </c>
      <c r="AP17" s="11">
        <v>-90.206000000000003</v>
      </c>
      <c r="AQ17" s="238"/>
      <c r="AR17" s="238"/>
      <c r="AS17" s="238"/>
      <c r="AT17" s="238"/>
      <c r="AU17" s="238"/>
      <c r="AV17" s="238"/>
      <c r="AW17" s="238"/>
    </row>
    <row r="18" spans="2:49">
      <c r="B18" s="248" t="s">
        <v>190</v>
      </c>
      <c r="G18" s="139">
        <f ca="1">OFFSET(R18,0,MATCH($G$2,$R$3:$AW$3,0)-1)*4</f>
        <v>-32.176000000000002</v>
      </c>
      <c r="H18" s="75">
        <f ca="1">SUM(OFFSET(R18,0,MATCH($G$2,$R$3:$AW$3,0)-4),OFFSET(R18,0,MATCH($G$2,$R$3:$AW$3,0)-3),OFFSET(R18,0,MATCH($G$2,$R$3:$AW$3,0)-2),OFFSET(R18,0,MATCH($G$2,$R$3:$AW$3,0)-1))</f>
        <v>-33.623999999999995</v>
      </c>
      <c r="J18" s="15">
        <f t="shared" ref="J18:J19" si="36">SUM(R18:U18)</f>
        <v>-39.250999999999998</v>
      </c>
      <c r="K18" s="15">
        <f t="shared" ref="K18:K19" si="37">SUM(V18:Y18)</f>
        <v>-41.932999999999993</v>
      </c>
      <c r="L18" s="15">
        <f t="shared" ref="L18:L19" si="38">SUM(Z18:AC18)</f>
        <v>-42</v>
      </c>
      <c r="M18" s="15">
        <f t="shared" ref="M18:M19" si="39">SUM(AD18:AG18)</f>
        <v>-36.251000000000005</v>
      </c>
      <c r="N18" s="15">
        <f t="shared" ref="N18:N19" si="40">SUM(AH18:AK18)</f>
        <v>-35.070999999999998</v>
      </c>
      <c r="O18" s="15">
        <f t="shared" si="35"/>
        <v>-34.765999999999998</v>
      </c>
      <c r="P18" s="238"/>
      <c r="R18" s="11">
        <v>-8.5350000000000001</v>
      </c>
      <c r="S18" s="11">
        <v>-10.552</v>
      </c>
      <c r="T18" s="11">
        <v>-10.523</v>
      </c>
      <c r="U18" s="11">
        <v>-9.641</v>
      </c>
      <c r="V18" s="11">
        <v>-9.9979999999999993</v>
      </c>
      <c r="W18" s="11">
        <v>-10.579000000000001</v>
      </c>
      <c r="X18" s="11">
        <v>-10.909000000000001</v>
      </c>
      <c r="Y18" s="11">
        <v>-10.446999999999999</v>
      </c>
      <c r="Z18" s="11">
        <v>-11.406000000000001</v>
      </c>
      <c r="AA18" s="11">
        <v>-13.065</v>
      </c>
      <c r="AB18" s="11">
        <v>-9.077</v>
      </c>
      <c r="AC18" s="11">
        <v>-8.452</v>
      </c>
      <c r="AD18" s="11">
        <v>-8.26</v>
      </c>
      <c r="AE18" s="11">
        <v>-10.364000000000001</v>
      </c>
      <c r="AF18" s="11">
        <v>-9.9169999999999998</v>
      </c>
      <c r="AG18" s="11">
        <v>-7.71</v>
      </c>
      <c r="AH18" s="11">
        <v>-9.59</v>
      </c>
      <c r="AI18" s="11">
        <v>-9.6210000000000004</v>
      </c>
      <c r="AJ18" s="11">
        <v>-9.1210000000000004</v>
      </c>
      <c r="AK18" s="11">
        <v>-6.7389999999999999</v>
      </c>
      <c r="AL18" s="11">
        <v>-9.1859999999999999</v>
      </c>
      <c r="AM18" s="11">
        <v>-9.7579999999999991</v>
      </c>
      <c r="AN18" s="11">
        <v>-9.6660000000000004</v>
      </c>
      <c r="AO18" s="11">
        <v>-6.1559999999999997</v>
      </c>
      <c r="AP18" s="11">
        <v>-8.0440000000000005</v>
      </c>
      <c r="AQ18" s="238"/>
      <c r="AR18" s="238"/>
      <c r="AS18" s="238"/>
      <c r="AT18" s="238"/>
      <c r="AU18" s="238"/>
      <c r="AV18" s="238"/>
      <c r="AW18" s="238"/>
    </row>
    <row r="19" spans="2:49">
      <c r="B19" s="249" t="s">
        <v>128</v>
      </c>
      <c r="C19" s="26"/>
      <c r="D19" s="26"/>
      <c r="E19" s="26"/>
      <c r="F19" s="26"/>
      <c r="G19" s="140">
        <f ca="1">OFFSET(R19,0,MATCH($G$2,$R$3:$AW$3,0)-1)*4</f>
        <v>-230.56800000000001</v>
      </c>
      <c r="H19" s="128">
        <f ca="1">SUM(OFFSET(R19,0,MATCH($G$2,$R$3:$AW$3,0)-4),OFFSET(R19,0,MATCH($G$2,$R$3:$AW$3,0)-3),OFFSET(R19,0,MATCH($G$2,$R$3:$AW$3,0)-2),OFFSET(R19,0,MATCH($G$2,$R$3:$AW$3,0)-1))</f>
        <v>-217.68899999999999</v>
      </c>
      <c r="I19" s="26"/>
      <c r="J19" s="12">
        <f t="shared" si="36"/>
        <v>-224.97200000000001</v>
      </c>
      <c r="K19" s="12">
        <f t="shared" si="37"/>
        <v>-219.63200000000001</v>
      </c>
      <c r="L19" s="12">
        <f t="shared" si="38"/>
        <v>-219.92399999999998</v>
      </c>
      <c r="M19" s="12">
        <f t="shared" si="39"/>
        <v>-213.71799999999999</v>
      </c>
      <c r="N19" s="12">
        <f t="shared" si="40"/>
        <v>-201.44299999999998</v>
      </c>
      <c r="O19" s="12">
        <f t="shared" si="35"/>
        <v>-211.15600000000001</v>
      </c>
      <c r="P19" s="239"/>
      <c r="Q19" s="26"/>
      <c r="R19" s="13">
        <v>-54.218000000000004</v>
      </c>
      <c r="S19" s="13">
        <v>-55.491999999999997</v>
      </c>
      <c r="T19" s="13">
        <v>-57.93</v>
      </c>
      <c r="U19" s="13">
        <v>-57.332000000000001</v>
      </c>
      <c r="V19" s="13">
        <v>-55.222999999999999</v>
      </c>
      <c r="W19" s="13">
        <v>-55.093000000000004</v>
      </c>
      <c r="X19" s="13">
        <v>-54.454999999999998</v>
      </c>
      <c r="Y19" s="13">
        <v>-54.860999999999997</v>
      </c>
      <c r="Z19" s="13">
        <v>-55.789000000000001</v>
      </c>
      <c r="AA19" s="13">
        <v>-54.502000000000002</v>
      </c>
      <c r="AB19" s="13">
        <v>-54.779000000000003</v>
      </c>
      <c r="AC19" s="13">
        <v>-54.853999999999999</v>
      </c>
      <c r="AD19" s="13">
        <v>-54.89</v>
      </c>
      <c r="AE19" s="13">
        <v>-55.131999999999998</v>
      </c>
      <c r="AF19" s="13">
        <v>-53.462000000000003</v>
      </c>
      <c r="AG19" s="13">
        <v>-50.234000000000002</v>
      </c>
      <c r="AH19" s="13">
        <v>-49.963999999999999</v>
      </c>
      <c r="AI19" s="13">
        <v>-50.115000000000002</v>
      </c>
      <c r="AJ19" s="13">
        <v>-50.418999999999997</v>
      </c>
      <c r="AK19" s="13">
        <v>-50.945</v>
      </c>
      <c r="AL19" s="13">
        <v>-51.109000000000002</v>
      </c>
      <c r="AM19" s="13">
        <v>-51.697000000000003</v>
      </c>
      <c r="AN19" s="13">
        <v>-53.445</v>
      </c>
      <c r="AO19" s="13">
        <v>-54.905000000000001</v>
      </c>
      <c r="AP19" s="13">
        <v>-57.642000000000003</v>
      </c>
      <c r="AQ19" s="239"/>
      <c r="AR19" s="239"/>
      <c r="AS19" s="239"/>
      <c r="AT19" s="239"/>
      <c r="AU19" s="239"/>
      <c r="AV19" s="239"/>
      <c r="AW19" s="239"/>
    </row>
    <row r="20" spans="2:49">
      <c r="B20" s="252" t="s">
        <v>148</v>
      </c>
      <c r="C20" s="174"/>
      <c r="G20" s="143">
        <f ca="1">G14+SUM(G17:G19)</f>
        <v>405.79599999999959</v>
      </c>
      <c r="H20" s="130">
        <f ca="1">H14+SUM(H17:H19)</f>
        <v>372.31199999999967</v>
      </c>
      <c r="J20" s="7">
        <f t="shared" ref="J20:O20" si="41">J14+SUM(J17:J19)</f>
        <v>241.1310000000002</v>
      </c>
      <c r="K20" s="7">
        <f t="shared" si="41"/>
        <v>269.39999999999964</v>
      </c>
      <c r="L20" s="7">
        <f t="shared" si="41"/>
        <v>140.39399999999978</v>
      </c>
      <c r="M20" s="7">
        <f t="shared" si="41"/>
        <v>76.818999999999846</v>
      </c>
      <c r="N20" s="7">
        <f t="shared" si="41"/>
        <v>185.90700000000004</v>
      </c>
      <c r="O20" s="7">
        <f t="shared" si="41"/>
        <v>330.08300000000031</v>
      </c>
      <c r="P20" s="238"/>
      <c r="R20" s="7">
        <f t="shared" ref="R20:AN20" si="42">R14+SUM(R17:R19)</f>
        <v>48.822000000000088</v>
      </c>
      <c r="S20" s="7">
        <f t="shared" si="42"/>
        <v>55.411000000000143</v>
      </c>
      <c r="T20" s="7">
        <f t="shared" si="42"/>
        <v>67.938999999999993</v>
      </c>
      <c r="U20" s="7">
        <f t="shared" si="42"/>
        <v>68.959000000000003</v>
      </c>
      <c r="V20" s="7">
        <f t="shared" si="42"/>
        <v>69.949000000000012</v>
      </c>
      <c r="W20" s="7">
        <f t="shared" si="42"/>
        <v>72.724999999999909</v>
      </c>
      <c r="X20" s="7">
        <f t="shared" si="42"/>
        <v>78.274999999999949</v>
      </c>
      <c r="Y20" s="7">
        <f t="shared" si="42"/>
        <v>48.451000000000079</v>
      </c>
      <c r="Z20" s="7">
        <f t="shared" si="42"/>
        <v>51.083000000000055</v>
      </c>
      <c r="AA20" s="7">
        <f t="shared" si="42"/>
        <v>34.441000000000003</v>
      </c>
      <c r="AB20" s="7">
        <f t="shared" si="42"/>
        <v>30.227000000000004</v>
      </c>
      <c r="AC20" s="7">
        <f t="shared" si="42"/>
        <v>24.642999999999972</v>
      </c>
      <c r="AD20" s="7">
        <f t="shared" si="42"/>
        <v>1.0310000000000059</v>
      </c>
      <c r="AE20" s="7">
        <f t="shared" si="42"/>
        <v>21.909000000000049</v>
      </c>
      <c r="AF20" s="7">
        <f t="shared" si="42"/>
        <v>22.95700000000005</v>
      </c>
      <c r="AG20" s="7">
        <f t="shared" si="42"/>
        <v>30.921999999999969</v>
      </c>
      <c r="AH20" s="7">
        <f t="shared" si="42"/>
        <v>24.845000000000027</v>
      </c>
      <c r="AI20" s="7">
        <f t="shared" si="42"/>
        <v>45.09099999999998</v>
      </c>
      <c r="AJ20" s="7">
        <f t="shared" si="42"/>
        <v>58.53000000000003</v>
      </c>
      <c r="AK20" s="7">
        <f t="shared" si="42"/>
        <v>57.441000000000003</v>
      </c>
      <c r="AL20" s="7">
        <f t="shared" si="42"/>
        <v>59.219999999999914</v>
      </c>
      <c r="AM20" s="7">
        <f t="shared" si="42"/>
        <v>86.828000000000088</v>
      </c>
      <c r="AN20" s="7">
        <f t="shared" si="42"/>
        <v>91.994999999999891</v>
      </c>
      <c r="AO20" s="7">
        <f t="shared" ref="AO20:AP20" si="43">AO14+SUM(AO17:AO19)</f>
        <v>92.040000000000077</v>
      </c>
      <c r="AP20" s="7">
        <f t="shared" si="43"/>
        <v>101.4489999999999</v>
      </c>
      <c r="AQ20" s="238"/>
      <c r="AR20" s="238"/>
      <c r="AS20" s="238"/>
      <c r="AT20" s="238"/>
      <c r="AU20" s="238"/>
      <c r="AV20" s="238"/>
      <c r="AW20" s="238"/>
    </row>
    <row r="21" spans="2:49">
      <c r="B21" s="252"/>
      <c r="C21" s="41" t="s">
        <v>123</v>
      </c>
      <c r="G21" s="142">
        <f ca="1">G20/G9</f>
        <v>0.12555227456678147</v>
      </c>
      <c r="H21" s="142">
        <f ca="1">H20/H9</f>
        <v>0.11822363520086564</v>
      </c>
      <c r="J21" s="9">
        <f t="shared" ref="J21:O21" si="44">J20/J9</f>
        <v>8.1169839939919886E-2</v>
      </c>
      <c r="K21" s="9">
        <f t="shared" si="44"/>
        <v>9.491266027080747E-2</v>
      </c>
      <c r="L21" s="9">
        <f t="shared" si="44"/>
        <v>6.4655744107049343E-2</v>
      </c>
      <c r="M21" s="9">
        <f t="shared" si="44"/>
        <v>3.4192534695948587E-2</v>
      </c>
      <c r="N21" s="9">
        <f t="shared" si="44"/>
        <v>6.6758859130824494E-2</v>
      </c>
      <c r="O21" s="9">
        <f t="shared" si="44"/>
        <v>0.10676631173099076</v>
      </c>
      <c r="P21" s="238"/>
      <c r="R21" s="9">
        <f t="shared" ref="R21:AN21" si="45">R20/R9</f>
        <v>6.5825522322054672E-2</v>
      </c>
      <c r="S21" s="9">
        <f t="shared" si="45"/>
        <v>6.9033265185860879E-2</v>
      </c>
      <c r="T21" s="9">
        <f t="shared" si="45"/>
        <v>9.6388567699281391E-2</v>
      </c>
      <c r="U21" s="9">
        <f t="shared" si="45"/>
        <v>9.5578196877862995E-2</v>
      </c>
      <c r="V21" s="9">
        <f t="shared" si="45"/>
        <v>9.3939064302510963E-2</v>
      </c>
      <c r="W21" s="9">
        <f t="shared" si="45"/>
        <v>9.432041315518469E-2</v>
      </c>
      <c r="X21" s="9">
        <f t="shared" si="45"/>
        <v>0.11738743778203346</v>
      </c>
      <c r="Y21" s="9">
        <f t="shared" si="45"/>
        <v>7.3866451602083882E-2</v>
      </c>
      <c r="Z21" s="9">
        <f t="shared" si="45"/>
        <v>7.9330544192966354E-2</v>
      </c>
      <c r="AA21" s="9">
        <f t="shared" si="45"/>
        <v>6.364303282399443E-2</v>
      </c>
      <c r="AB21" s="9">
        <f t="shared" si="45"/>
        <v>6.0871946786637057E-2</v>
      </c>
      <c r="AC21" s="9">
        <f t="shared" si="45"/>
        <v>5.0316892493404826E-2</v>
      </c>
      <c r="AD21" s="9">
        <f t="shared" si="45"/>
        <v>2.0750729596457802E-3</v>
      </c>
      <c r="AE21" s="9">
        <f t="shared" si="45"/>
        <v>3.914950037882587E-2</v>
      </c>
      <c r="AF21" s="9">
        <f t="shared" si="45"/>
        <v>3.8330661858011164E-2</v>
      </c>
      <c r="AG21" s="9">
        <f t="shared" si="45"/>
        <v>5.2297950499436752E-2</v>
      </c>
      <c r="AH21" s="9">
        <f t="shared" si="45"/>
        <v>4.0677361153406658E-2</v>
      </c>
      <c r="AI21" s="9">
        <f t="shared" si="45"/>
        <v>6.4603618524737644E-2</v>
      </c>
      <c r="AJ21" s="9">
        <f t="shared" si="45"/>
        <v>7.8474960547997394E-2</v>
      </c>
      <c r="AK21" s="9">
        <f t="shared" si="45"/>
        <v>7.8668520129011946E-2</v>
      </c>
      <c r="AL21" s="9">
        <f t="shared" si="45"/>
        <v>7.8913283336264822E-2</v>
      </c>
      <c r="AM21" s="9">
        <f t="shared" si="45"/>
        <v>0.11171209189344981</v>
      </c>
      <c r="AN21" s="9">
        <f t="shared" si="45"/>
        <v>0.12029075332255874</v>
      </c>
      <c r="AO21" s="9">
        <f t="shared" ref="AO21:AP21" si="46">AO20/AO9</f>
        <v>0.11516862368239296</v>
      </c>
      <c r="AP21" s="9">
        <f t="shared" si="46"/>
        <v>0.12555227456678147</v>
      </c>
      <c r="AQ21" s="238"/>
      <c r="AR21" s="238"/>
      <c r="AS21" s="238"/>
      <c r="AT21" s="238"/>
      <c r="AU21" s="238"/>
      <c r="AV21" s="238"/>
      <c r="AW21" s="238"/>
    </row>
    <row r="22" spans="2:49">
      <c r="B22" s="253" t="s">
        <v>121</v>
      </c>
      <c r="C22" s="187"/>
      <c r="D22" s="26"/>
      <c r="E22" s="26"/>
      <c r="F22" s="26"/>
      <c r="G22" s="140">
        <f ca="1">OFFSET(R22,0,MATCH($G$2,$R$3:$AW$3,0)-1)*4</f>
        <v>230.56800000000001</v>
      </c>
      <c r="H22" s="128">
        <f ca="1">SUM(OFFSET(R22,0,MATCH($G$2,$R$3:$AW$3,0)-4),OFFSET(R22,0,MATCH($G$2,$R$3:$AW$3,0)-3),OFFSET(R22,0,MATCH($G$2,$R$3:$AW$3,0)-2),OFFSET(R22,0,MATCH($G$2,$R$3:$AW$3,0)-1))</f>
        <v>217.68899999999999</v>
      </c>
      <c r="I22" s="26"/>
      <c r="J22" s="12">
        <f t="shared" ref="J22" si="47">SUM(R22:U22)</f>
        <v>224.97200000000001</v>
      </c>
      <c r="K22" s="12">
        <f t="shared" ref="K22" si="48">SUM(V22:Y22)</f>
        <v>219.63200000000001</v>
      </c>
      <c r="L22" s="12">
        <f t="shared" ref="L22" si="49">SUM(Z22:AC22)</f>
        <v>219.92399999999998</v>
      </c>
      <c r="M22" s="12">
        <f t="shared" ref="M22" si="50">SUM(AD22:AG22)</f>
        <v>213.71799999999999</v>
      </c>
      <c r="N22" s="12">
        <f t="shared" ref="N22" si="51">SUM(AH22:AK22)</f>
        <v>201.44299999999998</v>
      </c>
      <c r="O22" s="12">
        <f t="shared" ref="O22" si="52">SUM(AL22:AO22)</f>
        <v>211.15600000000001</v>
      </c>
      <c r="P22" s="239"/>
      <c r="Q22" s="26"/>
      <c r="R22" s="189">
        <f t="shared" ref="R22:U22" si="53">-R19</f>
        <v>54.218000000000004</v>
      </c>
      <c r="S22" s="189">
        <f t="shared" si="53"/>
        <v>55.491999999999997</v>
      </c>
      <c r="T22" s="189">
        <f t="shared" si="53"/>
        <v>57.93</v>
      </c>
      <c r="U22" s="189">
        <f t="shared" si="53"/>
        <v>57.332000000000001</v>
      </c>
      <c r="V22" s="189">
        <f t="shared" ref="V22:AM22" si="54">-V19</f>
        <v>55.222999999999999</v>
      </c>
      <c r="W22" s="189">
        <f t="shared" si="54"/>
        <v>55.093000000000004</v>
      </c>
      <c r="X22" s="189">
        <f t="shared" si="54"/>
        <v>54.454999999999998</v>
      </c>
      <c r="Y22" s="189">
        <f t="shared" si="54"/>
        <v>54.860999999999997</v>
      </c>
      <c r="Z22" s="189">
        <f t="shared" si="54"/>
        <v>55.789000000000001</v>
      </c>
      <c r="AA22" s="189">
        <f t="shared" si="54"/>
        <v>54.502000000000002</v>
      </c>
      <c r="AB22" s="189">
        <f t="shared" si="54"/>
        <v>54.779000000000003</v>
      </c>
      <c r="AC22" s="189">
        <f t="shared" si="54"/>
        <v>54.853999999999999</v>
      </c>
      <c r="AD22" s="189">
        <f t="shared" si="54"/>
        <v>54.89</v>
      </c>
      <c r="AE22" s="189">
        <f t="shared" si="54"/>
        <v>55.131999999999998</v>
      </c>
      <c r="AF22" s="189">
        <f t="shared" si="54"/>
        <v>53.462000000000003</v>
      </c>
      <c r="AG22" s="189">
        <f t="shared" si="54"/>
        <v>50.234000000000002</v>
      </c>
      <c r="AH22" s="189">
        <f t="shared" si="54"/>
        <v>49.963999999999999</v>
      </c>
      <c r="AI22" s="189">
        <f t="shared" si="54"/>
        <v>50.115000000000002</v>
      </c>
      <c r="AJ22" s="189">
        <f t="shared" si="54"/>
        <v>50.418999999999997</v>
      </c>
      <c r="AK22" s="189">
        <f t="shared" si="54"/>
        <v>50.945</v>
      </c>
      <c r="AL22" s="189">
        <f t="shared" si="54"/>
        <v>51.109000000000002</v>
      </c>
      <c r="AM22" s="189">
        <f t="shared" si="54"/>
        <v>51.697000000000003</v>
      </c>
      <c r="AN22" s="189">
        <f>-AN19</f>
        <v>53.445</v>
      </c>
      <c r="AO22" s="189">
        <f t="shared" ref="AO22:AP22" si="55">-AO19</f>
        <v>54.905000000000001</v>
      </c>
      <c r="AP22" s="189">
        <f t="shared" si="55"/>
        <v>57.642000000000003</v>
      </c>
      <c r="AQ22" s="239"/>
      <c r="AR22" s="239"/>
      <c r="AS22" s="239"/>
      <c r="AT22" s="239"/>
      <c r="AU22" s="239"/>
      <c r="AV22" s="239"/>
      <c r="AW22" s="239"/>
    </row>
    <row r="23" spans="2:49">
      <c r="B23" s="254" t="s">
        <v>149</v>
      </c>
      <c r="C23" s="4"/>
      <c r="G23" s="143">
        <f t="shared" ref="G23:H23" ca="1" si="56">G20+G22</f>
        <v>636.36399999999958</v>
      </c>
      <c r="H23" s="143">
        <f t="shared" ca="1" si="56"/>
        <v>590.00099999999964</v>
      </c>
      <c r="J23" s="7">
        <f t="shared" ref="J23:K23" si="57">J20+J22</f>
        <v>466.10300000000018</v>
      </c>
      <c r="K23" s="7">
        <f t="shared" si="57"/>
        <v>489.03199999999964</v>
      </c>
      <c r="L23" s="7">
        <f t="shared" ref="L23" si="58">L20+L22</f>
        <v>360.31799999999976</v>
      </c>
      <c r="M23" s="7">
        <f t="shared" ref="M23" si="59">M20+M22</f>
        <v>290.53699999999981</v>
      </c>
      <c r="N23" s="7">
        <f t="shared" ref="N23:O23" si="60">N20+N22</f>
        <v>387.35</v>
      </c>
      <c r="O23" s="7">
        <f t="shared" si="60"/>
        <v>541.23900000000026</v>
      </c>
      <c r="P23" s="238"/>
      <c r="R23" s="7">
        <f t="shared" ref="R23:U23" si="61">R20+R22</f>
        <v>103.04000000000009</v>
      </c>
      <c r="S23" s="7">
        <f t="shared" si="61"/>
        <v>110.90300000000013</v>
      </c>
      <c r="T23" s="7">
        <f t="shared" si="61"/>
        <v>125.869</v>
      </c>
      <c r="U23" s="7">
        <f t="shared" si="61"/>
        <v>126.291</v>
      </c>
      <c r="V23" s="7">
        <f t="shared" ref="V23:AL23" si="62">V20+V22</f>
        <v>125.17200000000001</v>
      </c>
      <c r="W23" s="7">
        <f t="shared" si="62"/>
        <v>127.81799999999991</v>
      </c>
      <c r="X23" s="7">
        <f t="shared" si="62"/>
        <v>132.72999999999996</v>
      </c>
      <c r="Y23" s="7">
        <f t="shared" si="62"/>
        <v>103.31200000000007</v>
      </c>
      <c r="Z23" s="7">
        <f t="shared" si="62"/>
        <v>106.87200000000006</v>
      </c>
      <c r="AA23" s="7">
        <f t="shared" si="62"/>
        <v>88.943000000000012</v>
      </c>
      <c r="AB23" s="7">
        <f t="shared" si="62"/>
        <v>85.006</v>
      </c>
      <c r="AC23" s="7">
        <f t="shared" si="62"/>
        <v>79.496999999999971</v>
      </c>
      <c r="AD23" s="7">
        <f t="shared" si="62"/>
        <v>55.921000000000006</v>
      </c>
      <c r="AE23" s="7">
        <f t="shared" si="62"/>
        <v>77.041000000000054</v>
      </c>
      <c r="AF23" s="7">
        <f t="shared" si="62"/>
        <v>76.419000000000054</v>
      </c>
      <c r="AG23" s="7">
        <f t="shared" si="62"/>
        <v>81.155999999999977</v>
      </c>
      <c r="AH23" s="7">
        <f t="shared" si="62"/>
        <v>74.809000000000026</v>
      </c>
      <c r="AI23" s="7">
        <f t="shared" si="62"/>
        <v>95.205999999999989</v>
      </c>
      <c r="AJ23" s="7">
        <f t="shared" si="62"/>
        <v>108.94900000000003</v>
      </c>
      <c r="AK23" s="7">
        <f t="shared" si="62"/>
        <v>108.386</v>
      </c>
      <c r="AL23" s="7">
        <f t="shared" si="62"/>
        <v>110.32899999999992</v>
      </c>
      <c r="AM23" s="7">
        <f>AM20+AM22</f>
        <v>138.52500000000009</v>
      </c>
      <c r="AN23" s="7">
        <f>AN20+AN22</f>
        <v>145.43999999999988</v>
      </c>
      <c r="AO23" s="7">
        <f t="shared" ref="AO23:AP23" si="63">AO20+AO22</f>
        <v>146.94500000000008</v>
      </c>
      <c r="AP23" s="7">
        <f t="shared" si="63"/>
        <v>159.09099999999989</v>
      </c>
      <c r="AQ23" s="238"/>
      <c r="AR23" s="238"/>
      <c r="AS23" s="238"/>
      <c r="AT23" s="238"/>
      <c r="AU23" s="238"/>
      <c r="AV23" s="238"/>
      <c r="AW23" s="238"/>
    </row>
    <row r="24" spans="2:49">
      <c r="B24" s="254"/>
      <c r="C24" s="41" t="s">
        <v>123</v>
      </c>
      <c r="G24" s="142">
        <f ca="1">G23/G9</f>
        <v>0.19688944112907805</v>
      </c>
      <c r="H24" s="142">
        <f ca="1">H23/H9</f>
        <v>0.18734841474931227</v>
      </c>
      <c r="J24" s="9">
        <f t="shared" ref="J24:O24" si="64">J23/J9</f>
        <v>0.15690021567329154</v>
      </c>
      <c r="K24" s="9">
        <f t="shared" si="64"/>
        <v>0.17229149249277487</v>
      </c>
      <c r="L24" s="9">
        <f t="shared" si="64"/>
        <v>0.16593749309203973</v>
      </c>
      <c r="M24" s="9">
        <f t="shared" si="64"/>
        <v>0.12931952320333287</v>
      </c>
      <c r="N24" s="9">
        <f t="shared" si="64"/>
        <v>0.13909666706646262</v>
      </c>
      <c r="O24" s="9">
        <f t="shared" si="64"/>
        <v>0.17506533749078165</v>
      </c>
      <c r="P24" s="238"/>
      <c r="R24" s="9">
        <f t="shared" ref="R24:AN24" si="65">R23/R9</f>
        <v>0.13892634099513554</v>
      </c>
      <c r="S24" s="9">
        <f t="shared" si="65"/>
        <v>0.13816744344818752</v>
      </c>
      <c r="T24" s="9">
        <f t="shared" si="65"/>
        <v>0.17857685022948308</v>
      </c>
      <c r="U24" s="9">
        <f t="shared" si="65"/>
        <v>0.17504119929091483</v>
      </c>
      <c r="V24" s="9">
        <f t="shared" si="65"/>
        <v>0.16810162485344896</v>
      </c>
      <c r="W24" s="9">
        <f t="shared" si="65"/>
        <v>0.16577307072766453</v>
      </c>
      <c r="X24" s="9">
        <f t="shared" si="65"/>
        <v>0.19905250229076088</v>
      </c>
      <c r="Y24" s="9">
        <f t="shared" si="65"/>
        <v>0.15750533214824219</v>
      </c>
      <c r="Z24" s="9">
        <f t="shared" si="65"/>
        <v>0.16596938157490154</v>
      </c>
      <c r="AA24" s="9">
        <f t="shared" si="65"/>
        <v>0.16435650150879874</v>
      </c>
      <c r="AB24" s="9">
        <f t="shared" si="65"/>
        <v>0.17118737249958213</v>
      </c>
      <c r="AC24" s="9">
        <f t="shared" si="65"/>
        <v>0.16231960404772985</v>
      </c>
      <c r="AD24" s="9">
        <f t="shared" si="65"/>
        <v>0.11255107175203785</v>
      </c>
      <c r="AE24" s="9">
        <f t="shared" si="65"/>
        <v>0.13766564693437031</v>
      </c>
      <c r="AF24" s="9">
        <f t="shared" si="65"/>
        <v>0.1275946704067322</v>
      </c>
      <c r="AG24" s="9">
        <f t="shared" si="65"/>
        <v>0.13725801923330613</v>
      </c>
      <c r="AH24" s="9">
        <f t="shared" si="65"/>
        <v>0.12248068869089139</v>
      </c>
      <c r="AI24" s="9">
        <f t="shared" si="65"/>
        <v>0.13640531603349168</v>
      </c>
      <c r="AJ24" s="9">
        <f t="shared" si="65"/>
        <v>0.14607497824609203</v>
      </c>
      <c r="AK24" s="9">
        <f t="shared" si="65"/>
        <v>0.14844042100073271</v>
      </c>
      <c r="AL24" s="9">
        <f t="shared" si="65"/>
        <v>0.14701829850062087</v>
      </c>
      <c r="AM24" s="9">
        <f t="shared" si="65"/>
        <v>0.17822496809255228</v>
      </c>
      <c r="AN24" s="9">
        <f t="shared" si="65"/>
        <v>0.19017432646592697</v>
      </c>
      <c r="AO24" s="9">
        <f t="shared" ref="AO24:AP24" si="66">AO23/AO9</f>
        <v>0.18387063675585863</v>
      </c>
      <c r="AP24" s="9">
        <f t="shared" si="66"/>
        <v>0.19688944112907805</v>
      </c>
      <c r="AQ24" s="238"/>
      <c r="AR24" s="238"/>
      <c r="AS24" s="238"/>
      <c r="AT24" s="238"/>
      <c r="AU24" s="238"/>
      <c r="AV24" s="238"/>
      <c r="AW24" s="238"/>
    </row>
    <row r="25" spans="2:49">
      <c r="C25" s="4"/>
      <c r="G25" s="241"/>
      <c r="H25" s="237"/>
      <c r="J25" s="9"/>
      <c r="K25" s="9"/>
      <c r="L25" s="9"/>
      <c r="M25" s="9"/>
      <c r="N25" s="9"/>
      <c r="O25" s="9"/>
      <c r="P25" s="238"/>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238"/>
      <c r="AR25" s="238"/>
      <c r="AS25" s="238"/>
      <c r="AT25" s="238"/>
      <c r="AU25" s="238"/>
      <c r="AV25" s="238"/>
      <c r="AW25" s="238"/>
    </row>
    <row r="26" spans="2:49">
      <c r="B26" s="248" t="s">
        <v>191</v>
      </c>
      <c r="G26" s="139">
        <f ca="1">OFFSET(R26,0,MATCH($G$2,$R$3:$AW$3,0)-1)*4</f>
        <v>0</v>
      </c>
      <c r="H26" s="75">
        <f ca="1">SUM(OFFSET(R26,0,MATCH($G$2,$R$3:$AW$3,0)-4),OFFSET(R26,0,MATCH($G$2,$R$3:$AW$3,0)-3),OFFSET(R26,0,MATCH($G$2,$R$3:$AW$3,0)-2),OFFSET(R26,0,MATCH($G$2,$R$3:$AW$3,0)-1))</f>
        <v>0</v>
      </c>
      <c r="J26" s="15">
        <f t="shared" ref="J26:J28" si="67">SUM(R26:U26)</f>
        <v>-87.81</v>
      </c>
      <c r="K26" s="15">
        <f t="shared" ref="K26" si="68">SUM(V26:Y26)</f>
        <v>-35.524999999999999</v>
      </c>
      <c r="L26" s="15">
        <f t="shared" ref="L26" si="69">SUM(Z26:AC26)</f>
        <v>-561.274</v>
      </c>
      <c r="M26" s="15">
        <f t="shared" ref="M26" si="70">SUM(AD26:AG26)</f>
        <v>-340.71300000000002</v>
      </c>
      <c r="N26" s="15">
        <f t="shared" ref="N26" si="71">SUM(AH26:AK26)</f>
        <v>0</v>
      </c>
      <c r="O26" s="15">
        <f t="shared" ref="O26:O28" si="72">SUM(AL26:AO26)</f>
        <v>0</v>
      </c>
      <c r="P26" s="238"/>
      <c r="R26" s="11">
        <v>0</v>
      </c>
      <c r="S26" s="11">
        <v>0</v>
      </c>
      <c r="T26" s="11">
        <v>0</v>
      </c>
      <c r="U26" s="11">
        <f>-82.705-2.702-2.403</f>
        <v>-87.81</v>
      </c>
      <c r="V26" s="11">
        <v>0</v>
      </c>
      <c r="W26" s="11">
        <v>0</v>
      </c>
      <c r="X26" s="11">
        <v>0</v>
      </c>
      <c r="Y26" s="11">
        <v>-35.524999999999999</v>
      </c>
      <c r="Z26" s="11">
        <v>-561.274</v>
      </c>
      <c r="AA26" s="11">
        <v>0</v>
      </c>
      <c r="AB26" s="11">
        <v>0</v>
      </c>
      <c r="AC26" s="11">
        <v>0</v>
      </c>
      <c r="AD26" s="11">
        <v>0</v>
      </c>
      <c r="AE26" s="11">
        <v>0</v>
      </c>
      <c r="AF26" s="11">
        <v>-340.71300000000002</v>
      </c>
      <c r="AG26" s="11">
        <v>0</v>
      </c>
      <c r="AH26" s="11">
        <v>0</v>
      </c>
      <c r="AI26" s="11">
        <v>0</v>
      </c>
      <c r="AJ26" s="11">
        <v>0</v>
      </c>
      <c r="AK26" s="11">
        <v>0</v>
      </c>
      <c r="AL26" s="11">
        <v>0</v>
      </c>
      <c r="AM26" s="11">
        <v>0</v>
      </c>
      <c r="AN26" s="11">
        <v>0</v>
      </c>
      <c r="AO26" s="11">
        <v>0</v>
      </c>
      <c r="AP26" s="11">
        <v>0</v>
      </c>
      <c r="AQ26" s="238"/>
      <c r="AR26" s="238"/>
      <c r="AS26" s="238"/>
      <c r="AT26" s="238"/>
      <c r="AU26" s="238"/>
      <c r="AV26" s="238"/>
      <c r="AW26" s="238"/>
    </row>
    <row r="27" spans="2:49">
      <c r="B27" s="248" t="s">
        <v>192</v>
      </c>
      <c r="G27" s="139">
        <f ca="1">OFFSET(R27,0,MATCH($G$2,$R$3:$AW$3,0)-1)*4</f>
        <v>0.29599999999999999</v>
      </c>
      <c r="H27" s="75">
        <f ca="1">SUM(OFFSET(R27,0,MATCH($G$2,$R$3:$AW$3,0)-4),OFFSET(R27,0,MATCH($G$2,$R$3:$AW$3,0)-3),OFFSET(R27,0,MATCH($G$2,$R$3:$AW$3,0)-2),OFFSET(R27,0,MATCH($G$2,$R$3:$AW$3,0)-1))</f>
        <v>2.8529999999999998</v>
      </c>
      <c r="J27" s="15">
        <f t="shared" si="67"/>
        <v>1.9679999999999995</v>
      </c>
      <c r="K27" s="15">
        <f t="shared" ref="K27:K28" si="73">SUM(V27:Y27)</f>
        <v>8.152000000000001</v>
      </c>
      <c r="L27" s="15">
        <f t="shared" ref="L27:L28" si="74">SUM(Z27:AC27)</f>
        <v>0.11799999999999999</v>
      </c>
      <c r="M27" s="15">
        <f t="shared" ref="M27:M28" si="75">SUM(AD27:AG27)</f>
        <v>5.761000000000001</v>
      </c>
      <c r="N27" s="15">
        <f t="shared" ref="N27:N28" si="76">SUM(AH27:AK27)</f>
        <v>8.2789999999999999</v>
      </c>
      <c r="O27" s="15">
        <f t="shared" si="72"/>
        <v>5.0090000000000003</v>
      </c>
      <c r="P27" s="238"/>
      <c r="R27" s="11">
        <v>1.8979999999999999</v>
      </c>
      <c r="S27" s="11">
        <v>0.442</v>
      </c>
      <c r="T27" s="11">
        <v>1.7999999999999999E-2</v>
      </c>
      <c r="U27" s="11">
        <v>-0.39</v>
      </c>
      <c r="V27" s="11">
        <v>2.157</v>
      </c>
      <c r="W27" s="11">
        <v>3.1179999999999999</v>
      </c>
      <c r="X27" s="11">
        <v>-0.374</v>
      </c>
      <c r="Y27" s="11">
        <v>3.2509999999999999</v>
      </c>
      <c r="Z27" s="11">
        <v>0.49199999999999999</v>
      </c>
      <c r="AA27" s="11">
        <v>-0.189</v>
      </c>
      <c r="AB27" s="11">
        <v>-0.316</v>
      </c>
      <c r="AC27" s="11">
        <v>0.13100000000000001</v>
      </c>
      <c r="AD27" s="11">
        <v>2.133</v>
      </c>
      <c r="AE27" s="11">
        <v>2.1190000000000002</v>
      </c>
      <c r="AF27" s="11">
        <v>0.83</v>
      </c>
      <c r="AG27" s="11">
        <v>0.67900000000000005</v>
      </c>
      <c r="AH27" s="11">
        <v>4.8490000000000002</v>
      </c>
      <c r="AI27" s="11">
        <v>2.7450000000000001</v>
      </c>
      <c r="AJ27" s="11">
        <v>0.377</v>
      </c>
      <c r="AK27" s="11">
        <v>0.308</v>
      </c>
      <c r="AL27" s="11">
        <v>2.23</v>
      </c>
      <c r="AM27" s="11">
        <v>0.47199999999999998</v>
      </c>
      <c r="AN27" s="11">
        <v>1.528</v>
      </c>
      <c r="AO27" s="11">
        <v>0.77900000000000003</v>
      </c>
      <c r="AP27" s="11">
        <v>7.3999999999999996E-2</v>
      </c>
      <c r="AQ27" s="238"/>
      <c r="AR27" s="238"/>
      <c r="AS27" s="238"/>
      <c r="AT27" s="238"/>
      <c r="AU27" s="238"/>
      <c r="AV27" s="238"/>
      <c r="AW27" s="238"/>
    </row>
    <row r="28" spans="2:49">
      <c r="B28" s="249" t="s">
        <v>151</v>
      </c>
      <c r="C28" s="26"/>
      <c r="D28" s="26"/>
      <c r="E28" s="26"/>
      <c r="F28" s="26"/>
      <c r="G28" s="140">
        <f ca="1">OFFSET(R28,0,MATCH($G$2,$R$3:$AW$3,0)-1)*4</f>
        <v>13.076000000000001</v>
      </c>
      <c r="H28" s="128">
        <f ca="1">SUM(OFFSET(R28,0,MATCH($G$2,$R$3:$AW$3,0)-4),OFFSET(R28,0,MATCH($G$2,$R$3:$AW$3,0)-3),OFFSET(R28,0,MATCH($G$2,$R$3:$AW$3,0)-2),OFFSET(R28,0,MATCH($G$2,$R$3:$AW$3,0)-1))</f>
        <v>7.867</v>
      </c>
      <c r="I28" s="26"/>
      <c r="J28" s="12">
        <f t="shared" si="67"/>
        <v>5.7259999999999991</v>
      </c>
      <c r="K28" s="12">
        <f t="shared" si="73"/>
        <v>3.7869999999999999</v>
      </c>
      <c r="L28" s="12">
        <f t="shared" si="74"/>
        <v>8.1470000000000002</v>
      </c>
      <c r="M28" s="12">
        <f t="shared" si="75"/>
        <v>10.001000000000001</v>
      </c>
      <c r="N28" s="12">
        <f t="shared" si="76"/>
        <v>16.686</v>
      </c>
      <c r="O28" s="12">
        <f t="shared" si="72"/>
        <v>11.041</v>
      </c>
      <c r="P28" s="239"/>
      <c r="Q28" s="26"/>
      <c r="R28" s="13">
        <v>1.591</v>
      </c>
      <c r="S28" s="13">
        <v>1.5409999999999999</v>
      </c>
      <c r="T28" s="13">
        <v>1.454</v>
      </c>
      <c r="U28" s="13">
        <v>1.1399999999999999</v>
      </c>
      <c r="V28" s="13">
        <v>-0.56799999999999995</v>
      </c>
      <c r="W28" s="13">
        <v>2.3809999999999998</v>
      </c>
      <c r="X28" s="13">
        <v>0.86399999999999999</v>
      </c>
      <c r="Y28" s="13">
        <v>1.1100000000000001</v>
      </c>
      <c r="Z28" s="13">
        <v>2.7229999999999999</v>
      </c>
      <c r="AA28" s="13">
        <v>2.29</v>
      </c>
      <c r="AB28" s="13">
        <v>1.1719999999999999</v>
      </c>
      <c r="AC28" s="13">
        <v>1.962</v>
      </c>
      <c r="AD28" s="13">
        <v>3.7909999999999999</v>
      </c>
      <c r="AE28" s="13">
        <v>2.5230000000000001</v>
      </c>
      <c r="AF28" s="13">
        <v>1.8320000000000001</v>
      </c>
      <c r="AG28" s="13">
        <v>1.855</v>
      </c>
      <c r="AH28" s="13">
        <v>4.3079999999999998</v>
      </c>
      <c r="AI28" s="13">
        <v>3.7490000000000001</v>
      </c>
      <c r="AJ28" s="13">
        <v>3.8050000000000002</v>
      </c>
      <c r="AK28" s="13">
        <v>4.8239999999999998</v>
      </c>
      <c r="AL28" s="13">
        <v>6.4429999999999996</v>
      </c>
      <c r="AM28" s="13">
        <v>1.264</v>
      </c>
      <c r="AN28" s="13">
        <v>1.589</v>
      </c>
      <c r="AO28" s="13">
        <v>1.7450000000000001</v>
      </c>
      <c r="AP28" s="13">
        <v>3.2690000000000001</v>
      </c>
      <c r="AQ28" s="239"/>
      <c r="AR28" s="239"/>
      <c r="AS28" s="239"/>
      <c r="AT28" s="239"/>
      <c r="AU28" s="239"/>
      <c r="AV28" s="239"/>
      <c r="AW28" s="239"/>
    </row>
    <row r="29" spans="2:49">
      <c r="B29" s="255" t="s">
        <v>152</v>
      </c>
      <c r="G29" s="141">
        <f ca="1">SUM(G26:G28)</f>
        <v>13.372</v>
      </c>
      <c r="H29" s="74">
        <f ca="1">SUM(H26:H28)</f>
        <v>10.719999999999999</v>
      </c>
      <c r="J29" s="14">
        <f t="shared" ref="J29:O29" si="77">SUM(J26:J28)</f>
        <v>-80.116</v>
      </c>
      <c r="K29" s="14">
        <f t="shared" si="77"/>
        <v>-23.585999999999999</v>
      </c>
      <c r="L29" s="14">
        <f t="shared" si="77"/>
        <v>-553.0089999999999</v>
      </c>
      <c r="M29" s="14">
        <f t="shared" si="77"/>
        <v>-324.95100000000002</v>
      </c>
      <c r="N29" s="14">
        <f t="shared" si="77"/>
        <v>24.965</v>
      </c>
      <c r="O29" s="14">
        <f t="shared" si="77"/>
        <v>16.05</v>
      </c>
      <c r="P29" s="238"/>
      <c r="R29" s="14">
        <f t="shared" ref="R29:AN29" si="78">SUM(R26:R28)</f>
        <v>3.4889999999999999</v>
      </c>
      <c r="S29" s="14">
        <f t="shared" si="78"/>
        <v>1.9829999999999999</v>
      </c>
      <c r="T29" s="14">
        <f t="shared" si="78"/>
        <v>1.472</v>
      </c>
      <c r="U29" s="14">
        <f t="shared" si="78"/>
        <v>-87.06</v>
      </c>
      <c r="V29" s="14">
        <f t="shared" si="78"/>
        <v>1.589</v>
      </c>
      <c r="W29" s="14">
        <f t="shared" si="78"/>
        <v>5.4989999999999997</v>
      </c>
      <c r="X29" s="14">
        <f t="shared" si="78"/>
        <v>0.49</v>
      </c>
      <c r="Y29" s="14">
        <f t="shared" si="78"/>
        <v>-31.164000000000001</v>
      </c>
      <c r="Z29" s="14">
        <f t="shared" si="78"/>
        <v>-558.05900000000008</v>
      </c>
      <c r="AA29" s="14">
        <f t="shared" si="78"/>
        <v>2.101</v>
      </c>
      <c r="AB29" s="14">
        <f t="shared" si="78"/>
        <v>0.85599999999999987</v>
      </c>
      <c r="AC29" s="14">
        <f t="shared" si="78"/>
        <v>2.093</v>
      </c>
      <c r="AD29" s="14">
        <f t="shared" si="78"/>
        <v>5.9239999999999995</v>
      </c>
      <c r="AE29" s="14">
        <f t="shared" si="78"/>
        <v>4.6420000000000003</v>
      </c>
      <c r="AF29" s="14">
        <f t="shared" si="78"/>
        <v>-338.05100000000004</v>
      </c>
      <c r="AG29" s="14">
        <f t="shared" si="78"/>
        <v>2.5339999999999998</v>
      </c>
      <c r="AH29" s="14">
        <f t="shared" si="78"/>
        <v>9.157</v>
      </c>
      <c r="AI29" s="14">
        <f t="shared" si="78"/>
        <v>6.4939999999999998</v>
      </c>
      <c r="AJ29" s="14">
        <f t="shared" si="78"/>
        <v>4.1820000000000004</v>
      </c>
      <c r="AK29" s="14">
        <f t="shared" si="78"/>
        <v>5.1319999999999997</v>
      </c>
      <c r="AL29" s="14">
        <f t="shared" si="78"/>
        <v>8.673</v>
      </c>
      <c r="AM29" s="14">
        <f t="shared" si="78"/>
        <v>1.736</v>
      </c>
      <c r="AN29" s="14">
        <f t="shared" si="78"/>
        <v>3.117</v>
      </c>
      <c r="AO29" s="14">
        <f t="shared" ref="AO29:AP29" si="79">SUM(AO26:AO28)</f>
        <v>2.524</v>
      </c>
      <c r="AP29" s="14">
        <f t="shared" si="79"/>
        <v>3.343</v>
      </c>
      <c r="AQ29" s="238"/>
      <c r="AR29" s="238"/>
      <c r="AS29" s="238"/>
      <c r="AT29" s="238"/>
      <c r="AU29" s="238"/>
      <c r="AV29" s="238"/>
      <c r="AW29" s="238"/>
    </row>
    <row r="30" spans="2:49">
      <c r="B30" s="249" t="s">
        <v>147</v>
      </c>
      <c r="C30" s="26"/>
      <c r="D30" s="26"/>
      <c r="E30" s="26"/>
      <c r="F30" s="26"/>
      <c r="G30" s="140">
        <f ca="1">G20</f>
        <v>405.79599999999959</v>
      </c>
      <c r="H30" s="128">
        <f ca="1">H20</f>
        <v>372.31199999999967</v>
      </c>
      <c r="I30" s="26"/>
      <c r="J30" s="12">
        <f t="shared" ref="J30:O30" si="80">J20</f>
        <v>241.1310000000002</v>
      </c>
      <c r="K30" s="12">
        <f t="shared" si="80"/>
        <v>269.39999999999964</v>
      </c>
      <c r="L30" s="12">
        <f t="shared" si="80"/>
        <v>140.39399999999978</v>
      </c>
      <c r="M30" s="12">
        <f t="shared" si="80"/>
        <v>76.818999999999846</v>
      </c>
      <c r="N30" s="12">
        <f t="shared" si="80"/>
        <v>185.90700000000004</v>
      </c>
      <c r="O30" s="12">
        <f t="shared" si="80"/>
        <v>330.08300000000031</v>
      </c>
      <c r="P30" s="239"/>
      <c r="Q30" s="26"/>
      <c r="R30" s="12">
        <f t="shared" ref="R30:AP30" si="81">R20</f>
        <v>48.822000000000088</v>
      </c>
      <c r="S30" s="12">
        <f t="shared" si="81"/>
        <v>55.411000000000143</v>
      </c>
      <c r="T30" s="12">
        <f t="shared" si="81"/>
        <v>67.938999999999993</v>
      </c>
      <c r="U30" s="12">
        <f t="shared" si="81"/>
        <v>68.959000000000003</v>
      </c>
      <c r="V30" s="12">
        <f t="shared" si="81"/>
        <v>69.949000000000012</v>
      </c>
      <c r="W30" s="12">
        <f t="shared" si="81"/>
        <v>72.724999999999909</v>
      </c>
      <c r="X30" s="12">
        <f t="shared" si="81"/>
        <v>78.274999999999949</v>
      </c>
      <c r="Y30" s="12">
        <f t="shared" si="81"/>
        <v>48.451000000000079</v>
      </c>
      <c r="Z30" s="12">
        <f t="shared" si="81"/>
        <v>51.083000000000055</v>
      </c>
      <c r="AA30" s="12">
        <f t="shared" si="81"/>
        <v>34.441000000000003</v>
      </c>
      <c r="AB30" s="12">
        <f t="shared" si="81"/>
        <v>30.227000000000004</v>
      </c>
      <c r="AC30" s="12">
        <f t="shared" si="81"/>
        <v>24.642999999999972</v>
      </c>
      <c r="AD30" s="12">
        <f t="shared" si="81"/>
        <v>1.0310000000000059</v>
      </c>
      <c r="AE30" s="12">
        <f t="shared" si="81"/>
        <v>21.909000000000049</v>
      </c>
      <c r="AF30" s="12">
        <f t="shared" si="81"/>
        <v>22.95700000000005</v>
      </c>
      <c r="AG30" s="12">
        <f t="shared" si="81"/>
        <v>30.921999999999969</v>
      </c>
      <c r="AH30" s="12">
        <f t="shared" si="81"/>
        <v>24.845000000000027</v>
      </c>
      <c r="AI30" s="12">
        <f t="shared" si="81"/>
        <v>45.09099999999998</v>
      </c>
      <c r="AJ30" s="12">
        <f t="shared" si="81"/>
        <v>58.53000000000003</v>
      </c>
      <c r="AK30" s="12">
        <f t="shared" si="81"/>
        <v>57.441000000000003</v>
      </c>
      <c r="AL30" s="12">
        <f t="shared" si="81"/>
        <v>59.219999999999914</v>
      </c>
      <c r="AM30" s="12">
        <f t="shared" si="81"/>
        <v>86.828000000000088</v>
      </c>
      <c r="AN30" s="12">
        <f t="shared" si="81"/>
        <v>91.994999999999891</v>
      </c>
      <c r="AO30" s="12">
        <f t="shared" si="81"/>
        <v>92.040000000000077</v>
      </c>
      <c r="AP30" s="12">
        <f t="shared" si="81"/>
        <v>101.4489999999999</v>
      </c>
      <c r="AQ30" s="239"/>
      <c r="AR30" s="239"/>
      <c r="AS30" s="239"/>
      <c r="AT30" s="239"/>
      <c r="AU30" s="239"/>
      <c r="AV30" s="239"/>
      <c r="AW30" s="239"/>
    </row>
    <row r="31" spans="2:49">
      <c r="B31" s="250" t="s">
        <v>150</v>
      </c>
      <c r="C31" s="240"/>
      <c r="D31" s="240"/>
      <c r="E31" s="240"/>
      <c r="F31" s="240"/>
      <c r="G31" s="150">
        <f t="shared" ref="G31" ca="1" si="82">SUM(G29:G30)</f>
        <v>419.16799999999961</v>
      </c>
      <c r="H31" s="151">
        <f t="shared" ref="H31" ca="1" si="83">SUM(H29:H30)</f>
        <v>383.0319999999997</v>
      </c>
      <c r="I31" s="240"/>
      <c r="J31" s="152">
        <f t="shared" ref="J31:K31" si="84">SUM(J29:J30)</f>
        <v>161.01500000000021</v>
      </c>
      <c r="K31" s="152">
        <f t="shared" si="84"/>
        <v>245.81399999999962</v>
      </c>
      <c r="L31" s="152">
        <f t="shared" ref="L31" si="85">SUM(L29:L30)</f>
        <v>-412.61500000000012</v>
      </c>
      <c r="M31" s="152">
        <f t="shared" ref="M31" si="86">SUM(M29:M30)</f>
        <v>-248.13200000000018</v>
      </c>
      <c r="N31" s="152">
        <f t="shared" ref="N31:O31" si="87">SUM(N29:N30)</f>
        <v>210.87200000000004</v>
      </c>
      <c r="O31" s="152">
        <f t="shared" si="87"/>
        <v>346.13300000000032</v>
      </c>
      <c r="P31" s="240"/>
      <c r="Q31" s="240"/>
      <c r="R31" s="152">
        <f t="shared" ref="R31:U31" si="88">SUM(R29:R30)</f>
        <v>52.311000000000085</v>
      </c>
      <c r="S31" s="152">
        <f t="shared" si="88"/>
        <v>57.39400000000014</v>
      </c>
      <c r="T31" s="152">
        <f t="shared" si="88"/>
        <v>69.410999999999987</v>
      </c>
      <c r="U31" s="152">
        <f t="shared" si="88"/>
        <v>-18.100999999999999</v>
      </c>
      <c r="V31" s="152">
        <f t="shared" ref="V31" si="89">SUM(V29:V30)</f>
        <v>71.538000000000011</v>
      </c>
      <c r="W31" s="152">
        <f t="shared" ref="W31" si="90">SUM(W29:W30)</f>
        <v>78.223999999999904</v>
      </c>
      <c r="X31" s="152">
        <f t="shared" ref="X31" si="91">SUM(X29:X30)</f>
        <v>78.764999999999944</v>
      </c>
      <c r="Y31" s="152">
        <f t="shared" ref="Y31" si="92">SUM(Y29:Y30)</f>
        <v>17.287000000000077</v>
      </c>
      <c r="Z31" s="152">
        <f t="shared" ref="Z31:AL31" si="93">SUM(Z29:Z30)</f>
        <v>-506.976</v>
      </c>
      <c r="AA31" s="152">
        <f t="shared" si="93"/>
        <v>36.542000000000002</v>
      </c>
      <c r="AB31" s="152">
        <f t="shared" si="93"/>
        <v>31.083000000000006</v>
      </c>
      <c r="AC31" s="152">
        <f t="shared" si="93"/>
        <v>26.735999999999972</v>
      </c>
      <c r="AD31" s="152">
        <f t="shared" si="93"/>
        <v>6.9550000000000054</v>
      </c>
      <c r="AE31" s="152">
        <f t="shared" si="93"/>
        <v>26.551000000000048</v>
      </c>
      <c r="AF31" s="152">
        <f t="shared" si="93"/>
        <v>-315.09399999999999</v>
      </c>
      <c r="AG31" s="152">
        <f t="shared" si="93"/>
        <v>33.455999999999968</v>
      </c>
      <c r="AH31" s="152">
        <f t="shared" si="93"/>
        <v>34.002000000000024</v>
      </c>
      <c r="AI31" s="152">
        <f t="shared" si="93"/>
        <v>51.58499999999998</v>
      </c>
      <c r="AJ31" s="152">
        <f t="shared" si="93"/>
        <v>62.712000000000032</v>
      </c>
      <c r="AK31" s="152">
        <f t="shared" si="93"/>
        <v>62.573</v>
      </c>
      <c r="AL31" s="152">
        <f t="shared" si="93"/>
        <v>67.892999999999915</v>
      </c>
      <c r="AM31" s="152">
        <f>SUM(AM29:AM30)</f>
        <v>88.564000000000092</v>
      </c>
      <c r="AN31" s="152">
        <f>SUM(AN29:AN30)</f>
        <v>95.111999999999895</v>
      </c>
      <c r="AO31" s="152">
        <f t="shared" ref="AO31:AP31" si="94">SUM(AO29:AO30)</f>
        <v>94.564000000000078</v>
      </c>
      <c r="AP31" s="152">
        <f t="shared" si="94"/>
        <v>104.7919999999999</v>
      </c>
      <c r="AQ31" s="240"/>
      <c r="AR31" s="240"/>
      <c r="AS31" s="240"/>
      <c r="AT31" s="240"/>
      <c r="AU31" s="240"/>
      <c r="AV31" s="240"/>
      <c r="AW31" s="240"/>
    </row>
    <row r="32" spans="2:49">
      <c r="B32" s="252"/>
      <c r="C32" s="41" t="s">
        <v>123</v>
      </c>
      <c r="G32" s="142">
        <f ca="1">G31/G9</f>
        <v>0.12968953815613921</v>
      </c>
      <c r="H32" s="142">
        <f ca="1">H31/H9</f>
        <v>0.12162765486542999</v>
      </c>
      <c r="J32" s="9">
        <f t="shared" ref="J32:O32" si="95">J31/J9</f>
        <v>5.4201084795925066E-2</v>
      </c>
      <c r="K32" s="9">
        <f t="shared" si="95"/>
        <v>8.6603046294759692E-2</v>
      </c>
      <c r="L32" s="9">
        <f t="shared" si="95"/>
        <v>-0.19002186599662529</v>
      </c>
      <c r="M32" s="9">
        <f t="shared" si="95"/>
        <v>-0.11044483811524672</v>
      </c>
      <c r="N32" s="9">
        <f t="shared" si="95"/>
        <v>7.5723744359465883E-2</v>
      </c>
      <c r="O32" s="9">
        <f t="shared" si="95"/>
        <v>0.11195773117180535</v>
      </c>
      <c r="P32" s="238"/>
      <c r="R32" s="9">
        <f t="shared" ref="R32:AP32" si="96">R31/R9</f>
        <v>7.0529656675044058E-2</v>
      </c>
      <c r="S32" s="9">
        <f t="shared" si="96"/>
        <v>7.1503766798601334E-2</v>
      </c>
      <c r="T32" s="9">
        <f t="shared" si="96"/>
        <v>9.847697011399667E-2</v>
      </c>
      <c r="U32" s="9">
        <f t="shared" si="96"/>
        <v>-2.5088254494499602E-2</v>
      </c>
      <c r="V32" s="9">
        <f t="shared" si="96"/>
        <v>9.6073035812849775E-2</v>
      </c>
      <c r="W32" s="9">
        <f t="shared" si="96"/>
        <v>0.10145232036646501</v>
      </c>
      <c r="X32" s="9">
        <f t="shared" si="96"/>
        <v>0.11812228089302926</v>
      </c>
      <c r="Y32" s="9">
        <f t="shared" si="96"/>
        <v>2.6355066951048021E-2</v>
      </c>
      <c r="Z32" s="9">
        <f t="shared" si="96"/>
        <v>-0.78732028214422145</v>
      </c>
      <c r="AA32" s="9">
        <f t="shared" si="96"/>
        <v>6.7525440766946498E-2</v>
      </c>
      <c r="AB32" s="9">
        <f t="shared" si="96"/>
        <v>6.2595782643631179E-2</v>
      </c>
      <c r="AC32" s="9">
        <f t="shared" si="96"/>
        <v>5.4590449121603359E-2</v>
      </c>
      <c r="AD32" s="9">
        <f t="shared" si="96"/>
        <v>1.3998188588105072E-2</v>
      </c>
      <c r="AE32" s="9">
        <f t="shared" si="96"/>
        <v>4.7444355495833E-2</v>
      </c>
      <c r="AF32" s="9">
        <f t="shared" si="96"/>
        <v>-0.52610365324250308</v>
      </c>
      <c r="AG32" s="9">
        <f t="shared" si="96"/>
        <v>5.6583669617397192E-2</v>
      </c>
      <c r="AH32" s="9">
        <f t="shared" si="96"/>
        <v>5.5669616982818783E-2</v>
      </c>
      <c r="AI32" s="9">
        <f t="shared" si="96"/>
        <v>7.3907823326131411E-2</v>
      </c>
      <c r="AJ32" s="9">
        <f t="shared" si="96"/>
        <v>8.4082038713241297E-2</v>
      </c>
      <c r="AK32" s="9">
        <f t="shared" si="96"/>
        <v>8.5697068470825088E-2</v>
      </c>
      <c r="AL32" s="9">
        <f t="shared" si="96"/>
        <v>9.0470441498632703E-2</v>
      </c>
      <c r="AM32" s="9">
        <f t="shared" si="96"/>
        <v>0.11394561324056168</v>
      </c>
      <c r="AN32" s="9">
        <f t="shared" si="96"/>
        <v>0.12436647785222249</v>
      </c>
      <c r="AO32" s="9">
        <f t="shared" si="96"/>
        <v>0.11832687668298357</v>
      </c>
      <c r="AP32" s="9">
        <f t="shared" si="96"/>
        <v>0.12968953815613921</v>
      </c>
      <c r="AQ32" s="238"/>
      <c r="AR32" s="238"/>
      <c r="AS32" s="238"/>
      <c r="AT32" s="238"/>
      <c r="AU32" s="238"/>
      <c r="AV32" s="238"/>
      <c r="AW32" s="238"/>
    </row>
    <row r="33" spans="1:51">
      <c r="B33" s="248"/>
      <c r="G33" s="241"/>
      <c r="H33" s="237"/>
      <c r="P33" s="238"/>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238"/>
      <c r="AR33" s="238"/>
      <c r="AS33" s="238"/>
      <c r="AT33" s="238"/>
      <c r="AU33" s="238"/>
      <c r="AV33" s="238"/>
      <c r="AW33" s="238"/>
    </row>
    <row r="34" spans="1:51">
      <c r="B34" s="248" t="s">
        <v>124</v>
      </c>
      <c r="G34" s="139">
        <f ca="1">OFFSET(R34,0,MATCH($G$2,$R$3:$AW$3,0)-1)*4</f>
        <v>-52.603999999999999</v>
      </c>
      <c r="H34" s="75">
        <f ca="1">SUM(OFFSET(R34,0,MATCH($G$2,$R$3:$AW$3,0)-4),OFFSET(R34,0,MATCH($G$2,$R$3:$AW$3,0)-3),OFFSET(R34,0,MATCH($G$2,$R$3:$AW$3,0)-2),OFFSET(R34,0,MATCH($G$2,$R$3:$AW$3,0)-1))</f>
        <v>-51.938000000000002</v>
      </c>
      <c r="J34" s="15">
        <f t="shared" ref="J34" si="97">SUM(R34:U34)</f>
        <v>-46.856000000000002</v>
      </c>
      <c r="K34" s="10">
        <f t="shared" ref="K34" si="98">SUM(V34:Y34)</f>
        <v>-55.994</v>
      </c>
      <c r="L34" s="10">
        <f t="shared" ref="L34" si="99">SUM(Z34:AC34)</f>
        <v>-48.738999999999997</v>
      </c>
      <c r="M34" s="10">
        <f t="shared" ref="M34" si="100">SUM(AD34:AG34)</f>
        <v>-42.468999999999994</v>
      </c>
      <c r="N34" s="10">
        <f t="shared" ref="N34" si="101">SUM(AH34:AK34)</f>
        <v>-44.597000000000001</v>
      </c>
      <c r="O34" s="10">
        <f t="shared" ref="O34" si="102">SUM(AL34:AO34)</f>
        <v>-52.008000000000003</v>
      </c>
      <c r="P34" s="238"/>
      <c r="R34" s="11">
        <v>-9.7799999999999994</v>
      </c>
      <c r="S34" s="11">
        <v>-12.54</v>
      </c>
      <c r="T34" s="11">
        <v>-12.345000000000001</v>
      </c>
      <c r="U34" s="11">
        <v>-12.191000000000001</v>
      </c>
      <c r="V34" s="11">
        <v>-13.201000000000001</v>
      </c>
      <c r="W34" s="11">
        <v>-15.515000000000001</v>
      </c>
      <c r="X34" s="11">
        <v>-14.31</v>
      </c>
      <c r="Y34" s="11">
        <v>-12.968</v>
      </c>
      <c r="Z34" s="11">
        <v>-12.798999999999999</v>
      </c>
      <c r="AA34" s="11">
        <v>-12.708</v>
      </c>
      <c r="AB34" s="11">
        <v>-11.808999999999999</v>
      </c>
      <c r="AC34" s="11">
        <v>-11.423</v>
      </c>
      <c r="AD34" s="11">
        <v>-10.965999999999999</v>
      </c>
      <c r="AE34" s="11">
        <v>-10.706</v>
      </c>
      <c r="AF34" s="11">
        <v>-10.5</v>
      </c>
      <c r="AG34" s="11">
        <v>-10.297000000000001</v>
      </c>
      <c r="AH34" s="11">
        <v>-10.202999999999999</v>
      </c>
      <c r="AI34" s="11">
        <v>-10.648999999999999</v>
      </c>
      <c r="AJ34" s="11">
        <v>-11.755000000000001</v>
      </c>
      <c r="AK34" s="11">
        <v>-11.99</v>
      </c>
      <c r="AL34" s="11">
        <v>-13.221</v>
      </c>
      <c r="AM34" s="11">
        <v>-12.286</v>
      </c>
      <c r="AN34" s="11">
        <v>-13.385999999999999</v>
      </c>
      <c r="AO34" s="11">
        <v>-13.115</v>
      </c>
      <c r="AP34" s="11">
        <v>-13.151</v>
      </c>
      <c r="AQ34" s="238"/>
      <c r="AR34" s="238"/>
      <c r="AS34" s="238"/>
      <c r="AT34" s="238"/>
      <c r="AU34" s="238"/>
      <c r="AV34" s="238"/>
      <c r="AW34" s="238"/>
    </row>
    <row r="35" spans="1:51">
      <c r="B35" s="248"/>
      <c r="G35" s="241"/>
      <c r="H35" s="237"/>
      <c r="J35" s="244"/>
      <c r="K35" s="244"/>
      <c r="L35" s="244"/>
      <c r="M35" s="244"/>
      <c r="N35" s="244"/>
      <c r="O35" s="244"/>
      <c r="P35" s="238"/>
      <c r="AQ35" s="238"/>
      <c r="AR35" s="238"/>
      <c r="AS35" s="238"/>
      <c r="AT35" s="238"/>
      <c r="AU35" s="238"/>
      <c r="AV35" s="238"/>
      <c r="AW35" s="238"/>
    </row>
    <row r="36" spans="1:51">
      <c r="B36" s="255" t="s">
        <v>30</v>
      </c>
      <c r="G36" s="141">
        <f t="shared" ref="G36:H36" ca="1" si="103">G31+G34</f>
        <v>366.56399999999962</v>
      </c>
      <c r="H36" s="74">
        <f t="shared" ca="1" si="103"/>
        <v>331.09399999999971</v>
      </c>
      <c r="J36" s="14">
        <f t="shared" ref="J36:N36" si="104">J31+J34</f>
        <v>114.15900000000022</v>
      </c>
      <c r="K36" s="14">
        <f t="shared" si="104"/>
        <v>189.81999999999962</v>
      </c>
      <c r="L36" s="14">
        <f t="shared" si="104"/>
        <v>-461.3540000000001</v>
      </c>
      <c r="M36" s="14">
        <f t="shared" si="104"/>
        <v>-290.60100000000017</v>
      </c>
      <c r="N36" s="14">
        <f t="shared" si="104"/>
        <v>166.27500000000003</v>
      </c>
      <c r="O36" s="14">
        <f t="shared" ref="O36" si="105">O31+O34</f>
        <v>294.12500000000034</v>
      </c>
      <c r="P36" s="238"/>
      <c r="R36" s="14">
        <f t="shared" ref="R36:U36" si="106">R31+R34</f>
        <v>42.531000000000084</v>
      </c>
      <c r="S36" s="14">
        <f t="shared" si="106"/>
        <v>44.854000000000141</v>
      </c>
      <c r="T36" s="14">
        <f t="shared" si="106"/>
        <v>57.065999999999988</v>
      </c>
      <c r="U36" s="14">
        <f t="shared" si="106"/>
        <v>-30.292000000000002</v>
      </c>
      <c r="V36" s="14">
        <f t="shared" ref="V36:AM36" si="107">V31+V34</f>
        <v>58.33700000000001</v>
      </c>
      <c r="W36" s="14">
        <f t="shared" si="107"/>
        <v>62.708999999999904</v>
      </c>
      <c r="X36" s="14">
        <f t="shared" si="107"/>
        <v>64.454999999999941</v>
      </c>
      <c r="Y36" s="14">
        <f t="shared" si="107"/>
        <v>4.3190000000000772</v>
      </c>
      <c r="Z36" s="14">
        <f t="shared" si="107"/>
        <v>-519.77499999999998</v>
      </c>
      <c r="AA36" s="14">
        <f t="shared" si="107"/>
        <v>23.834000000000003</v>
      </c>
      <c r="AB36" s="14">
        <f t="shared" si="107"/>
        <v>19.274000000000008</v>
      </c>
      <c r="AC36" s="14">
        <f t="shared" si="107"/>
        <v>15.312999999999972</v>
      </c>
      <c r="AD36" s="14">
        <f t="shared" si="107"/>
        <v>-4.0109999999999939</v>
      </c>
      <c r="AE36" s="14">
        <f t="shared" si="107"/>
        <v>15.845000000000049</v>
      </c>
      <c r="AF36" s="14">
        <f t="shared" si="107"/>
        <v>-325.59399999999999</v>
      </c>
      <c r="AG36" s="14">
        <f t="shared" si="107"/>
        <v>23.158999999999967</v>
      </c>
      <c r="AH36" s="14">
        <f t="shared" si="107"/>
        <v>23.799000000000024</v>
      </c>
      <c r="AI36" s="14">
        <f t="shared" si="107"/>
        <v>40.935999999999979</v>
      </c>
      <c r="AJ36" s="14">
        <f t="shared" si="107"/>
        <v>50.957000000000029</v>
      </c>
      <c r="AK36" s="14">
        <f t="shared" si="107"/>
        <v>50.582999999999998</v>
      </c>
      <c r="AL36" s="14">
        <f t="shared" si="107"/>
        <v>54.671999999999912</v>
      </c>
      <c r="AM36" s="14">
        <f t="shared" si="107"/>
        <v>76.278000000000091</v>
      </c>
      <c r="AN36" s="14">
        <f>AN31+AN34</f>
        <v>81.7259999999999</v>
      </c>
      <c r="AO36" s="14">
        <f t="shared" ref="AO36:AP36" si="108">AO31+AO34</f>
        <v>81.449000000000083</v>
      </c>
      <c r="AP36" s="14">
        <f t="shared" si="108"/>
        <v>91.640999999999906</v>
      </c>
      <c r="AQ36" s="238"/>
      <c r="AR36" s="238"/>
      <c r="AS36" s="238"/>
      <c r="AT36" s="238"/>
      <c r="AU36" s="238"/>
      <c r="AV36" s="238"/>
      <c r="AW36" s="238"/>
    </row>
    <row r="37" spans="1:51">
      <c r="B37" s="249" t="s">
        <v>32</v>
      </c>
      <c r="C37" s="26"/>
      <c r="D37" s="26"/>
      <c r="E37" s="26"/>
      <c r="F37" s="26"/>
      <c r="G37" s="140">
        <f ca="1">OFFSET(R37,0,MATCH($G$2,$R$3:$AW$3,0)-1)*4</f>
        <v>-86.903999999999996</v>
      </c>
      <c r="H37" s="128">
        <f ca="1">SUM(OFFSET(R37,0,MATCH($G$2,$R$3:$AW$3,0)-4),OFFSET(R37,0,MATCH($G$2,$R$3:$AW$3,0)-3),OFFSET(R37,0,MATCH($G$2,$R$3:$AW$3,0)-2),OFFSET(R37,0,MATCH($G$2,$R$3:$AW$3,0)-1))</f>
        <v>-78.894999999999996</v>
      </c>
      <c r="I37" s="26"/>
      <c r="J37" s="12">
        <f t="shared" ref="J37" si="109">SUM(R37:U37)</f>
        <v>-35.081000000000003</v>
      </c>
      <c r="K37" s="12">
        <f t="shared" ref="K37" si="110">SUM(V37:Y37)</f>
        <v>-46.801000000000002</v>
      </c>
      <c r="L37" s="12">
        <f t="shared" ref="L37" si="111">SUM(Z37:AC37)</f>
        <v>189.75900000000001</v>
      </c>
      <c r="M37" s="12">
        <f t="shared" ref="M37" si="112">SUM(AD37:AG37)</f>
        <v>43.830000000000005</v>
      </c>
      <c r="N37" s="12">
        <f t="shared" ref="N37" si="113">SUM(AH37:AK37)</f>
        <v>-43.413999999999994</v>
      </c>
      <c r="O37" s="12">
        <f t="shared" ref="O37" si="114">SUM(AL37:AO37)</f>
        <v>-71.22</v>
      </c>
      <c r="P37" s="239"/>
      <c r="Q37" s="26"/>
      <c r="R37" s="13">
        <v>-9.8650000000000002</v>
      </c>
      <c r="S37" s="13">
        <v>-16.061</v>
      </c>
      <c r="T37" s="13">
        <v>-15.116</v>
      </c>
      <c r="U37" s="13">
        <v>5.9610000000000003</v>
      </c>
      <c r="V37" s="13">
        <v>-13.88</v>
      </c>
      <c r="W37" s="13">
        <v>-15.269</v>
      </c>
      <c r="X37" s="13">
        <v>-16.305</v>
      </c>
      <c r="Y37" s="13">
        <v>-1.347</v>
      </c>
      <c r="Z37" s="13">
        <v>172.809</v>
      </c>
      <c r="AA37" s="13">
        <v>1.429</v>
      </c>
      <c r="AB37" s="13">
        <v>8.4190000000000005</v>
      </c>
      <c r="AC37" s="13">
        <v>7.1020000000000003</v>
      </c>
      <c r="AD37" s="13">
        <v>0.89100000000000001</v>
      </c>
      <c r="AE37" s="13">
        <v>-5.4930000000000003</v>
      </c>
      <c r="AF37" s="13">
        <v>60.442</v>
      </c>
      <c r="AG37" s="13">
        <v>-12.01</v>
      </c>
      <c r="AH37" s="13">
        <v>-6.2130000000000001</v>
      </c>
      <c r="AI37" s="13">
        <v>-11.03</v>
      </c>
      <c r="AJ37" s="13">
        <v>-11.712999999999999</v>
      </c>
      <c r="AK37" s="13">
        <v>-14.458</v>
      </c>
      <c r="AL37" s="13">
        <v>-14.051</v>
      </c>
      <c r="AM37" s="13">
        <v>-18.96</v>
      </c>
      <c r="AN37" s="13">
        <v>-18.722000000000001</v>
      </c>
      <c r="AO37" s="13">
        <v>-19.486999999999998</v>
      </c>
      <c r="AP37" s="13">
        <v>-21.725999999999999</v>
      </c>
      <c r="AQ37" s="239"/>
      <c r="AR37" s="239"/>
      <c r="AS37" s="239"/>
      <c r="AT37" s="239"/>
      <c r="AU37" s="239"/>
      <c r="AV37" s="239"/>
      <c r="AW37" s="239"/>
    </row>
    <row r="38" spans="1:51">
      <c r="B38" s="255" t="s">
        <v>31</v>
      </c>
      <c r="G38" s="141">
        <f t="shared" ref="G38:H38" ca="1" si="115">SUM(G36:G37)</f>
        <v>279.65999999999963</v>
      </c>
      <c r="H38" s="74">
        <f t="shared" ca="1" si="115"/>
        <v>252.19899999999973</v>
      </c>
      <c r="J38" s="14">
        <f t="shared" ref="J38:M38" si="116">SUM(J36:J37)</f>
        <v>79.078000000000216</v>
      </c>
      <c r="K38" s="14">
        <f t="shared" si="116"/>
        <v>143.01899999999961</v>
      </c>
      <c r="L38" s="14">
        <f t="shared" si="116"/>
        <v>-271.59500000000008</v>
      </c>
      <c r="M38" s="14">
        <f t="shared" si="116"/>
        <v>-246.77100000000016</v>
      </c>
      <c r="N38" s="14">
        <f>SUM(N36:N37)</f>
        <v>122.86100000000005</v>
      </c>
      <c r="O38" s="14">
        <f>SUM(O36:O37)</f>
        <v>222.90500000000034</v>
      </c>
      <c r="P38" s="238"/>
      <c r="R38" s="14">
        <f t="shared" ref="R38:U38" si="117">SUM(R36:R37)</f>
        <v>32.666000000000082</v>
      </c>
      <c r="S38" s="14">
        <f t="shared" si="117"/>
        <v>28.793000000000141</v>
      </c>
      <c r="T38" s="14">
        <f t="shared" si="117"/>
        <v>41.949999999999989</v>
      </c>
      <c r="U38" s="14">
        <f t="shared" si="117"/>
        <v>-24.331000000000003</v>
      </c>
      <c r="V38" s="14">
        <f t="shared" ref="V38:Y38" si="118">SUM(V36:V37)</f>
        <v>44.457000000000008</v>
      </c>
      <c r="W38" s="14">
        <f t="shared" si="118"/>
        <v>47.439999999999905</v>
      </c>
      <c r="X38" s="14">
        <f t="shared" si="118"/>
        <v>48.149999999999942</v>
      </c>
      <c r="Y38" s="14">
        <f t="shared" si="118"/>
        <v>2.9720000000000772</v>
      </c>
      <c r="Z38" s="14">
        <f t="shared" ref="Z38:AL38" si="119">SUM(Z36:Z37)</f>
        <v>-346.96600000000001</v>
      </c>
      <c r="AA38" s="14">
        <f t="shared" si="119"/>
        <v>25.263000000000002</v>
      </c>
      <c r="AB38" s="14">
        <f t="shared" si="119"/>
        <v>27.693000000000008</v>
      </c>
      <c r="AC38" s="14">
        <f t="shared" si="119"/>
        <v>22.414999999999971</v>
      </c>
      <c r="AD38" s="14">
        <f t="shared" si="119"/>
        <v>-3.1199999999999939</v>
      </c>
      <c r="AE38" s="14">
        <f t="shared" si="119"/>
        <v>10.352000000000048</v>
      </c>
      <c r="AF38" s="14">
        <f t="shared" si="119"/>
        <v>-265.15199999999999</v>
      </c>
      <c r="AG38" s="14">
        <f t="shared" si="119"/>
        <v>11.148999999999967</v>
      </c>
      <c r="AH38" s="14">
        <f t="shared" si="119"/>
        <v>17.586000000000023</v>
      </c>
      <c r="AI38" s="14">
        <f t="shared" si="119"/>
        <v>29.905999999999977</v>
      </c>
      <c r="AJ38" s="14">
        <f t="shared" si="119"/>
        <v>39.244000000000028</v>
      </c>
      <c r="AK38" s="14">
        <f t="shared" si="119"/>
        <v>36.125</v>
      </c>
      <c r="AL38" s="14">
        <f t="shared" si="119"/>
        <v>40.62099999999991</v>
      </c>
      <c r="AM38" s="14">
        <f t="shared" ref="AM38:AP38" si="120">SUM(AM36:AM37)</f>
        <v>57.31800000000009</v>
      </c>
      <c r="AN38" s="14">
        <f t="shared" si="120"/>
        <v>63.003999999999898</v>
      </c>
      <c r="AO38" s="14">
        <f t="shared" si="120"/>
        <v>61.962000000000089</v>
      </c>
      <c r="AP38" s="14">
        <f t="shared" si="120"/>
        <v>69.914999999999907</v>
      </c>
      <c r="AQ38" s="238"/>
      <c r="AR38" s="238"/>
      <c r="AS38" s="238"/>
      <c r="AT38" s="238"/>
      <c r="AU38" s="238"/>
      <c r="AV38" s="238"/>
      <c r="AW38" s="238"/>
    </row>
    <row r="39" spans="1:51">
      <c r="B39" s="249" t="s">
        <v>33</v>
      </c>
      <c r="C39" s="26"/>
      <c r="D39" s="26"/>
      <c r="E39" s="26"/>
      <c r="F39" s="26"/>
      <c r="G39" s="140">
        <f ca="1">OFFSET(R39,0,MATCH($G$2,$R$3:$AW$3,0)-1)*4</f>
        <v>0.61199999999999999</v>
      </c>
      <c r="H39" s="128">
        <f ca="1">SUM(OFFSET(R39,0,MATCH($G$2,$R$3:$AW$3,0)-4),OFFSET(R39,0,MATCH($G$2,$R$3:$AW$3,0)-3),OFFSET(R39,0,MATCH($G$2,$R$3:$AW$3,0)-2),OFFSET(R39,0,MATCH($G$2,$R$3:$AW$3,0)-1))</f>
        <v>-0.254</v>
      </c>
      <c r="I39" s="26"/>
      <c r="J39" s="12">
        <f t="shared" ref="J39" si="121">SUM(R39:U39)</f>
        <v>-0.626</v>
      </c>
      <c r="K39" s="12">
        <f t="shared" ref="K39" si="122">SUM(V39:Y39)</f>
        <v>-0.67199999999999993</v>
      </c>
      <c r="L39" s="12">
        <f t="shared" ref="L39" si="123">SUM(Z39:AC39)</f>
        <v>-0.95399999999999996</v>
      </c>
      <c r="M39" s="12">
        <f t="shared" ref="M39" si="124">SUM(AD39:AG39)</f>
        <v>-0.18300000000000005</v>
      </c>
      <c r="N39" s="12">
        <f t="shared" ref="N39" si="125">SUM(AH39:AK39)</f>
        <v>-0.47089999999999999</v>
      </c>
      <c r="O39" s="12">
        <f t="shared" ref="O39" si="126">SUM(AL39:AO39)</f>
        <v>-0.33</v>
      </c>
      <c r="P39" s="239"/>
      <c r="Q39" s="26"/>
      <c r="R39" s="13">
        <v>-0.19500000000000001</v>
      </c>
      <c r="S39" s="13">
        <v>-0.191</v>
      </c>
      <c r="T39" s="13">
        <v>-0.13400000000000001</v>
      </c>
      <c r="U39" s="13">
        <v>-0.106</v>
      </c>
      <c r="V39" s="13">
        <v>-0.161</v>
      </c>
      <c r="W39" s="13">
        <v>-0.153</v>
      </c>
      <c r="X39" s="13">
        <v>-0.16300000000000001</v>
      </c>
      <c r="Y39" s="13">
        <v>-0.19500000000000001</v>
      </c>
      <c r="Z39" s="13">
        <v>-0.27800000000000002</v>
      </c>
      <c r="AA39" s="13">
        <v>-0.26100000000000001</v>
      </c>
      <c r="AB39" s="13">
        <v>-0.20399999999999999</v>
      </c>
      <c r="AC39" s="13">
        <v>-0.21099999999999999</v>
      </c>
      <c r="AD39" s="13">
        <v>-0.255</v>
      </c>
      <c r="AE39" s="13">
        <v>-0.16200000000000001</v>
      </c>
      <c r="AF39" s="13">
        <v>0.42199999999999999</v>
      </c>
      <c r="AG39" s="13">
        <v>-0.188</v>
      </c>
      <c r="AH39" s="13">
        <v>-0.152</v>
      </c>
      <c r="AI39" s="13">
        <v>-0.14990000000000001</v>
      </c>
      <c r="AJ39" s="13">
        <v>-0.153</v>
      </c>
      <c r="AK39" s="13">
        <v>-1.6E-2</v>
      </c>
      <c r="AL39" s="13">
        <v>7.6999999999999999E-2</v>
      </c>
      <c r="AM39" s="13">
        <v>4.9000000000000002E-2</v>
      </c>
      <c r="AN39" s="13">
        <v>-0.4</v>
      </c>
      <c r="AO39" s="13">
        <v>-5.6000000000000001E-2</v>
      </c>
      <c r="AP39" s="13">
        <v>0.153</v>
      </c>
      <c r="AQ39" s="239"/>
      <c r="AR39" s="239"/>
      <c r="AS39" s="239"/>
      <c r="AT39" s="239"/>
      <c r="AU39" s="239"/>
      <c r="AV39" s="239"/>
      <c r="AW39" s="239"/>
    </row>
    <row r="40" spans="1:51">
      <c r="B40" s="255" t="s">
        <v>34</v>
      </c>
      <c r="G40" s="141">
        <f t="shared" ref="G40:H40" ca="1" si="127">SUM(G38:G39)</f>
        <v>280.27199999999965</v>
      </c>
      <c r="H40" s="74">
        <f t="shared" ca="1" si="127"/>
        <v>251.94499999999974</v>
      </c>
      <c r="J40" s="14">
        <f t="shared" ref="J40:N40" si="128">SUM(J38:J39)</f>
        <v>78.452000000000211</v>
      </c>
      <c r="K40" s="14">
        <f t="shared" si="128"/>
        <v>142.34699999999961</v>
      </c>
      <c r="L40" s="14">
        <f t="shared" si="128"/>
        <v>-272.54900000000009</v>
      </c>
      <c r="M40" s="14">
        <f t="shared" si="128"/>
        <v>-246.95400000000015</v>
      </c>
      <c r="N40" s="14">
        <f t="shared" si="128"/>
        <v>122.39010000000005</v>
      </c>
      <c r="O40" s="14">
        <f t="shared" ref="O40" si="129">SUM(O38:O39)</f>
        <v>222.57500000000033</v>
      </c>
      <c r="P40" s="238"/>
      <c r="R40" s="14">
        <f t="shared" ref="R40:U40" si="130">SUM(R38:R39)</f>
        <v>32.471000000000082</v>
      </c>
      <c r="S40" s="14">
        <f t="shared" si="130"/>
        <v>28.602000000000142</v>
      </c>
      <c r="T40" s="14">
        <f t="shared" si="130"/>
        <v>41.815999999999988</v>
      </c>
      <c r="U40" s="14">
        <f t="shared" si="130"/>
        <v>-24.437000000000005</v>
      </c>
      <c r="V40" s="14">
        <f t="shared" ref="V40:Y40" si="131">SUM(V38:V39)</f>
        <v>44.296000000000006</v>
      </c>
      <c r="W40" s="14">
        <f t="shared" si="131"/>
        <v>47.286999999999907</v>
      </c>
      <c r="X40" s="14">
        <f t="shared" si="131"/>
        <v>47.986999999999945</v>
      </c>
      <c r="Y40" s="14">
        <f t="shared" si="131"/>
        <v>2.7770000000000774</v>
      </c>
      <c r="Z40" s="14">
        <f t="shared" ref="Z40" si="132">SUM(Z38:Z39)</f>
        <v>-347.24400000000003</v>
      </c>
      <c r="AA40" s="14">
        <f t="shared" ref="AA40" si="133">SUM(AA38:AA39)</f>
        <v>25.002000000000002</v>
      </c>
      <c r="AB40" s="14">
        <f t="shared" ref="AB40" si="134">SUM(AB38:AB39)</f>
        <v>27.489000000000008</v>
      </c>
      <c r="AC40" s="14">
        <f t="shared" ref="AC40" si="135">SUM(AC38:AC39)</f>
        <v>22.203999999999972</v>
      </c>
      <c r="AD40" s="14">
        <f t="shared" ref="AD40" si="136">SUM(AD38:AD39)</f>
        <v>-3.3749999999999938</v>
      </c>
      <c r="AE40" s="14">
        <f t="shared" ref="AE40" si="137">SUM(AE38:AE39)</f>
        <v>10.190000000000047</v>
      </c>
      <c r="AF40" s="14">
        <f t="shared" ref="AF40" si="138">SUM(AF38:AF39)</f>
        <v>-264.72999999999996</v>
      </c>
      <c r="AG40" s="14">
        <f t="shared" ref="AG40" si="139">SUM(AG38:AG39)</f>
        <v>10.960999999999967</v>
      </c>
      <c r="AH40" s="14">
        <f t="shared" ref="AH40" si="140">SUM(AH38:AH39)</f>
        <v>17.434000000000022</v>
      </c>
      <c r="AI40" s="14">
        <f t="shared" ref="AI40" si="141">SUM(AI38:AI39)</f>
        <v>29.756099999999979</v>
      </c>
      <c r="AJ40" s="14">
        <f t="shared" ref="AJ40" si="142">SUM(AJ38:AJ39)</f>
        <v>39.09100000000003</v>
      </c>
      <c r="AK40" s="14">
        <f t="shared" ref="AK40" si="143">SUM(AK38:AK39)</f>
        <v>36.109000000000002</v>
      </c>
      <c r="AL40" s="14">
        <f t="shared" ref="AL40:AP40" si="144">SUM(AL38:AL39)</f>
        <v>40.697999999999908</v>
      </c>
      <c r="AM40" s="14">
        <f t="shared" si="144"/>
        <v>57.36700000000009</v>
      </c>
      <c r="AN40" s="14">
        <f t="shared" si="144"/>
        <v>62.6039999999999</v>
      </c>
      <c r="AO40" s="14">
        <f t="shared" si="144"/>
        <v>61.906000000000091</v>
      </c>
      <c r="AP40" s="14">
        <f t="shared" si="144"/>
        <v>70.067999999999913</v>
      </c>
      <c r="AQ40" s="238"/>
      <c r="AR40" s="238"/>
      <c r="AS40" s="238"/>
      <c r="AT40" s="238"/>
      <c r="AU40" s="238"/>
      <c r="AV40" s="238"/>
      <c r="AW40" s="238"/>
    </row>
    <row r="41" spans="1:51">
      <c r="G41" s="241"/>
      <c r="H41" s="237"/>
      <c r="P41" s="238"/>
      <c r="AQ41" s="238"/>
      <c r="AR41" s="238"/>
      <c r="AS41" s="238"/>
      <c r="AT41" s="238"/>
      <c r="AU41" s="238"/>
      <c r="AV41" s="238"/>
      <c r="AW41" s="238"/>
    </row>
    <row r="42" spans="1:51">
      <c r="B42" s="25" t="s">
        <v>36</v>
      </c>
      <c r="G42" s="144">
        <f ca="1">OFFSET(R42,0,MATCH($G$2,$R$3:$AW$3,0)-1)</f>
        <v>58.819000000000003</v>
      </c>
      <c r="H42" s="131">
        <f ca="1">AVERAGE(OFFSET(R42,0,MATCH($G$2,$R$3:$AW$3,0)-4),OFFSET(R42,0,MATCH($G$2,$R$3:$AW$3,0)-3),OFFSET(R42,0,MATCH($G$2,$R$3:$AW$3,0)-2),OFFSET(R42,0,MATCH($G$2,$R$3:$AW$3,0)-1))</f>
        <v>59.500749999999996</v>
      </c>
      <c r="J42" s="20">
        <v>59.689</v>
      </c>
      <c r="K42" s="20">
        <v>59.75</v>
      </c>
      <c r="L42" s="20">
        <v>59.911999999999999</v>
      </c>
      <c r="M42" s="20">
        <v>60.052999999999997</v>
      </c>
      <c r="N42" s="20">
        <v>60.329000000000001</v>
      </c>
      <c r="O42" s="20">
        <v>59.856999999999999</v>
      </c>
      <c r="P42" s="149"/>
      <c r="Q42" s="17"/>
      <c r="R42" s="20">
        <v>59.493000000000002</v>
      </c>
      <c r="S42" s="20">
        <v>59.72</v>
      </c>
      <c r="T42" s="20">
        <v>59.783999999999999</v>
      </c>
      <c r="U42" s="20">
        <v>59.645000000000003</v>
      </c>
      <c r="V42" s="20">
        <v>59.823</v>
      </c>
      <c r="W42" s="20">
        <v>59.906999999999996</v>
      </c>
      <c r="X42" s="20">
        <v>59.905999999999999</v>
      </c>
      <c r="Y42" s="20">
        <v>59.997999999999998</v>
      </c>
      <c r="Z42" s="20">
        <v>59.883000000000003</v>
      </c>
      <c r="AA42" s="20">
        <v>59.936999999999998</v>
      </c>
      <c r="AB42" s="20">
        <v>59.930999999999997</v>
      </c>
      <c r="AC42" s="20">
        <v>59.975000000000001</v>
      </c>
      <c r="AD42" s="20">
        <v>60.015999999999998</v>
      </c>
      <c r="AE42" s="20">
        <v>60.274000000000001</v>
      </c>
      <c r="AF42" s="20">
        <v>60.061999999999998</v>
      </c>
      <c r="AG42" s="20">
        <v>60.311</v>
      </c>
      <c r="AH42" s="20">
        <v>60.463000000000001</v>
      </c>
      <c r="AI42" s="20">
        <v>60.466999999999999</v>
      </c>
      <c r="AJ42" s="20">
        <v>60.182000000000002</v>
      </c>
      <c r="AK42" s="20">
        <v>60.210999999999999</v>
      </c>
      <c r="AL42" s="20">
        <v>60.271999999999998</v>
      </c>
      <c r="AM42" s="20">
        <v>60.085000000000001</v>
      </c>
      <c r="AN42" s="20">
        <v>59.764000000000003</v>
      </c>
      <c r="AO42" s="20">
        <v>59.335000000000001</v>
      </c>
      <c r="AP42" s="20">
        <v>58.819000000000003</v>
      </c>
      <c r="AQ42" s="149"/>
      <c r="AR42" s="149"/>
      <c r="AS42" s="149"/>
      <c r="AT42" s="149"/>
      <c r="AU42" s="149"/>
      <c r="AV42" s="149"/>
      <c r="AW42" s="149"/>
    </row>
    <row r="43" spans="1:51" ht="15" customHeight="1">
      <c r="B43" s="25" t="s">
        <v>37</v>
      </c>
      <c r="G43" s="145">
        <f ca="1">OFFSET(R43,0,MATCH($G$2,$R$3:$AW$3,0)-1)*4</f>
        <v>4.7649909042996246</v>
      </c>
      <c r="H43" s="132">
        <f ca="1">SUM(OFFSET(R43,0,MATCH($G$2,$R$3:$AW$3,0)-4),OFFSET(R43,0,MATCH($G$2,$R$3:$AW$3,0)-3),OFFSET(R43,0,MATCH($G$2,$R$3:$AW$3,0)-2),OFFSET(R43,0,MATCH($G$2,$R$3:$AW$3,0)-1))</f>
        <v>4.2368623001235441</v>
      </c>
      <c r="J43" s="18">
        <f t="shared" ref="J43:O43" si="145">J40/J42</f>
        <v>1.3143460269061336</v>
      </c>
      <c r="K43" s="18">
        <f t="shared" si="145"/>
        <v>2.3823765690376506</v>
      </c>
      <c r="L43" s="18">
        <f t="shared" si="145"/>
        <v>-4.5491554279610114</v>
      </c>
      <c r="M43" s="18">
        <f t="shared" si="145"/>
        <v>-4.1122674970442805</v>
      </c>
      <c r="N43" s="18">
        <f t="shared" si="145"/>
        <v>2.0287109018879819</v>
      </c>
      <c r="O43" s="18">
        <f t="shared" si="145"/>
        <v>3.718445628748523</v>
      </c>
      <c r="P43" s="238"/>
      <c r="R43" s="18">
        <f t="shared" ref="R43:AN43" si="146">R40/R42</f>
        <v>0.54579530364917017</v>
      </c>
      <c r="S43" s="18">
        <f t="shared" si="146"/>
        <v>0.4789350301406588</v>
      </c>
      <c r="T43" s="18">
        <f t="shared" si="146"/>
        <v>0.69945135822293569</v>
      </c>
      <c r="U43" s="18">
        <f t="shared" si="146"/>
        <v>-0.40970743566099427</v>
      </c>
      <c r="V43" s="18">
        <f t="shared" si="146"/>
        <v>0.74045099710813578</v>
      </c>
      <c r="W43" s="18">
        <f t="shared" si="146"/>
        <v>0.7893401438896942</v>
      </c>
      <c r="X43" s="18">
        <f t="shared" si="146"/>
        <v>0.80103829332621013</v>
      </c>
      <c r="Y43" s="18">
        <f t="shared" si="146"/>
        <v>4.6284876162540046E-2</v>
      </c>
      <c r="Z43" s="18">
        <f t="shared" si="146"/>
        <v>-5.7987074795851914</v>
      </c>
      <c r="AA43" s="18">
        <f t="shared" si="146"/>
        <v>0.41713799489463943</v>
      </c>
      <c r="AB43" s="18">
        <f t="shared" si="146"/>
        <v>0.45867747910096629</v>
      </c>
      <c r="AC43" s="18">
        <f t="shared" si="146"/>
        <v>0.37022092538557683</v>
      </c>
      <c r="AD43" s="18">
        <f t="shared" si="146"/>
        <v>-5.6235003998933518E-2</v>
      </c>
      <c r="AE43" s="18">
        <f t="shared" si="146"/>
        <v>0.16906128679032498</v>
      </c>
      <c r="AF43" s="18">
        <f t="shared" si="146"/>
        <v>-4.4076121341280672</v>
      </c>
      <c r="AG43" s="18">
        <f t="shared" si="146"/>
        <v>0.18174130755583504</v>
      </c>
      <c r="AH43" s="18">
        <f t="shared" si="146"/>
        <v>0.2883416304186035</v>
      </c>
      <c r="AI43" s="18">
        <f t="shared" si="146"/>
        <v>0.49210478442786942</v>
      </c>
      <c r="AJ43" s="18">
        <f t="shared" si="146"/>
        <v>0.64954637599282228</v>
      </c>
      <c r="AK43" s="18">
        <f t="shared" si="146"/>
        <v>0.59970769460729767</v>
      </c>
      <c r="AL43" s="18">
        <f t="shared" si="146"/>
        <v>0.67523891691000648</v>
      </c>
      <c r="AM43" s="18">
        <f t="shared" si="146"/>
        <v>0.95476408421403158</v>
      </c>
      <c r="AN43" s="18">
        <f t="shared" si="146"/>
        <v>1.04752024630212</v>
      </c>
      <c r="AO43" s="18">
        <f t="shared" ref="AO43:AP43" si="147">AO40/AO42</f>
        <v>1.0433302435324865</v>
      </c>
      <c r="AP43" s="18">
        <f t="shared" si="147"/>
        <v>1.1912477260749061</v>
      </c>
      <c r="AQ43" s="238"/>
      <c r="AR43" s="238"/>
      <c r="AS43" s="238"/>
      <c r="AT43" s="238"/>
      <c r="AU43" s="238"/>
      <c r="AV43" s="238"/>
      <c r="AW43" s="238"/>
    </row>
    <row r="44" spans="1:51">
      <c r="G44" s="241"/>
      <c r="H44" s="237"/>
      <c r="P44" s="238"/>
      <c r="AQ44" s="238"/>
      <c r="AR44" s="238"/>
      <c r="AS44" s="238"/>
      <c r="AT44" s="238"/>
      <c r="AU44" s="238"/>
      <c r="AV44" s="238"/>
      <c r="AW44" s="238"/>
    </row>
    <row r="45" spans="1:51">
      <c r="C45" s="4"/>
      <c r="G45" s="145"/>
      <c r="H45" s="237"/>
      <c r="J45" s="9"/>
      <c r="K45" s="9"/>
      <c r="L45" s="9"/>
      <c r="M45" s="9"/>
      <c r="N45" s="9"/>
      <c r="O45" s="9"/>
      <c r="P45" s="238"/>
      <c r="R45" s="18"/>
      <c r="S45" s="18"/>
      <c r="T45" s="18"/>
      <c r="U45" s="18"/>
      <c r="V45" s="9"/>
      <c r="W45" s="9"/>
      <c r="X45" s="9"/>
      <c r="Y45" s="9"/>
      <c r="Z45" s="9"/>
      <c r="AA45" s="9"/>
      <c r="AB45" s="9"/>
      <c r="AC45" s="9"/>
      <c r="AD45" s="9"/>
      <c r="AE45" s="9"/>
      <c r="AF45" s="9"/>
      <c r="AG45" s="9"/>
      <c r="AH45" s="9"/>
      <c r="AI45" s="9"/>
      <c r="AJ45" s="9"/>
      <c r="AK45" s="9"/>
      <c r="AL45" s="9"/>
      <c r="AM45" s="9"/>
      <c r="AN45" s="9"/>
      <c r="AO45" s="9"/>
      <c r="AP45" s="9"/>
      <c r="AQ45" s="238"/>
      <c r="AR45" s="238"/>
      <c r="AS45" s="238"/>
      <c r="AT45" s="238"/>
      <c r="AU45" s="238"/>
      <c r="AV45" s="238"/>
      <c r="AW45" s="238"/>
    </row>
    <row r="46" spans="1:51" ht="15" customHeight="1">
      <c r="A46" s="30" t="s">
        <v>0</v>
      </c>
      <c r="B46" s="30" t="s">
        <v>38</v>
      </c>
      <c r="C46" s="31"/>
      <c r="D46" s="31"/>
      <c r="E46" s="31"/>
      <c r="F46" s="31"/>
      <c r="G46" s="137"/>
      <c r="H46" s="127"/>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row>
    <row r="47" spans="1:51">
      <c r="G47" s="241"/>
      <c r="H47" s="237"/>
      <c r="P47" s="238"/>
      <c r="AQ47" s="238"/>
      <c r="AR47" s="238"/>
      <c r="AS47" s="238"/>
      <c r="AT47" s="238"/>
      <c r="AU47" s="238"/>
      <c r="AV47" s="238"/>
      <c r="AW47" s="238"/>
      <c r="AY47" s="256"/>
    </row>
    <row r="48" spans="1:51">
      <c r="B48" s="25" t="s">
        <v>111</v>
      </c>
      <c r="G48" s="139">
        <f ca="1">OFFSET(R48,0,MATCH($G$2,$R$3:$AW$3,0)-1)</f>
        <v>75.215999999999994</v>
      </c>
      <c r="H48" s="75">
        <f ca="1">G48</f>
        <v>75.215999999999994</v>
      </c>
      <c r="J48" s="10">
        <f>U48</f>
        <v>7.8</v>
      </c>
      <c r="K48" s="10">
        <f>Y48</f>
        <v>24.736999999999998</v>
      </c>
      <c r="L48" s="10">
        <f>AC48</f>
        <v>80.337999999999994</v>
      </c>
      <c r="M48" s="10">
        <f>AG48</f>
        <v>34.813000000000002</v>
      </c>
      <c r="N48" s="10">
        <f>AK48</f>
        <v>80.576999999999998</v>
      </c>
      <c r="O48" s="10">
        <f>AO48</f>
        <v>32.576999999999998</v>
      </c>
      <c r="P48" s="238"/>
      <c r="R48" s="11">
        <v>7.01</v>
      </c>
      <c r="S48" s="11">
        <v>4.1980000000000004</v>
      </c>
      <c r="T48" s="11">
        <v>3.617</v>
      </c>
      <c r="U48" s="11">
        <v>7.8</v>
      </c>
      <c r="V48" s="11">
        <v>7.2889999999999997</v>
      </c>
      <c r="W48" s="11">
        <v>22.521000000000001</v>
      </c>
      <c r="X48" s="11">
        <v>9.4250000000000007</v>
      </c>
      <c r="Y48" s="11">
        <v>24.736999999999998</v>
      </c>
      <c r="Z48" s="11">
        <v>322.57100000000003</v>
      </c>
      <c r="AA48" s="11">
        <v>108.471</v>
      </c>
      <c r="AB48" s="11">
        <v>119.586</v>
      </c>
      <c r="AC48" s="11">
        <v>80.337999999999994</v>
      </c>
      <c r="AD48" s="11">
        <v>52.332999999999998</v>
      </c>
      <c r="AE48" s="11">
        <v>53.052</v>
      </c>
      <c r="AF48" s="11">
        <v>54.377000000000002</v>
      </c>
      <c r="AG48" s="11">
        <v>34.813000000000002</v>
      </c>
      <c r="AH48" s="11">
        <v>32.398000000000003</v>
      </c>
      <c r="AI48" s="11">
        <v>25.103999999999999</v>
      </c>
      <c r="AJ48" s="11">
        <v>36.991</v>
      </c>
      <c r="AK48" s="11">
        <v>80.576999999999998</v>
      </c>
      <c r="AL48" s="11">
        <v>26.699000000000002</v>
      </c>
      <c r="AM48" s="11">
        <v>36.603000000000002</v>
      </c>
      <c r="AN48" s="11">
        <v>42.116</v>
      </c>
      <c r="AO48" s="11">
        <v>32.576999999999998</v>
      </c>
      <c r="AP48" s="11">
        <v>75.215999999999994</v>
      </c>
      <c r="AQ48" s="238"/>
      <c r="AR48" s="238"/>
      <c r="AS48" s="238"/>
      <c r="AT48" s="238"/>
      <c r="AU48" s="238"/>
      <c r="AV48" s="238"/>
      <c r="AW48" s="238"/>
      <c r="AY48" s="256"/>
    </row>
    <row r="49" spans="2:51">
      <c r="B49" s="25" t="s">
        <v>193</v>
      </c>
      <c r="G49" s="139">
        <f ca="1">OFFSET(R49,0,MATCH($G$2,$R$3:$AW$3,0)-1)</f>
        <v>529.14099999999996</v>
      </c>
      <c r="H49" s="75">
        <f t="shared" ref="H49:H52" ca="1" si="148">G49</f>
        <v>529.14099999999996</v>
      </c>
      <c r="J49" s="10">
        <f t="shared" ref="J49:J52" si="149">U49</f>
        <v>417.64400000000001</v>
      </c>
      <c r="K49" s="10">
        <f t="shared" ref="K49:K52" si="150">Y49</f>
        <v>379.17399999999998</v>
      </c>
      <c r="L49" s="10">
        <f t="shared" ref="L49:L52" si="151">AC49</f>
        <v>315.28300000000002</v>
      </c>
      <c r="M49" s="10">
        <f t="shared" ref="M49:M52" si="152">AG49</f>
        <v>417.95800000000003</v>
      </c>
      <c r="N49" s="10">
        <f t="shared" ref="N49:N52" si="153">AK49</f>
        <v>483.40600000000001</v>
      </c>
      <c r="O49" s="10">
        <f t="shared" ref="O49:O52" si="154">AO49</f>
        <v>526.69100000000003</v>
      </c>
      <c r="P49" s="238"/>
      <c r="R49" s="11">
        <v>485.86500000000001</v>
      </c>
      <c r="S49" s="11">
        <v>448.28100000000001</v>
      </c>
      <c r="T49" s="11">
        <v>400.87</v>
      </c>
      <c r="U49" s="11">
        <v>417.64400000000001</v>
      </c>
      <c r="V49" s="11">
        <v>439.97500000000002</v>
      </c>
      <c r="W49" s="11">
        <v>450.95800000000003</v>
      </c>
      <c r="X49" s="11">
        <v>382.46499999999997</v>
      </c>
      <c r="Y49" s="11">
        <v>379.17399999999998</v>
      </c>
      <c r="Z49" s="11">
        <v>389.61599999999999</v>
      </c>
      <c r="AA49" s="11">
        <v>348.45299999999997</v>
      </c>
      <c r="AB49" s="11">
        <v>304.02100000000002</v>
      </c>
      <c r="AC49" s="11">
        <v>315.28300000000002</v>
      </c>
      <c r="AD49" s="11">
        <v>347.27499999999998</v>
      </c>
      <c r="AE49" s="11">
        <v>352.37200000000001</v>
      </c>
      <c r="AF49" s="11">
        <v>389.57900000000001</v>
      </c>
      <c r="AG49" s="11">
        <v>417.95800000000003</v>
      </c>
      <c r="AH49" s="11">
        <v>420.82299999999998</v>
      </c>
      <c r="AI49" s="11">
        <v>445.42500000000001</v>
      </c>
      <c r="AJ49" s="11">
        <v>482.74400000000003</v>
      </c>
      <c r="AK49" s="11">
        <v>483.40600000000001</v>
      </c>
      <c r="AL49" s="11">
        <v>526.48900000000003</v>
      </c>
      <c r="AM49" s="11">
        <v>519.74099999999999</v>
      </c>
      <c r="AN49" s="11">
        <v>514.63099999999997</v>
      </c>
      <c r="AO49" s="11">
        <v>526.69100000000003</v>
      </c>
      <c r="AP49" s="11">
        <v>529.14099999999996</v>
      </c>
      <c r="AQ49" s="238"/>
      <c r="AR49" s="238"/>
      <c r="AS49" s="238"/>
      <c r="AT49" s="238"/>
      <c r="AU49" s="238"/>
      <c r="AV49" s="238"/>
      <c r="AW49" s="238"/>
      <c r="AY49" s="256"/>
    </row>
    <row r="50" spans="2:51">
      <c r="B50" s="25" t="s">
        <v>194</v>
      </c>
      <c r="G50" s="139">
        <f ca="1">OFFSET(R50,0,MATCH($G$2,$R$3:$AW$3,0)-1)</f>
        <v>55.948999999999998</v>
      </c>
      <c r="H50" s="75">
        <f t="shared" ca="1" si="148"/>
        <v>55.948999999999998</v>
      </c>
      <c r="J50" s="10">
        <f t="shared" si="149"/>
        <v>104.239</v>
      </c>
      <c r="K50" s="10">
        <f t="shared" si="150"/>
        <v>104.175</v>
      </c>
      <c r="L50" s="10">
        <f t="shared" si="151"/>
        <v>284.899</v>
      </c>
      <c r="M50" s="10">
        <f t="shared" si="152"/>
        <v>149.964</v>
      </c>
      <c r="N50" s="10">
        <f t="shared" si="153"/>
        <v>114.556</v>
      </c>
      <c r="O50" s="10">
        <f t="shared" si="154"/>
        <v>52.024999999999999</v>
      </c>
      <c r="P50" s="238"/>
      <c r="R50" s="11">
        <v>110.64</v>
      </c>
      <c r="S50" s="11">
        <v>116.673</v>
      </c>
      <c r="T50" s="11">
        <v>111.221</v>
      </c>
      <c r="U50" s="11">
        <v>104.239</v>
      </c>
      <c r="V50" s="11">
        <v>122.18</v>
      </c>
      <c r="W50" s="11">
        <v>99.567999999999998</v>
      </c>
      <c r="X50" s="11">
        <v>99.736000000000004</v>
      </c>
      <c r="Y50" s="11">
        <v>104.175</v>
      </c>
      <c r="Z50" s="11">
        <v>253.68799999999999</v>
      </c>
      <c r="AA50" s="11">
        <v>228.40899999999999</v>
      </c>
      <c r="AB50" s="11">
        <v>257.65600000000001</v>
      </c>
      <c r="AC50" s="11">
        <v>284.899</v>
      </c>
      <c r="AD50" s="11">
        <v>171.749</v>
      </c>
      <c r="AE50" s="11">
        <v>165.47800000000001</v>
      </c>
      <c r="AF50" s="11">
        <v>150.81100000000001</v>
      </c>
      <c r="AG50" s="11">
        <v>149.964</v>
      </c>
      <c r="AH50" s="11">
        <v>125.75700000000001</v>
      </c>
      <c r="AI50" s="11">
        <v>127.181</v>
      </c>
      <c r="AJ50" s="11">
        <v>133.27799999999999</v>
      </c>
      <c r="AK50" s="11">
        <v>114.556</v>
      </c>
      <c r="AL50" s="11">
        <v>109.539</v>
      </c>
      <c r="AM50" s="11">
        <v>40.011000000000003</v>
      </c>
      <c r="AN50" s="11">
        <v>53.936</v>
      </c>
      <c r="AO50" s="11">
        <v>52.024999999999999</v>
      </c>
      <c r="AP50" s="11">
        <v>55.948999999999998</v>
      </c>
      <c r="AQ50" s="238"/>
      <c r="AR50" s="238"/>
      <c r="AS50" s="238"/>
      <c r="AT50" s="238"/>
      <c r="AU50" s="238"/>
      <c r="AV50" s="238"/>
      <c r="AW50" s="238"/>
      <c r="AY50" s="256"/>
    </row>
    <row r="51" spans="2:51">
      <c r="B51" s="25" t="s">
        <v>195</v>
      </c>
      <c r="G51" s="139">
        <f ca="1">OFFSET(R51,0,MATCH($G$2,$R$3:$AW$3,0)-1)</f>
        <v>446.803</v>
      </c>
      <c r="H51" s="75">
        <f t="shared" ca="1" si="148"/>
        <v>446.803</v>
      </c>
      <c r="J51" s="10">
        <f t="shared" si="149"/>
        <v>507.44099999999997</v>
      </c>
      <c r="K51" s="10">
        <f t="shared" si="150"/>
        <v>351.40100000000001</v>
      </c>
      <c r="L51" s="10">
        <f t="shared" si="151"/>
        <v>309.67500000000001</v>
      </c>
      <c r="M51" s="10">
        <f t="shared" si="152"/>
        <v>331.35</v>
      </c>
      <c r="N51" s="10">
        <f t="shared" si="153"/>
        <v>461.84800000000001</v>
      </c>
      <c r="O51" s="10">
        <f t="shared" si="154"/>
        <v>454.38900000000001</v>
      </c>
      <c r="P51" s="238"/>
      <c r="R51" s="11">
        <v>372.18200000000002</v>
      </c>
      <c r="S51" s="11">
        <v>384.00700000000001</v>
      </c>
      <c r="T51" s="11">
        <v>453.173</v>
      </c>
      <c r="U51" s="11">
        <v>507.44099999999997</v>
      </c>
      <c r="V51" s="11">
        <v>491.56599999999997</v>
      </c>
      <c r="W51" s="11">
        <v>428.26</v>
      </c>
      <c r="X51" s="11">
        <v>410.26100000000002</v>
      </c>
      <c r="Y51" s="11">
        <v>351.40100000000001</v>
      </c>
      <c r="Z51" s="11">
        <v>341.49799999999999</v>
      </c>
      <c r="AA51" s="11">
        <v>335.95800000000003</v>
      </c>
      <c r="AB51" s="11">
        <v>321.43299999999999</v>
      </c>
      <c r="AC51" s="11">
        <v>309.67500000000001</v>
      </c>
      <c r="AD51" s="11">
        <v>326.47500000000002</v>
      </c>
      <c r="AE51" s="11">
        <v>325.54500000000002</v>
      </c>
      <c r="AF51" s="11">
        <v>308.82</v>
      </c>
      <c r="AG51" s="11">
        <v>331.35</v>
      </c>
      <c r="AH51" s="11">
        <v>360.45699999999999</v>
      </c>
      <c r="AI51" s="11">
        <v>370.38499999999999</v>
      </c>
      <c r="AJ51" s="11">
        <v>392.47</v>
      </c>
      <c r="AK51" s="11">
        <v>461.84800000000001</v>
      </c>
      <c r="AL51" s="11">
        <v>475.21800000000002</v>
      </c>
      <c r="AM51" s="11">
        <v>504.51400000000001</v>
      </c>
      <c r="AN51" s="11">
        <v>505.50599999999997</v>
      </c>
      <c r="AO51" s="11">
        <v>454.38900000000001</v>
      </c>
      <c r="AP51" s="11">
        <v>446.803</v>
      </c>
      <c r="AQ51" s="238"/>
      <c r="AR51" s="238"/>
      <c r="AS51" s="238"/>
      <c r="AT51" s="238"/>
      <c r="AU51" s="238"/>
      <c r="AV51" s="238"/>
      <c r="AW51" s="238"/>
      <c r="AY51" s="256"/>
    </row>
    <row r="52" spans="2:51">
      <c r="B52" s="26" t="s">
        <v>153</v>
      </c>
      <c r="C52" s="26"/>
      <c r="D52" s="26"/>
      <c r="E52" s="26"/>
      <c r="F52" s="26"/>
      <c r="G52" s="140">
        <f ca="1">OFFSET(R52,0,MATCH($G$2,$R$3:$AW$3,0)-1)</f>
        <v>68.369</v>
      </c>
      <c r="H52" s="128">
        <f t="shared" ca="1" si="148"/>
        <v>68.369</v>
      </c>
      <c r="I52" s="26"/>
      <c r="J52" s="12">
        <f t="shared" si="149"/>
        <v>59.365000000000002</v>
      </c>
      <c r="K52" s="12">
        <f t="shared" si="150"/>
        <v>58.091999999999999</v>
      </c>
      <c r="L52" s="12">
        <f t="shared" si="151"/>
        <v>57.776000000000003</v>
      </c>
      <c r="M52" s="12">
        <f t="shared" si="152"/>
        <v>69.78</v>
      </c>
      <c r="N52" s="12">
        <f t="shared" si="153"/>
        <v>71.372</v>
      </c>
      <c r="O52" s="12">
        <f t="shared" si="154"/>
        <v>69.478999999999999</v>
      </c>
      <c r="P52" s="239"/>
      <c r="Q52" s="26"/>
      <c r="R52" s="13">
        <v>80.956999999999994</v>
      </c>
      <c r="S52" s="13">
        <v>82.173000000000002</v>
      </c>
      <c r="T52" s="13">
        <v>85.638999999999996</v>
      </c>
      <c r="U52" s="13">
        <v>59.365000000000002</v>
      </c>
      <c r="V52" s="13">
        <v>57.241999999999997</v>
      </c>
      <c r="W52" s="13">
        <v>52.953000000000003</v>
      </c>
      <c r="X52" s="13">
        <v>56.646000000000001</v>
      </c>
      <c r="Y52" s="13">
        <v>58.091999999999999</v>
      </c>
      <c r="Z52" s="13">
        <v>60.64</v>
      </c>
      <c r="AA52" s="13">
        <v>57.023000000000003</v>
      </c>
      <c r="AB52" s="13">
        <v>58.023000000000003</v>
      </c>
      <c r="AC52" s="13">
        <v>57.776000000000003</v>
      </c>
      <c r="AD52" s="13">
        <v>60.685000000000002</v>
      </c>
      <c r="AE52" s="13">
        <v>66.695999999999998</v>
      </c>
      <c r="AF52" s="13">
        <v>75.004000000000005</v>
      </c>
      <c r="AG52" s="13">
        <v>69.78</v>
      </c>
      <c r="AH52" s="13">
        <v>75.896000000000001</v>
      </c>
      <c r="AI52" s="13">
        <v>84.16</v>
      </c>
      <c r="AJ52" s="13">
        <v>80.899000000000001</v>
      </c>
      <c r="AK52" s="13">
        <v>71.372</v>
      </c>
      <c r="AL52" s="13">
        <v>62.420999999999999</v>
      </c>
      <c r="AM52" s="13">
        <v>67.787000000000006</v>
      </c>
      <c r="AN52" s="13">
        <v>79.382000000000005</v>
      </c>
      <c r="AO52" s="13">
        <v>69.478999999999999</v>
      </c>
      <c r="AP52" s="13">
        <v>68.369</v>
      </c>
      <c r="AQ52" s="239"/>
      <c r="AR52" s="239"/>
      <c r="AS52" s="239"/>
      <c r="AT52" s="239"/>
      <c r="AU52" s="239"/>
      <c r="AV52" s="239"/>
      <c r="AW52" s="239"/>
      <c r="AY52" s="256"/>
    </row>
    <row r="53" spans="2:51">
      <c r="B53" s="1" t="s">
        <v>112</v>
      </c>
      <c r="G53" s="141">
        <f ca="1">SUM(G48:G52)</f>
        <v>1175.4779999999998</v>
      </c>
      <c r="H53" s="74">
        <f ca="1">SUM(H48:H52)</f>
        <v>1175.4779999999998</v>
      </c>
      <c r="J53" s="14">
        <f t="shared" ref="J53:O53" si="155">SUM(J48:J52)</f>
        <v>1096.489</v>
      </c>
      <c r="K53" s="14">
        <f t="shared" si="155"/>
        <v>917.57900000000006</v>
      </c>
      <c r="L53" s="14">
        <f t="shared" si="155"/>
        <v>1047.971</v>
      </c>
      <c r="M53" s="14">
        <f t="shared" si="155"/>
        <v>1003.865</v>
      </c>
      <c r="N53" s="14">
        <f t="shared" si="155"/>
        <v>1211.759</v>
      </c>
      <c r="O53" s="14">
        <f t="shared" si="155"/>
        <v>1135.1610000000001</v>
      </c>
      <c r="P53" s="238"/>
      <c r="R53" s="14">
        <f t="shared" ref="R53:AN53" si="156">SUM(R48:R52)</f>
        <v>1056.654</v>
      </c>
      <c r="S53" s="14">
        <f t="shared" si="156"/>
        <v>1035.3320000000001</v>
      </c>
      <c r="T53" s="14">
        <f t="shared" si="156"/>
        <v>1054.52</v>
      </c>
      <c r="U53" s="14">
        <f t="shared" si="156"/>
        <v>1096.489</v>
      </c>
      <c r="V53" s="14">
        <f t="shared" si="156"/>
        <v>1118.252</v>
      </c>
      <c r="W53" s="14">
        <f t="shared" si="156"/>
        <v>1054.26</v>
      </c>
      <c r="X53" s="14">
        <f t="shared" si="156"/>
        <v>958.5329999999999</v>
      </c>
      <c r="Y53" s="14">
        <f t="shared" si="156"/>
        <v>917.57900000000006</v>
      </c>
      <c r="Z53" s="14">
        <f t="shared" si="156"/>
        <v>1368.0130000000001</v>
      </c>
      <c r="AA53" s="14">
        <f t="shared" si="156"/>
        <v>1078.3139999999999</v>
      </c>
      <c r="AB53" s="14">
        <f t="shared" si="156"/>
        <v>1060.7190000000001</v>
      </c>
      <c r="AC53" s="14">
        <f t="shared" si="156"/>
        <v>1047.971</v>
      </c>
      <c r="AD53" s="14">
        <f t="shared" si="156"/>
        <v>958.51700000000005</v>
      </c>
      <c r="AE53" s="14">
        <f t="shared" si="156"/>
        <v>963.14300000000014</v>
      </c>
      <c r="AF53" s="14">
        <f t="shared" si="156"/>
        <v>978.59100000000001</v>
      </c>
      <c r="AG53" s="14">
        <f t="shared" si="156"/>
        <v>1003.865</v>
      </c>
      <c r="AH53" s="14">
        <f t="shared" si="156"/>
        <v>1015.331</v>
      </c>
      <c r="AI53" s="14">
        <f t="shared" si="156"/>
        <v>1052.2550000000001</v>
      </c>
      <c r="AJ53" s="14">
        <f t="shared" si="156"/>
        <v>1126.3820000000001</v>
      </c>
      <c r="AK53" s="14">
        <f t="shared" si="156"/>
        <v>1211.759</v>
      </c>
      <c r="AL53" s="14">
        <f t="shared" si="156"/>
        <v>1200.366</v>
      </c>
      <c r="AM53" s="14">
        <f t="shared" si="156"/>
        <v>1168.6559999999999</v>
      </c>
      <c r="AN53" s="14">
        <f t="shared" si="156"/>
        <v>1195.5709999999999</v>
      </c>
      <c r="AO53" s="14">
        <f t="shared" ref="AO53:AP53" si="157">SUM(AO48:AO52)</f>
        <v>1135.1610000000001</v>
      </c>
      <c r="AP53" s="14">
        <f t="shared" si="157"/>
        <v>1175.4779999999998</v>
      </c>
      <c r="AQ53" s="238"/>
      <c r="AR53" s="238"/>
      <c r="AS53" s="238"/>
      <c r="AT53" s="238"/>
      <c r="AU53" s="238"/>
      <c r="AV53" s="238"/>
      <c r="AW53" s="238"/>
    </row>
    <row r="54" spans="2:51">
      <c r="B54" s="1"/>
      <c r="G54" s="241"/>
      <c r="H54" s="237"/>
      <c r="P54" s="238"/>
      <c r="R54" s="24"/>
      <c r="AQ54" s="238"/>
      <c r="AR54" s="238"/>
      <c r="AS54" s="238"/>
      <c r="AT54" s="238"/>
      <c r="AU54" s="238"/>
      <c r="AV54" s="238"/>
      <c r="AW54" s="238"/>
    </row>
    <row r="55" spans="2:51">
      <c r="B55" s="25" t="s">
        <v>154</v>
      </c>
      <c r="G55" s="139">
        <f ca="1">OFFSET(R55,0,MATCH($G$2,$R$3:$AW$3,0)-1)</f>
        <v>3883.3209999999999</v>
      </c>
      <c r="H55" s="75">
        <f t="shared" ref="H55" ca="1" si="158">G55</f>
        <v>3883.3209999999999</v>
      </c>
      <c r="J55" s="10">
        <f t="shared" ref="J55:J59" si="159">U55</f>
        <v>3539.8019999999997</v>
      </c>
      <c r="K55" s="10">
        <f t="shared" ref="K55:K59" si="160">Y55</f>
        <v>3777.11</v>
      </c>
      <c r="L55" s="10">
        <f t="shared" ref="L55:L59" si="161">AC55</f>
        <v>3917.0699999999997</v>
      </c>
      <c r="M55" s="10">
        <f t="shared" ref="M55:M59" si="162">AG55</f>
        <v>3678.5149999999994</v>
      </c>
      <c r="N55" s="10">
        <f t="shared" ref="N55:N59" si="163">AK55</f>
        <v>3633.462</v>
      </c>
      <c r="O55" s="10">
        <f t="shared" ref="O55:O59" si="164">AO55</f>
        <v>3861.105</v>
      </c>
      <c r="P55" s="238"/>
      <c r="R55" s="11">
        <v>3443.8680000000004</v>
      </c>
      <c r="S55" s="11">
        <v>3549.0659999999998</v>
      </c>
      <c r="T55" s="11">
        <v>3561.5</v>
      </c>
      <c r="U55" s="11">
        <v>3539.8019999999997</v>
      </c>
      <c r="V55" s="11">
        <v>3792.4399999999996</v>
      </c>
      <c r="W55" s="11">
        <v>3796.4179999999997</v>
      </c>
      <c r="X55" s="11">
        <v>3793.732</v>
      </c>
      <c r="Y55" s="11">
        <v>3777.11</v>
      </c>
      <c r="Z55" s="11">
        <v>3776.7839999999997</v>
      </c>
      <c r="AA55" s="11">
        <v>3976.0250000000001</v>
      </c>
      <c r="AB55" s="11">
        <v>3958.1439999999998</v>
      </c>
      <c r="AC55" s="11">
        <v>3917.0699999999997</v>
      </c>
      <c r="AD55" s="11">
        <v>3881.2729999999997</v>
      </c>
      <c r="AE55" s="11">
        <v>3862.8059999999996</v>
      </c>
      <c r="AF55" s="11">
        <v>3705.2470000000003</v>
      </c>
      <c r="AG55" s="11">
        <v>3678.5149999999994</v>
      </c>
      <c r="AH55" s="11">
        <v>3660.3140000000003</v>
      </c>
      <c r="AI55" s="11">
        <v>3652.652</v>
      </c>
      <c r="AJ55" s="11">
        <v>3640.6899999999996</v>
      </c>
      <c r="AK55" s="11">
        <v>3633.462</v>
      </c>
      <c r="AL55" s="11">
        <v>3665.51</v>
      </c>
      <c r="AM55" s="11">
        <v>3697.9390000000003</v>
      </c>
      <c r="AN55" s="11">
        <v>3782.1240000000003</v>
      </c>
      <c r="AO55" s="11">
        <v>3861.105</v>
      </c>
      <c r="AP55" s="11">
        <v>3883.3209999999999</v>
      </c>
      <c r="AQ55" s="238"/>
      <c r="AR55" s="238"/>
      <c r="AS55" s="238"/>
      <c r="AT55" s="238"/>
      <c r="AU55" s="238"/>
      <c r="AV55" s="238"/>
      <c r="AW55" s="238"/>
    </row>
    <row r="56" spans="2:51">
      <c r="B56" s="25" t="s">
        <v>197</v>
      </c>
      <c r="G56" s="139">
        <f ca="1">OFFSET(R56,0,MATCH($G$2,$R$3:$AW$3,0)-1)</f>
        <v>149.41200000000001</v>
      </c>
      <c r="H56" s="75">
        <f t="shared" ref="H56:H59" ca="1" si="165">G56</f>
        <v>149.41200000000001</v>
      </c>
      <c r="J56" s="10">
        <f t="shared" si="159"/>
        <v>0</v>
      </c>
      <c r="K56" s="10">
        <f t="shared" si="160"/>
        <v>159.64099999999999</v>
      </c>
      <c r="L56" s="10">
        <f t="shared" si="161"/>
        <v>174.31700000000001</v>
      </c>
      <c r="M56" s="10">
        <f t="shared" si="162"/>
        <v>167.73</v>
      </c>
      <c r="N56" s="10">
        <f t="shared" si="163"/>
        <v>154.50700000000001</v>
      </c>
      <c r="O56" s="10">
        <f t="shared" si="164"/>
        <v>152.21600000000001</v>
      </c>
      <c r="P56" s="238"/>
      <c r="R56" s="11">
        <v>0</v>
      </c>
      <c r="S56" s="11">
        <v>0</v>
      </c>
      <c r="T56" s="11">
        <v>0</v>
      </c>
      <c r="U56" s="11">
        <v>0</v>
      </c>
      <c r="V56" s="11">
        <v>159.70400000000001</v>
      </c>
      <c r="W56" s="11">
        <v>158.917</v>
      </c>
      <c r="X56" s="11">
        <v>156.798</v>
      </c>
      <c r="Y56" s="11">
        <v>159.64099999999999</v>
      </c>
      <c r="Z56" s="11">
        <v>157.33000000000001</v>
      </c>
      <c r="AA56" s="11">
        <v>183.048</v>
      </c>
      <c r="AB56" s="11">
        <v>178.714</v>
      </c>
      <c r="AC56" s="11">
        <v>174.31700000000001</v>
      </c>
      <c r="AD56" s="11">
        <v>172.19800000000001</v>
      </c>
      <c r="AE56" s="11">
        <v>164.911</v>
      </c>
      <c r="AF56" s="11">
        <v>159.62700000000001</v>
      </c>
      <c r="AG56" s="11">
        <v>167.73</v>
      </c>
      <c r="AH56" s="11">
        <v>164.98599999999999</v>
      </c>
      <c r="AI56" s="11">
        <v>159.96799999999999</v>
      </c>
      <c r="AJ56" s="11">
        <v>153.72300000000001</v>
      </c>
      <c r="AK56" s="11">
        <v>154.50700000000001</v>
      </c>
      <c r="AL56" s="11">
        <v>155.30600000000001</v>
      </c>
      <c r="AM56" s="11">
        <v>152.50399999999999</v>
      </c>
      <c r="AN56" s="11">
        <v>155.09800000000001</v>
      </c>
      <c r="AO56" s="11">
        <v>152.21600000000001</v>
      </c>
      <c r="AP56" s="11">
        <v>149.41200000000001</v>
      </c>
      <c r="AQ56" s="238"/>
      <c r="AR56" s="238"/>
      <c r="AS56" s="238"/>
      <c r="AT56" s="238"/>
      <c r="AU56" s="238"/>
      <c r="AV56" s="238"/>
      <c r="AW56" s="238"/>
    </row>
    <row r="57" spans="2:51">
      <c r="B57" s="25" t="s">
        <v>113</v>
      </c>
      <c r="G57" s="139">
        <f ca="1">OFFSET(R57,0,MATCH($G$2,$R$3:$AW$3,0)-1)</f>
        <v>438.74799999999999</v>
      </c>
      <c r="H57" s="75">
        <f t="shared" ref="H57" ca="1" si="166">G57</f>
        <v>438.74799999999999</v>
      </c>
      <c r="J57" s="10">
        <f t="shared" si="159"/>
        <v>2.4950000000000001</v>
      </c>
      <c r="K57" s="10">
        <f t="shared" si="160"/>
        <v>2.0249999999999999</v>
      </c>
      <c r="L57" s="10">
        <f t="shared" si="161"/>
        <v>2.6890000000000001</v>
      </c>
      <c r="M57" s="10">
        <f t="shared" si="162"/>
        <v>2.1339999999999999</v>
      </c>
      <c r="N57" s="10">
        <f t="shared" si="163"/>
        <v>2.1709999999999998</v>
      </c>
      <c r="O57" s="10">
        <f t="shared" si="164"/>
        <v>2.5760000000000001</v>
      </c>
      <c r="P57" s="238"/>
      <c r="R57" s="11">
        <v>0</v>
      </c>
      <c r="S57" s="11">
        <v>0</v>
      </c>
      <c r="T57" s="11">
        <v>0</v>
      </c>
      <c r="U57" s="11">
        <v>2.4950000000000001</v>
      </c>
      <c r="V57" s="11">
        <v>0</v>
      </c>
      <c r="W57" s="11">
        <v>0</v>
      </c>
      <c r="X57" s="11">
        <v>0</v>
      </c>
      <c r="Y57" s="11">
        <v>2.0249999999999999</v>
      </c>
      <c r="Z57" s="11">
        <v>0</v>
      </c>
      <c r="AA57" s="11">
        <v>0</v>
      </c>
      <c r="AB57" s="11">
        <v>0</v>
      </c>
      <c r="AC57" s="11">
        <v>2.6890000000000001</v>
      </c>
      <c r="AD57" s="11">
        <v>0</v>
      </c>
      <c r="AE57" s="11">
        <v>0</v>
      </c>
      <c r="AF57" s="11">
        <v>0</v>
      </c>
      <c r="AG57" s="11">
        <v>2.1339999999999999</v>
      </c>
      <c r="AH57" s="11">
        <v>2.41</v>
      </c>
      <c r="AI57" s="11">
        <v>0</v>
      </c>
      <c r="AJ57" s="11">
        <v>0</v>
      </c>
      <c r="AK57" s="11">
        <v>2.1709999999999998</v>
      </c>
      <c r="AL57" s="11">
        <v>0</v>
      </c>
      <c r="AM57" s="11">
        <v>0</v>
      </c>
      <c r="AN57" s="11">
        <v>0</v>
      </c>
      <c r="AO57" s="11">
        <v>2.5760000000000001</v>
      </c>
      <c r="AP57" s="11">
        <v>438.74799999999999</v>
      </c>
      <c r="AQ57" s="238"/>
      <c r="AR57" s="238"/>
      <c r="AS57" s="238"/>
      <c r="AT57" s="238"/>
      <c r="AU57" s="238"/>
      <c r="AV57" s="238"/>
      <c r="AW57" s="238"/>
    </row>
    <row r="58" spans="2:51">
      <c r="B58" s="25" t="s">
        <v>196</v>
      </c>
      <c r="G58" s="139">
        <f ca="1">OFFSET(R58,0,MATCH($G$2,$R$3:$AW$3,0)-1)</f>
        <v>40.796999999999997</v>
      </c>
      <c r="H58" s="75">
        <f t="shared" ca="1" si="165"/>
        <v>40.796999999999997</v>
      </c>
      <c r="J58" s="10">
        <f t="shared" si="159"/>
        <v>953.82600000000002</v>
      </c>
      <c r="K58" s="10">
        <f t="shared" si="160"/>
        <v>953.82600000000002</v>
      </c>
      <c r="L58" s="10">
        <f t="shared" si="161"/>
        <v>657.8</v>
      </c>
      <c r="M58" s="10">
        <f t="shared" si="162"/>
        <v>438.74799999999999</v>
      </c>
      <c r="N58" s="10">
        <f t="shared" si="163"/>
        <v>438.74799999999999</v>
      </c>
      <c r="O58" s="10">
        <f t="shared" si="164"/>
        <v>438.74799999999999</v>
      </c>
      <c r="P58" s="238"/>
      <c r="R58" s="11">
        <v>935.755</v>
      </c>
      <c r="S58" s="11">
        <v>961.745</v>
      </c>
      <c r="T58" s="11">
        <v>960.00599999999997</v>
      </c>
      <c r="U58" s="11">
        <v>953.82600000000002</v>
      </c>
      <c r="V58" s="11">
        <v>953.82600000000002</v>
      </c>
      <c r="W58" s="11">
        <v>953.82600000000002</v>
      </c>
      <c r="X58" s="11">
        <v>953.82600000000002</v>
      </c>
      <c r="Y58" s="11">
        <v>953.82600000000002</v>
      </c>
      <c r="Z58" s="11">
        <v>704.09799999999996</v>
      </c>
      <c r="AA58" s="11">
        <v>657.83199999999999</v>
      </c>
      <c r="AB58" s="11">
        <v>657.8</v>
      </c>
      <c r="AC58" s="11">
        <v>657.8</v>
      </c>
      <c r="AD58" s="11">
        <v>657.8</v>
      </c>
      <c r="AE58" s="11">
        <v>657.8</v>
      </c>
      <c r="AF58" s="11">
        <v>438.74799999999999</v>
      </c>
      <c r="AG58" s="11">
        <v>438.74799999999999</v>
      </c>
      <c r="AH58" s="11">
        <v>438.74799999999999</v>
      </c>
      <c r="AI58" s="11">
        <v>438.74799999999999</v>
      </c>
      <c r="AJ58" s="11">
        <v>438.74799999999999</v>
      </c>
      <c r="AK58" s="11">
        <v>438.74799999999999</v>
      </c>
      <c r="AL58" s="11">
        <v>438.74799999999999</v>
      </c>
      <c r="AM58" s="11">
        <v>438.74799999999999</v>
      </c>
      <c r="AN58" s="11">
        <v>438.74799999999999</v>
      </c>
      <c r="AO58" s="11">
        <v>438.74799999999999</v>
      </c>
      <c r="AP58" s="11">
        <v>40.796999999999997</v>
      </c>
      <c r="AQ58" s="238"/>
      <c r="AR58" s="238"/>
      <c r="AS58" s="238"/>
      <c r="AT58" s="238"/>
      <c r="AU58" s="238"/>
      <c r="AV58" s="238"/>
      <c r="AW58" s="238"/>
    </row>
    <row r="59" spans="2:51">
      <c r="B59" s="26" t="s">
        <v>114</v>
      </c>
      <c r="C59" s="26"/>
      <c r="D59" s="26"/>
      <c r="E59" s="26"/>
      <c r="F59" s="26"/>
      <c r="G59" s="140">
        <f ca="1">OFFSET(R59,0,MATCH($G$2,$R$3:$AW$3,0)-1)</f>
        <v>88.081000000000003</v>
      </c>
      <c r="H59" s="128">
        <f t="shared" ca="1" si="165"/>
        <v>88.081000000000003</v>
      </c>
      <c r="I59" s="26"/>
      <c r="J59" s="12">
        <f t="shared" si="159"/>
        <v>278.98199999999997</v>
      </c>
      <c r="K59" s="12">
        <f t="shared" si="160"/>
        <v>268.916</v>
      </c>
      <c r="L59" s="12">
        <f t="shared" si="161"/>
        <v>124.327</v>
      </c>
      <c r="M59" s="12">
        <f t="shared" si="162"/>
        <v>108.071</v>
      </c>
      <c r="N59" s="12">
        <f t="shared" si="163"/>
        <v>114.277</v>
      </c>
      <c r="O59" s="12">
        <f t="shared" si="164"/>
        <v>132.39099999999999</v>
      </c>
      <c r="P59" s="239"/>
      <c r="Q59" s="26"/>
      <c r="R59" s="13">
        <v>278.22299999999996</v>
      </c>
      <c r="S59" s="13">
        <v>283.13299999999998</v>
      </c>
      <c r="T59" s="13">
        <v>278.30700000000002</v>
      </c>
      <c r="U59" s="13">
        <v>278.98199999999997</v>
      </c>
      <c r="V59" s="13">
        <v>276.47000000000003</v>
      </c>
      <c r="W59" s="13">
        <v>269.46500000000003</v>
      </c>
      <c r="X59" s="13">
        <v>264.99599999999998</v>
      </c>
      <c r="Y59" s="13">
        <v>268.916</v>
      </c>
      <c r="Z59" s="13">
        <v>131.34899999999999</v>
      </c>
      <c r="AA59" s="13">
        <v>121.792</v>
      </c>
      <c r="AB59" s="13">
        <v>125.74299999999999</v>
      </c>
      <c r="AC59" s="13">
        <v>124.327</v>
      </c>
      <c r="AD59" s="13">
        <v>118.298</v>
      </c>
      <c r="AE59" s="13">
        <v>119.155</v>
      </c>
      <c r="AF59" s="13">
        <v>107.669</v>
      </c>
      <c r="AG59" s="13">
        <v>108.071</v>
      </c>
      <c r="AH59" s="13">
        <v>103.413</v>
      </c>
      <c r="AI59" s="13">
        <v>101.533</v>
      </c>
      <c r="AJ59" s="13">
        <v>96.754999999999995</v>
      </c>
      <c r="AK59" s="13">
        <v>114.277</v>
      </c>
      <c r="AL59" s="13">
        <v>114.818</v>
      </c>
      <c r="AM59" s="13">
        <v>116.732</v>
      </c>
      <c r="AN59" s="13">
        <v>111.339</v>
      </c>
      <c r="AO59" s="13">
        <v>132.39099999999999</v>
      </c>
      <c r="AP59" s="13">
        <v>88.081000000000003</v>
      </c>
      <c r="AQ59" s="239"/>
      <c r="AR59" s="239"/>
      <c r="AS59" s="239"/>
      <c r="AT59" s="239"/>
      <c r="AU59" s="239"/>
      <c r="AV59" s="239"/>
      <c r="AW59" s="239"/>
    </row>
    <row r="60" spans="2:51">
      <c r="B60" s="1" t="s">
        <v>39</v>
      </c>
      <c r="G60" s="141">
        <f ca="1">G53+SUM(G55:G59)</f>
        <v>5775.8369999999995</v>
      </c>
      <c r="H60" s="74">
        <f ca="1">H53+SUM(H55:H59)</f>
        <v>5775.8369999999995</v>
      </c>
      <c r="J60" s="14">
        <f t="shared" ref="J60:O60" si="167">J53+SUM(J55:J59)</f>
        <v>5871.5939999999991</v>
      </c>
      <c r="K60" s="14">
        <f t="shared" si="167"/>
        <v>6079.0970000000007</v>
      </c>
      <c r="L60" s="14">
        <f t="shared" si="167"/>
        <v>5924.1739999999991</v>
      </c>
      <c r="M60" s="14">
        <f t="shared" si="167"/>
        <v>5399.0629999999992</v>
      </c>
      <c r="N60" s="14">
        <f t="shared" si="167"/>
        <v>5554.924</v>
      </c>
      <c r="O60" s="14">
        <f t="shared" si="167"/>
        <v>5722.1969999999992</v>
      </c>
      <c r="P60" s="238"/>
      <c r="R60" s="14">
        <f t="shared" ref="R60:AN60" si="168">R53+SUM(R55:R59)</f>
        <v>5714.5</v>
      </c>
      <c r="S60" s="14">
        <f t="shared" si="168"/>
        <v>5829.2759999999998</v>
      </c>
      <c r="T60" s="14">
        <f t="shared" si="168"/>
        <v>5854.3330000000005</v>
      </c>
      <c r="U60" s="14">
        <f t="shared" si="168"/>
        <v>5871.5939999999991</v>
      </c>
      <c r="V60" s="14">
        <f t="shared" si="168"/>
        <v>6300.6919999999991</v>
      </c>
      <c r="W60" s="14">
        <f t="shared" si="168"/>
        <v>6232.8860000000004</v>
      </c>
      <c r="X60" s="14">
        <f t="shared" si="168"/>
        <v>6127.8850000000002</v>
      </c>
      <c r="Y60" s="14">
        <f t="shared" si="168"/>
        <v>6079.0970000000007</v>
      </c>
      <c r="Z60" s="14">
        <f t="shared" si="168"/>
        <v>6137.5739999999996</v>
      </c>
      <c r="AA60" s="14">
        <f t="shared" si="168"/>
        <v>6017.0110000000004</v>
      </c>
      <c r="AB60" s="14">
        <f t="shared" si="168"/>
        <v>5981.1200000000008</v>
      </c>
      <c r="AC60" s="14">
        <f t="shared" si="168"/>
        <v>5924.1739999999991</v>
      </c>
      <c r="AD60" s="14">
        <f t="shared" si="168"/>
        <v>5788.0859999999993</v>
      </c>
      <c r="AE60" s="14">
        <f t="shared" si="168"/>
        <v>5767.8149999999996</v>
      </c>
      <c r="AF60" s="14">
        <f t="shared" si="168"/>
        <v>5389.8820000000005</v>
      </c>
      <c r="AG60" s="14">
        <f t="shared" si="168"/>
        <v>5399.0629999999992</v>
      </c>
      <c r="AH60" s="14">
        <f t="shared" si="168"/>
        <v>5385.2019999999993</v>
      </c>
      <c r="AI60" s="14">
        <f t="shared" si="168"/>
        <v>5405.1559999999999</v>
      </c>
      <c r="AJ60" s="14">
        <f t="shared" si="168"/>
        <v>5456.2979999999989</v>
      </c>
      <c r="AK60" s="14">
        <f t="shared" si="168"/>
        <v>5554.924</v>
      </c>
      <c r="AL60" s="14">
        <f t="shared" si="168"/>
        <v>5574.7480000000005</v>
      </c>
      <c r="AM60" s="14">
        <f t="shared" si="168"/>
        <v>5574.5789999999997</v>
      </c>
      <c r="AN60" s="14">
        <f t="shared" si="168"/>
        <v>5682.88</v>
      </c>
      <c r="AO60" s="14">
        <f t="shared" ref="AO60:AP60" si="169">AO53+SUM(AO55:AO59)</f>
        <v>5722.1969999999992</v>
      </c>
      <c r="AP60" s="14">
        <f t="shared" si="169"/>
        <v>5775.8369999999995</v>
      </c>
      <c r="AQ60" s="238"/>
      <c r="AR60" s="238"/>
      <c r="AS60" s="238"/>
      <c r="AT60" s="238"/>
      <c r="AU60" s="238"/>
      <c r="AV60" s="238"/>
      <c r="AW60" s="238"/>
    </row>
    <row r="61" spans="2:51">
      <c r="G61" s="241"/>
      <c r="H61" s="237"/>
      <c r="P61" s="238"/>
      <c r="AQ61" s="238"/>
      <c r="AR61" s="238"/>
      <c r="AS61" s="238"/>
      <c r="AT61" s="238"/>
      <c r="AU61" s="238"/>
      <c r="AV61" s="238"/>
      <c r="AW61" s="238"/>
    </row>
    <row r="62" spans="2:51">
      <c r="B62" s="25" t="s">
        <v>198</v>
      </c>
      <c r="G62" s="139">
        <f ca="1">OFFSET(R62,0,MATCH($G$2,$R$3:$AW$3,0)-1)</f>
        <v>8.6430000000000007</v>
      </c>
      <c r="H62" s="75">
        <f t="shared" ref="H62:H67" ca="1" si="170">G62</f>
        <v>8.6430000000000007</v>
      </c>
      <c r="J62" s="10">
        <f t="shared" ref="J62:J67" si="171">U62</f>
        <v>1.9E-2</v>
      </c>
      <c r="K62" s="10">
        <f t="shared" ref="K62:K67" si="172">Y62</f>
        <v>1.6E-2</v>
      </c>
      <c r="L62" s="10">
        <f t="shared" ref="L62:L67" si="173">AC62</f>
        <v>0.04</v>
      </c>
      <c r="M62" s="10">
        <f t="shared" ref="M62:M67" si="174">AG62</f>
        <v>1.9339999999999999</v>
      </c>
      <c r="N62" s="10">
        <f t="shared" ref="N62:N67" si="175">AK62</f>
        <v>3.2919999999999998</v>
      </c>
      <c r="O62" s="10">
        <f t="shared" ref="O62:O67" si="176">AO62</f>
        <v>8.0679999999999996</v>
      </c>
      <c r="P62" s="238"/>
      <c r="R62" s="11">
        <v>2.7E-2</v>
      </c>
      <c r="S62" s="11">
        <v>1.7000000000000001E-2</v>
      </c>
      <c r="T62" s="11">
        <v>0.50800000000000001</v>
      </c>
      <c r="U62" s="11">
        <v>1.9E-2</v>
      </c>
      <c r="V62" s="11">
        <v>1.7000000000000001E-2</v>
      </c>
      <c r="W62" s="11">
        <v>1.0999999999999999E-2</v>
      </c>
      <c r="X62" s="11">
        <v>1.4999999999999999E-2</v>
      </c>
      <c r="Y62" s="11">
        <v>1.6E-2</v>
      </c>
      <c r="Z62" s="11">
        <v>0</v>
      </c>
      <c r="AA62" s="11">
        <v>7.0000000000000001E-3</v>
      </c>
      <c r="AB62" s="11">
        <v>0.155</v>
      </c>
      <c r="AC62" s="11">
        <v>0.04</v>
      </c>
      <c r="AD62" s="11">
        <v>0.434</v>
      </c>
      <c r="AE62" s="11">
        <v>1.417</v>
      </c>
      <c r="AF62" s="11">
        <v>1.9830000000000001</v>
      </c>
      <c r="AG62" s="11">
        <v>1.9339999999999999</v>
      </c>
      <c r="AH62" s="11">
        <v>3.097</v>
      </c>
      <c r="AI62" s="11">
        <v>4.2060000000000004</v>
      </c>
      <c r="AJ62" s="11">
        <v>3.5990000000000002</v>
      </c>
      <c r="AK62" s="11">
        <v>3.2919999999999998</v>
      </c>
      <c r="AL62" s="11">
        <v>3.9830000000000001</v>
      </c>
      <c r="AM62" s="11">
        <v>7.4470000000000001</v>
      </c>
      <c r="AN62" s="11">
        <v>9.6080000000000005</v>
      </c>
      <c r="AO62" s="11">
        <v>8.0679999999999996</v>
      </c>
      <c r="AP62" s="11">
        <v>8.6430000000000007</v>
      </c>
      <c r="AQ62" s="238"/>
      <c r="AR62" s="238"/>
      <c r="AS62" s="238"/>
      <c r="AT62" s="238"/>
      <c r="AU62" s="238"/>
      <c r="AV62" s="238"/>
      <c r="AW62" s="238"/>
    </row>
    <row r="63" spans="2:51">
      <c r="B63" s="25" t="s">
        <v>156</v>
      </c>
      <c r="G63" s="139">
        <f t="shared" ref="G63:G64" ca="1" si="177">OFFSET(R63,0,MATCH($G$2,$R$3:$AW$3,0)-1)</f>
        <v>11.252000000000001</v>
      </c>
      <c r="H63" s="75">
        <f t="shared" ref="H63:H64" ca="1" si="178">G63</f>
        <v>11.252000000000001</v>
      </c>
      <c r="J63" s="10">
        <f t="shared" ref="J63:J64" si="179">U63</f>
        <v>2.794</v>
      </c>
      <c r="K63" s="10">
        <f t="shared" ref="K63:K64" si="180">Y63</f>
        <v>0.66500000000000004</v>
      </c>
      <c r="L63" s="10">
        <f t="shared" ref="L63:L64" si="181">AC63</f>
        <v>0.47399999999999998</v>
      </c>
      <c r="M63" s="10">
        <f t="shared" ref="M63:M64" si="182">AG63</f>
        <v>0</v>
      </c>
      <c r="N63" s="10">
        <f t="shared" ref="N63:N64" si="183">AK63</f>
        <v>0.32300000000000001</v>
      </c>
      <c r="O63" s="10">
        <f t="shared" si="176"/>
        <v>1.486</v>
      </c>
      <c r="P63" s="238"/>
      <c r="R63" s="11">
        <v>1.9359999999999999</v>
      </c>
      <c r="S63" s="11">
        <v>2.875</v>
      </c>
      <c r="T63" s="11">
        <v>3.7650000000000001</v>
      </c>
      <c r="U63" s="11">
        <v>2.794</v>
      </c>
      <c r="V63" s="11">
        <v>1.4410000000000001</v>
      </c>
      <c r="W63" s="11">
        <v>0.312</v>
      </c>
      <c r="X63" s="11">
        <v>1.196</v>
      </c>
      <c r="Y63" s="11">
        <v>0.66500000000000004</v>
      </c>
      <c r="Z63" s="11">
        <v>0.69799999999999995</v>
      </c>
      <c r="AA63" s="11">
        <v>0.69399999999999995</v>
      </c>
      <c r="AB63" s="11">
        <v>0.45900000000000002</v>
      </c>
      <c r="AC63" s="11">
        <v>0.47399999999999998</v>
      </c>
      <c r="AD63" s="11">
        <v>0.48899999999999999</v>
      </c>
      <c r="AE63" s="11">
        <v>0.497</v>
      </c>
      <c r="AF63" s="11">
        <v>0.499</v>
      </c>
      <c r="AG63" s="11">
        <v>0</v>
      </c>
      <c r="AH63" s="11">
        <v>9.2999999999999999E-2</v>
      </c>
      <c r="AI63" s="11">
        <v>0</v>
      </c>
      <c r="AJ63" s="11">
        <v>0</v>
      </c>
      <c r="AK63" s="11">
        <v>0.32300000000000001</v>
      </c>
      <c r="AL63" s="11">
        <v>1.1060000000000001</v>
      </c>
      <c r="AM63" s="11">
        <v>0</v>
      </c>
      <c r="AN63" s="11">
        <v>2.2469999999999999</v>
      </c>
      <c r="AO63" s="11">
        <v>1.486</v>
      </c>
      <c r="AP63" s="11">
        <v>11.252000000000001</v>
      </c>
      <c r="AQ63" s="238"/>
      <c r="AR63" s="238"/>
      <c r="AS63" s="238"/>
      <c r="AT63" s="238"/>
      <c r="AU63" s="238"/>
      <c r="AV63" s="238"/>
      <c r="AW63" s="238"/>
    </row>
    <row r="64" spans="2:51">
      <c r="B64" s="25" t="s">
        <v>199</v>
      </c>
      <c r="G64" s="139">
        <f t="shared" ca="1" si="177"/>
        <v>249.64400000000001</v>
      </c>
      <c r="H64" s="75">
        <f t="shared" ca="1" si="178"/>
        <v>249.64400000000001</v>
      </c>
      <c r="J64" s="10">
        <f t="shared" si="179"/>
        <v>278.05700000000002</v>
      </c>
      <c r="K64" s="10">
        <f t="shared" si="180"/>
        <v>206.77799999999999</v>
      </c>
      <c r="L64" s="10">
        <f t="shared" si="181"/>
        <v>162.50700000000001</v>
      </c>
      <c r="M64" s="10">
        <f t="shared" si="182"/>
        <v>199.08799999999999</v>
      </c>
      <c r="N64" s="10">
        <f t="shared" si="183"/>
        <v>278.08100000000002</v>
      </c>
      <c r="O64" s="10">
        <f t="shared" si="176"/>
        <v>269.37799999999999</v>
      </c>
      <c r="P64" s="238"/>
      <c r="R64" s="11">
        <v>251.916</v>
      </c>
      <c r="S64" s="11">
        <v>263.47000000000003</v>
      </c>
      <c r="T64" s="11">
        <v>250.68100000000001</v>
      </c>
      <c r="U64" s="11">
        <v>278.05700000000002</v>
      </c>
      <c r="V64" s="11">
        <v>275.57</v>
      </c>
      <c r="W64" s="11">
        <v>212.14699999999999</v>
      </c>
      <c r="X64" s="11">
        <v>212.279</v>
      </c>
      <c r="Y64" s="11">
        <v>206.77799999999999</v>
      </c>
      <c r="Z64" s="11">
        <v>227.02</v>
      </c>
      <c r="AA64" s="11">
        <v>177.29</v>
      </c>
      <c r="AB64" s="11">
        <v>156.94999999999999</v>
      </c>
      <c r="AC64" s="11">
        <v>162.50700000000001</v>
      </c>
      <c r="AD64" s="11">
        <v>175.89</v>
      </c>
      <c r="AE64" s="11">
        <v>188.72399999999999</v>
      </c>
      <c r="AF64" s="11">
        <v>181.31299999999999</v>
      </c>
      <c r="AG64" s="11">
        <v>199.08799999999999</v>
      </c>
      <c r="AH64" s="11">
        <v>218.90700000000001</v>
      </c>
      <c r="AI64" s="11">
        <v>234.64</v>
      </c>
      <c r="AJ64" s="11">
        <v>241.62299999999999</v>
      </c>
      <c r="AK64" s="11">
        <v>278.08100000000002</v>
      </c>
      <c r="AL64" s="11">
        <v>278.46699999999998</v>
      </c>
      <c r="AM64" s="11">
        <v>279.51900000000001</v>
      </c>
      <c r="AN64" s="11">
        <v>258.12599999999998</v>
      </c>
      <c r="AO64" s="11">
        <v>269.37799999999999</v>
      </c>
      <c r="AP64" s="11">
        <v>249.64400000000001</v>
      </c>
      <c r="AQ64" s="238"/>
      <c r="AR64" s="238"/>
      <c r="AS64" s="238"/>
      <c r="AT64" s="238"/>
      <c r="AU64" s="238"/>
      <c r="AV64" s="238"/>
      <c r="AW64" s="238"/>
    </row>
    <row r="65" spans="2:49">
      <c r="B65" s="25" t="s">
        <v>200</v>
      </c>
      <c r="G65" s="139">
        <f ca="1">OFFSET(R65,0,MATCH($G$2,$R$3:$AW$3,0)-1)</f>
        <v>194.81899999999999</v>
      </c>
      <c r="H65" s="75">
        <f t="shared" ref="H65:H66" ca="1" si="184">G65</f>
        <v>194.81899999999999</v>
      </c>
      <c r="J65" s="10">
        <f t="shared" si="171"/>
        <v>246.78900000000002</v>
      </c>
      <c r="K65" s="10">
        <f t="shared" si="172"/>
        <v>236.35000000000002</v>
      </c>
      <c r="L65" s="10">
        <f t="shared" si="173"/>
        <v>224.85500000000002</v>
      </c>
      <c r="M65" s="10">
        <f t="shared" si="174"/>
        <v>236.078</v>
      </c>
      <c r="N65" s="10">
        <f t="shared" si="175"/>
        <v>204.75200000000001</v>
      </c>
      <c r="O65" s="10">
        <f t="shared" si="176"/>
        <v>228.94600000000003</v>
      </c>
      <c r="P65" s="238"/>
      <c r="R65" s="11">
        <v>196.06299999999999</v>
      </c>
      <c r="S65" s="11">
        <v>228.791</v>
      </c>
      <c r="T65" s="11">
        <v>237.12899999999999</v>
      </c>
      <c r="U65" s="11">
        <v>246.78900000000002</v>
      </c>
      <c r="V65" s="11">
        <v>204.72399999999999</v>
      </c>
      <c r="W65" s="11">
        <v>225.232</v>
      </c>
      <c r="X65" s="11">
        <v>225.40199999999999</v>
      </c>
      <c r="Y65" s="11">
        <v>236.35000000000002</v>
      </c>
      <c r="Z65" s="11">
        <v>205.667</v>
      </c>
      <c r="AA65" s="11">
        <v>230.29599999999999</v>
      </c>
      <c r="AB65" s="11">
        <v>228.76400000000001</v>
      </c>
      <c r="AC65" s="11">
        <v>224.85500000000002</v>
      </c>
      <c r="AD65" s="11">
        <v>198.48699999999999</v>
      </c>
      <c r="AE65" s="11">
        <v>231.60300000000001</v>
      </c>
      <c r="AF65" s="11">
        <v>228.375</v>
      </c>
      <c r="AG65" s="11">
        <v>236.078</v>
      </c>
      <c r="AH65" s="11">
        <v>188.30199999999999</v>
      </c>
      <c r="AI65" s="11">
        <v>198.191</v>
      </c>
      <c r="AJ65" s="11">
        <v>209.72399999999999</v>
      </c>
      <c r="AK65" s="11">
        <v>204.75200000000001</v>
      </c>
      <c r="AL65" s="11">
        <v>173.99199999999999</v>
      </c>
      <c r="AM65" s="11">
        <v>205.25399999999999</v>
      </c>
      <c r="AN65" s="11">
        <v>199.124</v>
      </c>
      <c r="AO65" s="11">
        <v>228.94600000000003</v>
      </c>
      <c r="AP65" s="11">
        <v>194.81899999999999</v>
      </c>
      <c r="AQ65" s="238"/>
      <c r="AR65" s="238"/>
      <c r="AS65" s="238"/>
      <c r="AT65" s="238"/>
      <c r="AU65" s="238"/>
      <c r="AV65" s="238"/>
      <c r="AW65" s="238"/>
    </row>
    <row r="66" spans="2:49">
      <c r="B66" s="25" t="s">
        <v>157</v>
      </c>
      <c r="G66" s="139">
        <f ca="1">OFFSET(R66,0,MATCH($G$2,$R$3:$AW$3,0)-1)</f>
        <v>32.600999999999999</v>
      </c>
      <c r="H66" s="75">
        <f t="shared" ca="1" si="184"/>
        <v>32.600999999999999</v>
      </c>
      <c r="J66" s="10">
        <f t="shared" si="171"/>
        <v>0</v>
      </c>
      <c r="K66" s="10">
        <f t="shared" si="172"/>
        <v>27.324000000000002</v>
      </c>
      <c r="L66" s="10">
        <f t="shared" si="173"/>
        <v>32.75</v>
      </c>
      <c r="M66" s="10">
        <f t="shared" si="174"/>
        <v>33.902000000000001</v>
      </c>
      <c r="N66" s="10">
        <f t="shared" si="175"/>
        <v>36.444000000000003</v>
      </c>
      <c r="O66" s="10">
        <f t="shared" si="176"/>
        <v>33.340000000000003</v>
      </c>
      <c r="P66" s="238"/>
      <c r="R66" s="11">
        <v>0</v>
      </c>
      <c r="S66" s="11">
        <v>0</v>
      </c>
      <c r="T66" s="11">
        <v>0</v>
      </c>
      <c r="U66" s="11">
        <v>0</v>
      </c>
      <c r="V66" s="11">
        <v>28.585999999999999</v>
      </c>
      <c r="W66" s="11">
        <v>29.422000000000001</v>
      </c>
      <c r="X66" s="11">
        <v>29.001000000000001</v>
      </c>
      <c r="Y66" s="11">
        <v>27.324000000000002</v>
      </c>
      <c r="Z66" s="11">
        <v>25.919999999999998</v>
      </c>
      <c r="AA66" s="11">
        <v>33.761000000000003</v>
      </c>
      <c r="AB66" s="11">
        <v>32.545000000000002</v>
      </c>
      <c r="AC66" s="11">
        <v>32.75</v>
      </c>
      <c r="AD66" s="11">
        <v>32.722000000000001</v>
      </c>
      <c r="AE66" s="11">
        <v>31.963000000000001</v>
      </c>
      <c r="AF66" s="11">
        <v>32.813000000000002</v>
      </c>
      <c r="AG66" s="11">
        <v>33.902000000000001</v>
      </c>
      <c r="AH66" s="11">
        <v>34.454000000000001</v>
      </c>
      <c r="AI66" s="11">
        <v>34.667000000000002</v>
      </c>
      <c r="AJ66" s="11">
        <v>33.494999999999997</v>
      </c>
      <c r="AK66" s="11">
        <v>36.444000000000003</v>
      </c>
      <c r="AL66" s="11">
        <v>32.884999999999998</v>
      </c>
      <c r="AM66" s="11">
        <v>33.134</v>
      </c>
      <c r="AN66" s="11">
        <v>32.17</v>
      </c>
      <c r="AO66" s="11">
        <v>33.340000000000003</v>
      </c>
      <c r="AP66" s="11">
        <v>32.600999999999999</v>
      </c>
      <c r="AQ66" s="238"/>
      <c r="AR66" s="238"/>
      <c r="AS66" s="238"/>
      <c r="AT66" s="238"/>
      <c r="AU66" s="238"/>
      <c r="AV66" s="238"/>
      <c r="AW66" s="238"/>
    </row>
    <row r="67" spans="2:49">
      <c r="B67" s="26" t="s">
        <v>201</v>
      </c>
      <c r="C67" s="26"/>
      <c r="D67" s="26"/>
      <c r="E67" s="26"/>
      <c r="F67" s="26"/>
      <c r="G67" s="140">
        <f ca="1">OFFSET(R67,0,MATCH($G$2,$R$3:$AW$3,0)-1)</f>
        <v>153.435</v>
      </c>
      <c r="H67" s="128">
        <f t="shared" ca="1" si="170"/>
        <v>153.435</v>
      </c>
      <c r="I67" s="26"/>
      <c r="J67" s="12">
        <f t="shared" si="171"/>
        <v>80.123000000000005</v>
      </c>
      <c r="K67" s="12">
        <f t="shared" si="172"/>
        <v>42.981999999999999</v>
      </c>
      <c r="L67" s="12">
        <f t="shared" si="173"/>
        <v>45.405999999999999</v>
      </c>
      <c r="M67" s="12">
        <f t="shared" si="174"/>
        <v>72.77</v>
      </c>
      <c r="N67" s="12">
        <f t="shared" si="175"/>
        <v>119.30500000000001</v>
      </c>
      <c r="O67" s="12">
        <f t="shared" si="176"/>
        <v>134.577</v>
      </c>
      <c r="P67" s="239"/>
      <c r="Q67" s="26"/>
      <c r="R67" s="13">
        <v>81.215999999999994</v>
      </c>
      <c r="S67" s="13">
        <v>61.164999999999999</v>
      </c>
      <c r="T67" s="13">
        <v>75.843000000000004</v>
      </c>
      <c r="U67" s="13">
        <v>80.123000000000005</v>
      </c>
      <c r="V67" s="13">
        <v>72.385999999999996</v>
      </c>
      <c r="W67" s="13">
        <v>58.908999999999999</v>
      </c>
      <c r="X67" s="13">
        <v>49.097999999999999</v>
      </c>
      <c r="Y67" s="13">
        <v>42.981999999999999</v>
      </c>
      <c r="Z67" s="13">
        <v>37.027000000000001</v>
      </c>
      <c r="AA67" s="13">
        <v>36.648000000000003</v>
      </c>
      <c r="AB67" s="13">
        <v>31.192</v>
      </c>
      <c r="AC67" s="13">
        <v>45.405999999999999</v>
      </c>
      <c r="AD67" s="13">
        <v>45.420999999999999</v>
      </c>
      <c r="AE67" s="13">
        <v>44.018000000000001</v>
      </c>
      <c r="AF67" s="13">
        <v>67.213999999999999</v>
      </c>
      <c r="AG67" s="13">
        <v>72.77</v>
      </c>
      <c r="AH67" s="13">
        <v>68.981999999999999</v>
      </c>
      <c r="AI67" s="13">
        <v>69.668000000000006</v>
      </c>
      <c r="AJ67" s="13">
        <v>82.12</v>
      </c>
      <c r="AK67" s="13">
        <v>119.30500000000001</v>
      </c>
      <c r="AL67" s="13">
        <v>124.355</v>
      </c>
      <c r="AM67" s="13">
        <v>130.94300000000001</v>
      </c>
      <c r="AN67" s="13">
        <v>134.577</v>
      </c>
      <c r="AO67" s="13">
        <v>134.577</v>
      </c>
      <c r="AP67" s="13">
        <v>153.435</v>
      </c>
      <c r="AQ67" s="239"/>
      <c r="AR67" s="239"/>
      <c r="AS67" s="239"/>
      <c r="AT67" s="239"/>
      <c r="AU67" s="239"/>
      <c r="AV67" s="239"/>
      <c r="AW67" s="239"/>
    </row>
    <row r="68" spans="2:49">
      <c r="B68" s="1" t="s">
        <v>115</v>
      </c>
      <c r="G68" s="141">
        <f ca="1">SUM(G62:G67)</f>
        <v>650.39400000000001</v>
      </c>
      <c r="H68" s="74">
        <f ca="1">SUM(H62:H67)</f>
        <v>650.39400000000001</v>
      </c>
      <c r="J68" s="14">
        <f t="shared" ref="J68:O68" si="185">SUM(J62:J67)</f>
        <v>607.78200000000004</v>
      </c>
      <c r="K68" s="14">
        <f t="shared" si="185"/>
        <v>514.11500000000001</v>
      </c>
      <c r="L68" s="14">
        <f t="shared" si="185"/>
        <v>466.03200000000004</v>
      </c>
      <c r="M68" s="14">
        <f t="shared" si="185"/>
        <v>543.77200000000005</v>
      </c>
      <c r="N68" s="14">
        <f t="shared" si="185"/>
        <v>642.19700000000012</v>
      </c>
      <c r="O68" s="14">
        <f t="shared" si="185"/>
        <v>675.79499999999996</v>
      </c>
      <c r="P68" s="238"/>
      <c r="R68" s="14">
        <f t="shared" ref="R68:Y68" si="186">SUM(R62:R67)</f>
        <v>531.15800000000002</v>
      </c>
      <c r="S68" s="14">
        <f t="shared" si="186"/>
        <v>556.31799999999998</v>
      </c>
      <c r="T68" s="14">
        <f t="shared" si="186"/>
        <v>567.92599999999993</v>
      </c>
      <c r="U68" s="14">
        <f t="shared" si="186"/>
        <v>607.78200000000004</v>
      </c>
      <c r="V68" s="14">
        <f t="shared" si="186"/>
        <v>582.72400000000005</v>
      </c>
      <c r="W68" s="14">
        <f t="shared" si="186"/>
        <v>526.03300000000002</v>
      </c>
      <c r="X68" s="14">
        <f t="shared" si="186"/>
        <v>516.99099999999999</v>
      </c>
      <c r="Y68" s="14">
        <f t="shared" si="186"/>
        <v>514.11500000000001</v>
      </c>
      <c r="Z68" s="14">
        <f t="shared" ref="Z68:AP68" si="187">SUM(Z62:Z67)</f>
        <v>496.33199999999999</v>
      </c>
      <c r="AA68" s="14">
        <f t="shared" si="187"/>
        <v>478.69600000000003</v>
      </c>
      <c r="AB68" s="14">
        <f t="shared" si="187"/>
        <v>450.065</v>
      </c>
      <c r="AC68" s="14">
        <f t="shared" si="187"/>
        <v>466.03200000000004</v>
      </c>
      <c r="AD68" s="14">
        <f t="shared" si="187"/>
        <v>453.44299999999993</v>
      </c>
      <c r="AE68" s="14">
        <f t="shared" si="187"/>
        <v>498.22199999999998</v>
      </c>
      <c r="AF68" s="14">
        <f t="shared" si="187"/>
        <v>512.19699999999989</v>
      </c>
      <c r="AG68" s="14">
        <f t="shared" si="187"/>
        <v>543.77200000000005</v>
      </c>
      <c r="AH68" s="14">
        <f t="shared" si="187"/>
        <v>513.83500000000004</v>
      </c>
      <c r="AI68" s="14">
        <f t="shared" si="187"/>
        <v>541.37199999999996</v>
      </c>
      <c r="AJ68" s="14">
        <f t="shared" si="187"/>
        <v>570.56099999999992</v>
      </c>
      <c r="AK68" s="14">
        <f t="shared" si="187"/>
        <v>642.19700000000012</v>
      </c>
      <c r="AL68" s="14">
        <f t="shared" si="187"/>
        <v>614.78800000000001</v>
      </c>
      <c r="AM68" s="14">
        <f t="shared" si="187"/>
        <v>656.29700000000003</v>
      </c>
      <c r="AN68" s="14">
        <f t="shared" si="187"/>
        <v>635.85200000000009</v>
      </c>
      <c r="AO68" s="14">
        <f t="shared" si="187"/>
        <v>675.79499999999996</v>
      </c>
      <c r="AP68" s="14">
        <f t="shared" si="187"/>
        <v>650.39400000000001</v>
      </c>
      <c r="AQ68" s="238"/>
      <c r="AR68" s="238"/>
      <c r="AS68" s="238"/>
      <c r="AT68" s="238"/>
      <c r="AU68" s="238"/>
      <c r="AV68" s="238"/>
      <c r="AW68" s="238"/>
    </row>
    <row r="69" spans="2:49">
      <c r="B69" s="1"/>
      <c r="G69" s="241"/>
      <c r="H69" s="237"/>
      <c r="P69" s="238"/>
      <c r="AQ69" s="238"/>
      <c r="AR69" s="238"/>
      <c r="AS69" s="238"/>
      <c r="AT69" s="238"/>
      <c r="AU69" s="238"/>
      <c r="AV69" s="238"/>
      <c r="AW69" s="238"/>
    </row>
    <row r="70" spans="2:49">
      <c r="B70" s="25" t="s">
        <v>158</v>
      </c>
      <c r="G70" s="139">
        <f ca="1">OFFSET(R70,0,MATCH($G$2,$R$3:$AW$3,0)-1)</f>
        <v>1051.8219999999999</v>
      </c>
      <c r="H70" s="75">
        <f t="shared" ref="H70:H73" ca="1" si="188">G70</f>
        <v>1051.8219999999999</v>
      </c>
      <c r="J70" s="15">
        <f t="shared" ref="J70:J73" si="189">U70</f>
        <v>1410.1690000000001</v>
      </c>
      <c r="K70" s="15">
        <f t="shared" ref="K70:K73" si="190">Y70</f>
        <v>1369.751</v>
      </c>
      <c r="L70" s="15">
        <f t="shared" ref="L70:L73" si="191">AC70</f>
        <v>1468.546</v>
      </c>
      <c r="M70" s="15">
        <f t="shared" ref="M70:M73" si="192">AG70</f>
        <v>1161.433</v>
      </c>
      <c r="N70" s="15">
        <f t="shared" ref="N70:N73" si="193">AK70</f>
        <v>1076.326</v>
      </c>
      <c r="O70" s="15">
        <f t="shared" ref="O70:O73" si="194">AO70</f>
        <v>1008.527</v>
      </c>
      <c r="P70" s="238"/>
      <c r="R70" s="11">
        <v>1423.2670000000001</v>
      </c>
      <c r="S70" s="11">
        <v>1442.5129999999999</v>
      </c>
      <c r="T70" s="11">
        <v>1399.423</v>
      </c>
      <c r="U70" s="11">
        <v>1410.1690000000001</v>
      </c>
      <c r="V70" s="11">
        <v>1667.4570000000001</v>
      </c>
      <c r="W70" s="11">
        <v>1594.6949999999999</v>
      </c>
      <c r="X70" s="11">
        <v>1434.4169999999999</v>
      </c>
      <c r="Y70" s="11">
        <v>1369.751</v>
      </c>
      <c r="Z70" s="11">
        <v>1702.4760000000001</v>
      </c>
      <c r="AA70" s="11">
        <v>1642.8320000000001</v>
      </c>
      <c r="AB70" s="11">
        <v>1578.1890000000001</v>
      </c>
      <c r="AC70" s="11">
        <v>1468.546</v>
      </c>
      <c r="AD70" s="11">
        <v>1348.904</v>
      </c>
      <c r="AE70" s="11">
        <v>1274.2619999999999</v>
      </c>
      <c r="AF70" s="11">
        <v>1206.193</v>
      </c>
      <c r="AG70" s="11">
        <v>1161.433</v>
      </c>
      <c r="AH70" s="11">
        <v>1151.6379999999999</v>
      </c>
      <c r="AI70" s="11">
        <v>1131.8489999999999</v>
      </c>
      <c r="AJ70" s="11">
        <v>1114.8599999999999</v>
      </c>
      <c r="AK70" s="11">
        <v>1076.326</v>
      </c>
      <c r="AL70" s="11">
        <v>1075.6579999999999</v>
      </c>
      <c r="AM70" s="11">
        <v>990.95399999999995</v>
      </c>
      <c r="AN70" s="11">
        <v>1058.248</v>
      </c>
      <c r="AO70" s="11">
        <v>1008.527</v>
      </c>
      <c r="AP70" s="11">
        <v>1051.8219999999999</v>
      </c>
      <c r="AQ70" s="238"/>
      <c r="AR70" s="238"/>
      <c r="AS70" s="238"/>
      <c r="AT70" s="238"/>
      <c r="AU70" s="238"/>
      <c r="AV70" s="238"/>
      <c r="AW70" s="238"/>
    </row>
    <row r="71" spans="2:49">
      <c r="B71" s="25" t="s">
        <v>155</v>
      </c>
      <c r="G71" s="139">
        <f ca="1">OFFSET(R71,0,MATCH($G$2,$R$3:$AW$3,0)-1)</f>
        <v>705.83399999999995</v>
      </c>
      <c r="H71" s="75">
        <f t="shared" ca="1" si="188"/>
        <v>705.83399999999995</v>
      </c>
      <c r="J71" s="15">
        <f t="shared" si="189"/>
        <v>542.78499999999997</v>
      </c>
      <c r="K71" s="15">
        <f t="shared" si="190"/>
        <v>588.20399999999995</v>
      </c>
      <c r="L71" s="15">
        <f t="shared" si="191"/>
        <v>606.84400000000005</v>
      </c>
      <c r="M71" s="15">
        <f t="shared" si="192"/>
        <v>574.15200000000004</v>
      </c>
      <c r="N71" s="15">
        <f t="shared" si="193"/>
        <v>625.88400000000001</v>
      </c>
      <c r="O71" s="15">
        <f t="shared" si="194"/>
        <v>696.55700000000002</v>
      </c>
      <c r="P71" s="238"/>
      <c r="R71" s="11">
        <v>517.42100000000005</v>
      </c>
      <c r="S71" s="11">
        <v>531.28399999999999</v>
      </c>
      <c r="T71" s="11">
        <v>544.88199999999995</v>
      </c>
      <c r="U71" s="11">
        <v>542.78499999999997</v>
      </c>
      <c r="V71" s="11">
        <v>555.41399999999999</v>
      </c>
      <c r="W71" s="11">
        <v>570.95399999999995</v>
      </c>
      <c r="X71" s="11">
        <v>585.50699999999995</v>
      </c>
      <c r="Y71" s="11">
        <v>588.20399999999995</v>
      </c>
      <c r="Z71" s="11">
        <v>582.15</v>
      </c>
      <c r="AA71" s="11">
        <v>568.81600000000003</v>
      </c>
      <c r="AB71" s="11">
        <v>591.346</v>
      </c>
      <c r="AC71" s="11">
        <v>606.84400000000005</v>
      </c>
      <c r="AD71" s="11">
        <v>606.56100000000004</v>
      </c>
      <c r="AE71" s="11">
        <v>612.68200000000002</v>
      </c>
      <c r="AF71" s="11">
        <v>552.91300000000001</v>
      </c>
      <c r="AG71" s="11">
        <v>574.15200000000004</v>
      </c>
      <c r="AH71" s="11">
        <v>580.01400000000001</v>
      </c>
      <c r="AI71" s="11">
        <v>590.87599999999998</v>
      </c>
      <c r="AJ71" s="11">
        <v>604.596</v>
      </c>
      <c r="AK71" s="11">
        <v>625.88400000000001</v>
      </c>
      <c r="AL71" s="11">
        <v>638.43799999999999</v>
      </c>
      <c r="AM71" s="11">
        <v>656.52800000000002</v>
      </c>
      <c r="AN71" s="11">
        <v>672.71100000000001</v>
      </c>
      <c r="AO71" s="11">
        <v>696.55700000000002</v>
      </c>
      <c r="AP71" s="11">
        <v>705.83399999999995</v>
      </c>
      <c r="AQ71" s="238"/>
      <c r="AR71" s="238"/>
      <c r="AS71" s="238"/>
      <c r="AT71" s="238"/>
      <c r="AU71" s="238"/>
      <c r="AV71" s="238"/>
      <c r="AW71" s="238"/>
    </row>
    <row r="72" spans="2:49">
      <c r="B72" s="25" t="s">
        <v>202</v>
      </c>
      <c r="G72" s="139">
        <f ca="1">OFFSET(R72,0,MATCH($G$2,$R$3:$AW$3,0)-1)</f>
        <v>136.97999999999999</v>
      </c>
      <c r="H72" s="75">
        <f t="shared" ref="H72" ca="1" si="195">G72</f>
        <v>136.97999999999999</v>
      </c>
      <c r="J72" s="15">
        <f t="shared" si="189"/>
        <v>0</v>
      </c>
      <c r="K72" s="15">
        <f t="shared" si="190"/>
        <v>139.45699999999999</v>
      </c>
      <c r="L72" s="15">
        <f t="shared" si="191"/>
        <v>163.49600000000001</v>
      </c>
      <c r="M72" s="15">
        <f t="shared" si="192"/>
        <v>159.672</v>
      </c>
      <c r="N72" s="15">
        <f t="shared" si="193"/>
        <v>142.13999999999999</v>
      </c>
      <c r="O72" s="15">
        <f t="shared" si="194"/>
        <v>138.81100000000001</v>
      </c>
      <c r="P72" s="238"/>
      <c r="R72" s="11">
        <v>0</v>
      </c>
      <c r="S72" s="11">
        <v>0</v>
      </c>
      <c r="T72" s="11">
        <v>0</v>
      </c>
      <c r="U72" s="11">
        <v>0</v>
      </c>
      <c r="V72" s="11">
        <v>139.19200000000001</v>
      </c>
      <c r="W72" s="11">
        <v>136.97</v>
      </c>
      <c r="X72" s="11">
        <v>135.017</v>
      </c>
      <c r="Y72" s="11">
        <v>139.45699999999999</v>
      </c>
      <c r="Z72" s="11">
        <v>138.88399999999999</v>
      </c>
      <c r="AA72" s="11">
        <v>171.62899999999999</v>
      </c>
      <c r="AB72" s="11">
        <v>167.88399999999999</v>
      </c>
      <c r="AC72" s="11">
        <v>163.49600000000001</v>
      </c>
      <c r="AD72" s="11">
        <v>161.13300000000001</v>
      </c>
      <c r="AE72" s="11">
        <v>153.45699999999999</v>
      </c>
      <c r="AF72" s="11">
        <v>152.61500000000001</v>
      </c>
      <c r="AG72" s="11">
        <v>159.672</v>
      </c>
      <c r="AH72" s="11">
        <v>156.27099999999999</v>
      </c>
      <c r="AI72" s="11">
        <v>150.35499999999999</v>
      </c>
      <c r="AJ72" s="11">
        <v>144.20099999999999</v>
      </c>
      <c r="AK72" s="11">
        <v>142.13999999999999</v>
      </c>
      <c r="AL72" s="11">
        <v>146.44499999999999</v>
      </c>
      <c r="AM72" s="11">
        <v>142.47</v>
      </c>
      <c r="AN72" s="11">
        <v>142.23699999999999</v>
      </c>
      <c r="AO72" s="11">
        <v>138.81100000000001</v>
      </c>
      <c r="AP72" s="11">
        <v>136.97999999999999</v>
      </c>
      <c r="AQ72" s="238"/>
      <c r="AR72" s="238"/>
      <c r="AS72" s="238"/>
      <c r="AT72" s="238"/>
      <c r="AU72" s="238"/>
      <c r="AV72" s="238"/>
      <c r="AW72" s="238"/>
    </row>
    <row r="73" spans="2:49">
      <c r="B73" s="26" t="s">
        <v>203</v>
      </c>
      <c r="C73" s="26"/>
      <c r="D73" s="26"/>
      <c r="E73" s="26"/>
      <c r="F73" s="26"/>
      <c r="G73" s="140">
        <f ca="1">OFFSET(R73,0,MATCH($G$2,$R$3:$AW$3,0)-1)</f>
        <v>14.066000000000001</v>
      </c>
      <c r="H73" s="128">
        <f t="shared" ca="1" si="188"/>
        <v>14.066000000000001</v>
      </c>
      <c r="I73" s="26"/>
      <c r="J73" s="12">
        <f t="shared" si="189"/>
        <v>94.457000000000008</v>
      </c>
      <c r="K73" s="12">
        <f t="shared" si="190"/>
        <v>95.977999999999994</v>
      </c>
      <c r="L73" s="12">
        <f t="shared" si="191"/>
        <v>131.703</v>
      </c>
      <c r="M73" s="12">
        <f t="shared" si="192"/>
        <v>71.251999999999995</v>
      </c>
      <c r="N73" s="12">
        <f t="shared" si="193"/>
        <v>23.209</v>
      </c>
      <c r="O73" s="12">
        <f t="shared" si="194"/>
        <v>15.83</v>
      </c>
      <c r="P73" s="239"/>
      <c r="Q73" s="26"/>
      <c r="R73" s="13">
        <v>100.786</v>
      </c>
      <c r="S73" s="13">
        <v>111.47</v>
      </c>
      <c r="T73" s="13">
        <v>108.953</v>
      </c>
      <c r="U73" s="13">
        <v>94.457000000000008</v>
      </c>
      <c r="V73" s="13">
        <v>90.497</v>
      </c>
      <c r="W73" s="13">
        <v>82.066000000000003</v>
      </c>
      <c r="X73" s="13">
        <v>81.454999999999998</v>
      </c>
      <c r="Y73" s="13">
        <v>95.977999999999994</v>
      </c>
      <c r="Z73" s="13">
        <v>93.207999999999998</v>
      </c>
      <c r="AA73" s="13">
        <v>103.054</v>
      </c>
      <c r="AB73" s="13">
        <v>115.26900000000001</v>
      </c>
      <c r="AC73" s="13">
        <v>131.703</v>
      </c>
      <c r="AD73" s="13">
        <v>129.30099999999999</v>
      </c>
      <c r="AE73" s="13">
        <v>123.863</v>
      </c>
      <c r="AF73" s="13">
        <v>119.74</v>
      </c>
      <c r="AG73" s="13">
        <v>71.251999999999995</v>
      </c>
      <c r="AH73" s="13">
        <v>69.168999999999997</v>
      </c>
      <c r="AI73" s="13">
        <v>60.96</v>
      </c>
      <c r="AJ73" s="13">
        <v>46.716999999999999</v>
      </c>
      <c r="AK73" s="13">
        <v>23.209</v>
      </c>
      <c r="AL73" s="13">
        <v>14.279</v>
      </c>
      <c r="AM73" s="13">
        <v>15.521000000000001</v>
      </c>
      <c r="AN73" s="13">
        <v>15.75</v>
      </c>
      <c r="AO73" s="13">
        <v>15.83</v>
      </c>
      <c r="AP73" s="13">
        <v>14.066000000000001</v>
      </c>
      <c r="AQ73" s="239"/>
      <c r="AR73" s="239"/>
      <c r="AS73" s="239"/>
      <c r="AT73" s="239"/>
      <c r="AU73" s="239"/>
      <c r="AV73" s="239"/>
      <c r="AW73" s="239"/>
    </row>
    <row r="74" spans="2:49">
      <c r="B74" s="1" t="s">
        <v>40</v>
      </c>
      <c r="G74" s="141">
        <f ca="1">SUM(G70:G73)+G68</f>
        <v>2559.096</v>
      </c>
      <c r="H74" s="74">
        <f ca="1">SUM(H70:H73)+H68</f>
        <v>2559.096</v>
      </c>
      <c r="J74" s="14">
        <f t="shared" ref="J74:O74" si="196">SUM(J70:J73)+J68</f>
        <v>2655.1930000000002</v>
      </c>
      <c r="K74" s="14">
        <f t="shared" si="196"/>
        <v>2707.5050000000001</v>
      </c>
      <c r="L74" s="14">
        <f t="shared" si="196"/>
        <v>2836.6210000000005</v>
      </c>
      <c r="M74" s="14">
        <f t="shared" si="196"/>
        <v>2510.2809999999999</v>
      </c>
      <c r="N74" s="14">
        <f t="shared" si="196"/>
        <v>2509.7560000000003</v>
      </c>
      <c r="O74" s="14">
        <f t="shared" si="196"/>
        <v>2535.52</v>
      </c>
      <c r="P74" s="238"/>
      <c r="R74" s="14">
        <f t="shared" ref="R74:Y74" si="197">SUM(R70:R73)+R68</f>
        <v>2572.6320000000001</v>
      </c>
      <c r="S74" s="14">
        <f t="shared" si="197"/>
        <v>2641.585</v>
      </c>
      <c r="T74" s="14">
        <f t="shared" si="197"/>
        <v>2621.1839999999997</v>
      </c>
      <c r="U74" s="14">
        <f t="shared" si="197"/>
        <v>2655.1930000000002</v>
      </c>
      <c r="V74" s="14">
        <f t="shared" si="197"/>
        <v>3035.2840000000001</v>
      </c>
      <c r="W74" s="14">
        <f t="shared" si="197"/>
        <v>2910.7179999999994</v>
      </c>
      <c r="X74" s="14">
        <f t="shared" si="197"/>
        <v>2753.3869999999997</v>
      </c>
      <c r="Y74" s="14">
        <f t="shared" si="197"/>
        <v>2707.5050000000001</v>
      </c>
      <c r="Z74" s="14">
        <f t="shared" ref="Z74:AP74" si="198">SUM(Z70:Z73)+Z68</f>
        <v>3013.05</v>
      </c>
      <c r="AA74" s="14">
        <f t="shared" si="198"/>
        <v>2965.027</v>
      </c>
      <c r="AB74" s="14">
        <f t="shared" si="198"/>
        <v>2902.7530000000002</v>
      </c>
      <c r="AC74" s="14">
        <f t="shared" si="198"/>
        <v>2836.6210000000005</v>
      </c>
      <c r="AD74" s="14">
        <f t="shared" si="198"/>
        <v>2699.3419999999996</v>
      </c>
      <c r="AE74" s="14">
        <f t="shared" si="198"/>
        <v>2662.4859999999999</v>
      </c>
      <c r="AF74" s="14">
        <f t="shared" si="198"/>
        <v>2543.6579999999999</v>
      </c>
      <c r="AG74" s="14">
        <f t="shared" si="198"/>
        <v>2510.2809999999999</v>
      </c>
      <c r="AH74" s="14">
        <f t="shared" si="198"/>
        <v>2470.9270000000001</v>
      </c>
      <c r="AI74" s="14">
        <f t="shared" si="198"/>
        <v>2475.4119999999998</v>
      </c>
      <c r="AJ74" s="14">
        <f t="shared" si="198"/>
        <v>2480.9349999999999</v>
      </c>
      <c r="AK74" s="14">
        <f t="shared" si="198"/>
        <v>2509.7560000000003</v>
      </c>
      <c r="AL74" s="14">
        <f t="shared" si="198"/>
        <v>2489.6080000000002</v>
      </c>
      <c r="AM74" s="14">
        <f t="shared" si="198"/>
        <v>2461.77</v>
      </c>
      <c r="AN74" s="14">
        <f t="shared" si="198"/>
        <v>2524.7980000000002</v>
      </c>
      <c r="AO74" s="14">
        <f t="shared" si="198"/>
        <v>2535.52</v>
      </c>
      <c r="AP74" s="14">
        <f t="shared" si="198"/>
        <v>2559.096</v>
      </c>
      <c r="AQ74" s="238"/>
      <c r="AR74" s="238"/>
      <c r="AS74" s="238"/>
      <c r="AT74" s="238"/>
      <c r="AU74" s="238"/>
      <c r="AV74" s="238"/>
      <c r="AW74" s="238"/>
    </row>
    <row r="75" spans="2:49">
      <c r="B75" s="1"/>
      <c r="F75" s="154"/>
      <c r="G75" s="141"/>
      <c r="H75" s="74"/>
      <c r="J75" s="14"/>
      <c r="K75" s="14"/>
      <c r="L75" s="14"/>
      <c r="M75" s="14"/>
      <c r="N75" s="14"/>
      <c r="O75" s="14"/>
      <c r="P75" s="238"/>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238"/>
      <c r="AR75" s="238"/>
      <c r="AS75" s="238"/>
      <c r="AT75" s="238"/>
      <c r="AU75" s="238"/>
      <c r="AV75" s="238"/>
      <c r="AW75" s="238"/>
    </row>
    <row r="76" spans="2:49">
      <c r="B76" s="4" t="s">
        <v>41</v>
      </c>
      <c r="G76" s="146">
        <f ca="1">G70+G67-G48</f>
        <v>1130.0409999999999</v>
      </c>
      <c r="H76" s="133">
        <f ca="1">H70+H67-H48</f>
        <v>1130.0409999999999</v>
      </c>
      <c r="J76" s="35">
        <f t="shared" ref="J76:O76" si="199">J70+J67-J48</f>
        <v>1482.4920000000002</v>
      </c>
      <c r="K76" s="35">
        <f t="shared" si="199"/>
        <v>1387.9959999999999</v>
      </c>
      <c r="L76" s="35">
        <f t="shared" si="199"/>
        <v>1433.614</v>
      </c>
      <c r="M76" s="35">
        <f t="shared" si="199"/>
        <v>1199.3899999999999</v>
      </c>
      <c r="N76" s="35">
        <f t="shared" si="199"/>
        <v>1115.0540000000001</v>
      </c>
      <c r="O76" s="35">
        <f t="shared" si="199"/>
        <v>1110.527</v>
      </c>
      <c r="P76" s="238"/>
      <c r="R76" s="35">
        <f t="shared" ref="R76:AO76" si="200">R70+R62-R48</f>
        <v>1416.2840000000001</v>
      </c>
      <c r="S76" s="35">
        <f t="shared" si="200"/>
        <v>1438.3319999999999</v>
      </c>
      <c r="T76" s="35">
        <f t="shared" si="200"/>
        <v>1396.3140000000001</v>
      </c>
      <c r="U76" s="35">
        <f t="shared" si="200"/>
        <v>1402.3880000000001</v>
      </c>
      <c r="V76" s="35">
        <f t="shared" si="200"/>
        <v>1660.1850000000002</v>
      </c>
      <c r="W76" s="35">
        <f t="shared" si="200"/>
        <v>1572.1849999999999</v>
      </c>
      <c r="X76" s="35">
        <f t="shared" si="200"/>
        <v>1425.0070000000001</v>
      </c>
      <c r="Y76" s="35">
        <f t="shared" si="200"/>
        <v>1345.03</v>
      </c>
      <c r="Z76" s="35">
        <f t="shared" si="200"/>
        <v>1379.9050000000002</v>
      </c>
      <c r="AA76" s="35">
        <f t="shared" si="200"/>
        <v>1534.3680000000002</v>
      </c>
      <c r="AB76" s="35">
        <f t="shared" si="200"/>
        <v>1458.758</v>
      </c>
      <c r="AC76" s="35">
        <f t="shared" si="200"/>
        <v>1388.248</v>
      </c>
      <c r="AD76" s="35">
        <f t="shared" si="200"/>
        <v>1297.0049999999999</v>
      </c>
      <c r="AE76" s="35">
        <f t="shared" si="200"/>
        <v>1222.627</v>
      </c>
      <c r="AF76" s="35">
        <f t="shared" si="200"/>
        <v>1153.799</v>
      </c>
      <c r="AG76" s="35">
        <f t="shared" si="200"/>
        <v>1128.5539999999999</v>
      </c>
      <c r="AH76" s="35">
        <f t="shared" si="200"/>
        <v>1122.337</v>
      </c>
      <c r="AI76" s="35">
        <f t="shared" si="200"/>
        <v>1110.9509999999998</v>
      </c>
      <c r="AJ76" s="35">
        <f t="shared" si="200"/>
        <v>1081.4679999999998</v>
      </c>
      <c r="AK76" s="35">
        <f t="shared" si="200"/>
        <v>999.04099999999994</v>
      </c>
      <c r="AL76" s="35">
        <f t="shared" si="200"/>
        <v>1052.9419999999998</v>
      </c>
      <c r="AM76" s="35">
        <f t="shared" si="200"/>
        <v>961.798</v>
      </c>
      <c r="AN76" s="35">
        <f t="shared" si="200"/>
        <v>1025.74</v>
      </c>
      <c r="AO76" s="35">
        <f t="shared" si="200"/>
        <v>984.01800000000003</v>
      </c>
      <c r="AP76" s="35">
        <f t="shared" ref="AP76" si="201">AP70+AP62-AP48</f>
        <v>985.24899999999991</v>
      </c>
      <c r="AQ76" s="238"/>
      <c r="AR76" s="238"/>
      <c r="AS76" s="238"/>
      <c r="AT76" s="238"/>
      <c r="AU76" s="238"/>
      <c r="AV76" s="238"/>
      <c r="AW76" s="238"/>
    </row>
    <row r="77" spans="2:49">
      <c r="B77" s="4" t="s">
        <v>159</v>
      </c>
      <c r="G77" s="146">
        <f t="shared" ref="G77:H77" ca="1" si="202">G49+G50+G51+G52-G63-G64-G65-G67</f>
        <v>491.11200000000002</v>
      </c>
      <c r="H77" s="133">
        <f t="shared" ca="1" si="202"/>
        <v>491.11200000000002</v>
      </c>
      <c r="J77" s="35">
        <f t="shared" ref="J77:O77" si="203">J49+J50+J51+J52-J63-J64-J65-J67</f>
        <v>480.92599999999999</v>
      </c>
      <c r="K77" s="35">
        <f t="shared" si="203"/>
        <v>406.06700000000001</v>
      </c>
      <c r="L77" s="35">
        <f t="shared" si="203"/>
        <v>534.39099999999985</v>
      </c>
      <c r="M77" s="35">
        <f t="shared" si="203"/>
        <v>461.1160000000001</v>
      </c>
      <c r="N77" s="35">
        <f t="shared" si="203"/>
        <v>528.72099999999978</v>
      </c>
      <c r="O77" s="35">
        <f t="shared" si="203"/>
        <v>468.197</v>
      </c>
      <c r="P77" s="238"/>
      <c r="R77" s="35">
        <f t="shared" ref="R77:AM77" si="204">R49+R50+R51+R52-R63-R64-R65-R67</f>
        <v>518.51300000000015</v>
      </c>
      <c r="S77" s="35">
        <f t="shared" si="204"/>
        <v>474.83300000000003</v>
      </c>
      <c r="T77" s="35">
        <f t="shared" si="204"/>
        <v>483.48499999999984</v>
      </c>
      <c r="U77" s="35">
        <f t="shared" si="204"/>
        <v>480.92599999999999</v>
      </c>
      <c r="V77" s="35">
        <f t="shared" si="204"/>
        <v>556.8420000000001</v>
      </c>
      <c r="W77" s="35">
        <f t="shared" si="204"/>
        <v>535.13900000000024</v>
      </c>
      <c r="X77" s="35">
        <f t="shared" si="204"/>
        <v>461.13299999999992</v>
      </c>
      <c r="Y77" s="35">
        <f t="shared" si="204"/>
        <v>406.06700000000001</v>
      </c>
      <c r="Z77" s="35">
        <f t="shared" si="204"/>
        <v>575.02999999999986</v>
      </c>
      <c r="AA77" s="35">
        <f t="shared" si="204"/>
        <v>524.91500000000008</v>
      </c>
      <c r="AB77" s="35">
        <f t="shared" si="204"/>
        <v>523.76800000000014</v>
      </c>
      <c r="AC77" s="35">
        <f t="shared" si="204"/>
        <v>534.39099999999985</v>
      </c>
      <c r="AD77" s="35">
        <f t="shared" si="204"/>
        <v>485.89699999999999</v>
      </c>
      <c r="AE77" s="35">
        <f t="shared" si="204"/>
        <v>445.24900000000014</v>
      </c>
      <c r="AF77" s="35">
        <f t="shared" si="204"/>
        <v>446.81300000000005</v>
      </c>
      <c r="AG77" s="35">
        <f t="shared" si="204"/>
        <v>461.1160000000001</v>
      </c>
      <c r="AH77" s="35">
        <f t="shared" si="204"/>
        <v>506.64899999999989</v>
      </c>
      <c r="AI77" s="35">
        <f t="shared" si="204"/>
        <v>524.65200000000004</v>
      </c>
      <c r="AJ77" s="35">
        <f t="shared" si="204"/>
        <v>555.92400000000009</v>
      </c>
      <c r="AK77" s="35">
        <f t="shared" si="204"/>
        <v>528.72099999999978</v>
      </c>
      <c r="AL77" s="35">
        <f t="shared" si="204"/>
        <v>595.74700000000018</v>
      </c>
      <c r="AM77" s="35">
        <f t="shared" si="204"/>
        <v>516.3370000000001</v>
      </c>
      <c r="AN77" s="35">
        <f>AN49+AN50+AN51+AN52-AN63-AN64-AN65-AN67</f>
        <v>559.38099999999986</v>
      </c>
      <c r="AO77" s="35">
        <f t="shared" ref="AO77:AP77" si="205">AO49+AO50+AO51+AO52-AO63-AO64-AO65-AO67</f>
        <v>468.197</v>
      </c>
      <c r="AP77" s="35">
        <f t="shared" si="205"/>
        <v>491.11200000000002</v>
      </c>
      <c r="AQ77" s="238"/>
      <c r="AR77" s="238"/>
      <c r="AS77" s="238"/>
      <c r="AT77" s="238"/>
      <c r="AU77" s="238"/>
      <c r="AV77" s="238"/>
      <c r="AW77" s="238"/>
    </row>
    <row r="78" spans="2:49">
      <c r="G78" s="241"/>
      <c r="H78" s="237"/>
      <c r="P78" s="238"/>
      <c r="R78" s="245"/>
      <c r="S78" s="245"/>
      <c r="T78" s="245"/>
      <c r="U78" s="245"/>
      <c r="V78" s="245"/>
      <c r="W78" s="245"/>
      <c r="X78" s="245"/>
      <c r="Y78" s="245"/>
      <c r="Z78" s="245"/>
      <c r="AA78" s="245"/>
      <c r="AB78" s="245"/>
      <c r="AC78" s="245"/>
      <c r="AD78" s="245"/>
      <c r="AE78" s="245"/>
      <c r="AF78" s="245"/>
      <c r="AG78" s="245"/>
      <c r="AH78" s="245"/>
      <c r="AI78" s="245"/>
      <c r="AJ78" s="245"/>
      <c r="AK78" s="245"/>
      <c r="AL78" s="245"/>
      <c r="AM78" s="245"/>
      <c r="AN78" s="245"/>
      <c r="AO78" s="245"/>
      <c r="AP78" s="245"/>
      <c r="AQ78" s="238"/>
      <c r="AR78" s="238"/>
      <c r="AS78" s="238"/>
      <c r="AT78" s="238"/>
      <c r="AU78" s="238"/>
      <c r="AV78" s="238"/>
      <c r="AW78" s="238"/>
    </row>
    <row r="79" spans="2:49">
      <c r="B79" s="25" t="s">
        <v>42</v>
      </c>
      <c r="G79" s="139">
        <f ca="1">OFFSET(R79,0,MATCH($G$2,$R$3:$AW$3,0)-1)</f>
        <v>3215.6480000000001</v>
      </c>
      <c r="H79" s="75">
        <f t="shared" ref="H79:H80" ca="1" si="206">G79</f>
        <v>3215.6480000000001</v>
      </c>
      <c r="J79" s="15">
        <f t="shared" ref="J79" si="207">U79</f>
        <v>3213.1870000000004</v>
      </c>
      <c r="K79" s="15">
        <f t="shared" ref="K79" si="208">Y79</f>
        <v>3368.6229999999996</v>
      </c>
      <c r="L79" s="15">
        <f t="shared" ref="L79" si="209">AC79</f>
        <v>3084.306</v>
      </c>
      <c r="M79" s="15">
        <f t="shared" ref="M79" si="210">AG79</f>
        <v>2886.3239999999996</v>
      </c>
      <c r="N79" s="15">
        <f t="shared" ref="N79" si="211">AK79</f>
        <v>3042.877</v>
      </c>
      <c r="O79" s="15">
        <f t="shared" ref="O79:O80" si="212">AO79</f>
        <v>3185.431</v>
      </c>
      <c r="P79" s="238"/>
      <c r="R79" s="11">
        <v>3138.4949999999999</v>
      </c>
      <c r="S79" s="11">
        <v>3184.3500000000004</v>
      </c>
      <c r="T79" s="11">
        <v>3229.9110000000001</v>
      </c>
      <c r="U79" s="11">
        <v>3213.1870000000004</v>
      </c>
      <c r="V79" s="11">
        <v>3262.3359999999998</v>
      </c>
      <c r="W79" s="11">
        <v>3319.154</v>
      </c>
      <c r="X79" s="11">
        <v>3371.5210000000002</v>
      </c>
      <c r="Y79" s="11">
        <v>3368.6229999999996</v>
      </c>
      <c r="Z79" s="11">
        <v>3121.482</v>
      </c>
      <c r="AA79" s="11">
        <v>3048.8530000000001</v>
      </c>
      <c r="AB79" s="11">
        <v>3075.2629999999999</v>
      </c>
      <c r="AC79" s="11">
        <v>3084.306</v>
      </c>
      <c r="AD79" s="11">
        <v>3085.2669999999998</v>
      </c>
      <c r="AE79" s="11">
        <v>3101.69</v>
      </c>
      <c r="AF79" s="11">
        <v>2843.7460000000001</v>
      </c>
      <c r="AG79" s="11">
        <v>2886.3239999999996</v>
      </c>
      <c r="AH79" s="11">
        <v>2911.8550000000005</v>
      </c>
      <c r="AI79" s="11">
        <v>2927.3870000000002</v>
      </c>
      <c r="AJ79" s="11">
        <v>2973.0569999999998</v>
      </c>
      <c r="AK79" s="11">
        <v>3042.877</v>
      </c>
      <c r="AL79" s="11">
        <v>3082.9259999999999</v>
      </c>
      <c r="AM79" s="11">
        <v>3110.6439999999998</v>
      </c>
      <c r="AN79" s="11">
        <v>3156.8919999999998</v>
      </c>
      <c r="AO79" s="11">
        <v>3185.431</v>
      </c>
      <c r="AP79" s="11">
        <v>3215.6480000000001</v>
      </c>
      <c r="AQ79" s="238"/>
      <c r="AR79" s="238"/>
      <c r="AS79" s="238"/>
      <c r="AT79" s="238"/>
      <c r="AU79" s="238"/>
      <c r="AV79" s="238"/>
      <c r="AW79" s="238"/>
    </row>
    <row r="80" spans="2:49">
      <c r="B80" s="26" t="s">
        <v>43</v>
      </c>
      <c r="C80" s="26"/>
      <c r="D80" s="26"/>
      <c r="E80" s="26"/>
      <c r="F80" s="26"/>
      <c r="G80" s="140">
        <f ca="1">OFFSET(R80,0,MATCH($G$2,$R$3:$AW$3,0)-1)</f>
        <v>1.093</v>
      </c>
      <c r="H80" s="128">
        <f t="shared" ca="1" si="206"/>
        <v>1.093</v>
      </c>
      <c r="I80" s="26"/>
      <c r="J80" s="12">
        <f t="shared" ref="J80" si="213">U80</f>
        <v>3.2370000000000001</v>
      </c>
      <c r="K80" s="12">
        <f t="shared" ref="K80" si="214">Y80</f>
        <v>2.9689999999999999</v>
      </c>
      <c r="L80" s="12">
        <f t="shared" ref="L80" si="215">AC80</f>
        <v>3.2469999999999999</v>
      </c>
      <c r="M80" s="12">
        <f t="shared" ref="M80" si="216">AG80</f>
        <v>2.4580000000000002</v>
      </c>
      <c r="N80" s="12">
        <f t="shared" ref="N80" si="217">AK80</f>
        <v>2.2909999999999999</v>
      </c>
      <c r="O80" s="12">
        <f t="shared" si="212"/>
        <v>1.246</v>
      </c>
      <c r="P80" s="239"/>
      <c r="Q80" s="26"/>
      <c r="R80" s="13">
        <v>3.3730000000000002</v>
      </c>
      <c r="S80" s="13">
        <v>3.3730000000000002</v>
      </c>
      <c r="T80" s="13">
        <v>3.2370000000000001</v>
      </c>
      <c r="U80" s="13">
        <v>3.2370000000000001</v>
      </c>
      <c r="V80" s="13">
        <v>3.0720000000000001</v>
      </c>
      <c r="W80" s="13">
        <v>3.0179999999999998</v>
      </c>
      <c r="X80" s="13">
        <v>2.9769999999999999</v>
      </c>
      <c r="Y80" s="13">
        <v>2.9689999999999999</v>
      </c>
      <c r="Z80" s="13">
        <v>3.0449999999999999</v>
      </c>
      <c r="AA80" s="13">
        <v>3.1040000000000001</v>
      </c>
      <c r="AB80" s="13">
        <v>3.1040000000000001</v>
      </c>
      <c r="AC80" s="13">
        <v>3.2469999999999999</v>
      </c>
      <c r="AD80" s="13">
        <v>3.4769999999999999</v>
      </c>
      <c r="AE80" s="13">
        <v>3.6389999999999998</v>
      </c>
      <c r="AF80" s="13">
        <v>2.4780000000000002</v>
      </c>
      <c r="AG80" s="13">
        <v>2.4580000000000002</v>
      </c>
      <c r="AH80" s="13">
        <v>2.41</v>
      </c>
      <c r="AI80" s="13">
        <v>2.3570000000000002</v>
      </c>
      <c r="AJ80" s="13">
        <v>2.306</v>
      </c>
      <c r="AK80" s="13">
        <v>2.2909999999999999</v>
      </c>
      <c r="AL80" s="13">
        <v>2.214</v>
      </c>
      <c r="AM80" s="13">
        <v>2.165</v>
      </c>
      <c r="AN80" s="13">
        <v>1.19</v>
      </c>
      <c r="AO80" s="13">
        <v>1.246</v>
      </c>
      <c r="AP80" s="13">
        <v>1.093</v>
      </c>
      <c r="AQ80" s="239"/>
      <c r="AR80" s="239"/>
      <c r="AS80" s="239"/>
      <c r="AT80" s="239"/>
      <c r="AU80" s="239"/>
      <c r="AV80" s="239"/>
      <c r="AW80" s="239"/>
    </row>
    <row r="81" spans="1:49">
      <c r="B81" s="1" t="s">
        <v>44</v>
      </c>
      <c r="G81" s="141">
        <f t="shared" ref="G81" ca="1" si="218">SUM(G79:G80)</f>
        <v>3216.741</v>
      </c>
      <c r="H81" s="74">
        <f t="shared" ref="H81" ca="1" si="219">SUM(H79:H80)</f>
        <v>3216.741</v>
      </c>
      <c r="J81" s="14">
        <f t="shared" ref="J81:N81" si="220">SUM(J79:J80)</f>
        <v>3216.4240000000004</v>
      </c>
      <c r="K81" s="14">
        <f t="shared" si="220"/>
        <v>3371.5919999999996</v>
      </c>
      <c r="L81" s="14">
        <f t="shared" si="220"/>
        <v>3087.5529999999999</v>
      </c>
      <c r="M81" s="14">
        <f t="shared" si="220"/>
        <v>2888.7819999999997</v>
      </c>
      <c r="N81" s="14">
        <f t="shared" si="220"/>
        <v>3045.1680000000001</v>
      </c>
      <c r="O81" s="14">
        <f t="shared" ref="O81" si="221">SUM(O79:O80)</f>
        <v>3186.6770000000001</v>
      </c>
      <c r="P81" s="238"/>
      <c r="R81" s="24">
        <f t="shared" ref="R81" si="222">SUM(R79:R80)</f>
        <v>3141.8679999999999</v>
      </c>
      <c r="S81" s="24">
        <f t="shared" ref="S81" si="223">SUM(S79:S80)</f>
        <v>3187.7230000000004</v>
      </c>
      <c r="T81" s="24">
        <f t="shared" ref="T81" si="224">SUM(T79:T80)</f>
        <v>3233.1480000000001</v>
      </c>
      <c r="U81" s="24">
        <f t="shared" ref="U81" si="225">SUM(U79:U80)</f>
        <v>3216.4240000000004</v>
      </c>
      <c r="V81" s="24">
        <f t="shared" ref="V81" si="226">SUM(V79:V80)</f>
        <v>3265.4079999999999</v>
      </c>
      <c r="W81" s="24">
        <f t="shared" ref="W81" si="227">SUM(W79:W80)</f>
        <v>3322.172</v>
      </c>
      <c r="X81" s="24">
        <f t="shared" ref="X81" si="228">SUM(X79:X80)</f>
        <v>3374.498</v>
      </c>
      <c r="Y81" s="24">
        <f t="shared" ref="Y81" si="229">SUM(Y79:Y80)</f>
        <v>3371.5919999999996</v>
      </c>
      <c r="Z81" s="24">
        <f t="shared" ref="Z81:AM81" si="230">SUM(Z79:Z80)</f>
        <v>3124.527</v>
      </c>
      <c r="AA81" s="24">
        <f t="shared" si="230"/>
        <v>3051.9569999999999</v>
      </c>
      <c r="AB81" s="24">
        <f t="shared" si="230"/>
        <v>3078.3669999999997</v>
      </c>
      <c r="AC81" s="24">
        <f t="shared" si="230"/>
        <v>3087.5529999999999</v>
      </c>
      <c r="AD81" s="24">
        <f t="shared" si="230"/>
        <v>3088.7439999999997</v>
      </c>
      <c r="AE81" s="24">
        <f t="shared" si="230"/>
        <v>3105.3290000000002</v>
      </c>
      <c r="AF81" s="24">
        <f t="shared" si="230"/>
        <v>2846.2240000000002</v>
      </c>
      <c r="AG81" s="24">
        <f t="shared" si="230"/>
        <v>2888.7819999999997</v>
      </c>
      <c r="AH81" s="24">
        <f t="shared" si="230"/>
        <v>2914.2650000000003</v>
      </c>
      <c r="AI81" s="24">
        <f t="shared" si="230"/>
        <v>2929.7440000000001</v>
      </c>
      <c r="AJ81" s="24">
        <f t="shared" si="230"/>
        <v>2975.3629999999998</v>
      </c>
      <c r="AK81" s="24">
        <f t="shared" si="230"/>
        <v>3045.1680000000001</v>
      </c>
      <c r="AL81" s="24">
        <f t="shared" si="230"/>
        <v>3085.14</v>
      </c>
      <c r="AM81" s="24">
        <f t="shared" si="230"/>
        <v>3112.8089999999997</v>
      </c>
      <c r="AN81" s="24">
        <f>SUM(AN79:AN80)</f>
        <v>3158.0819999999999</v>
      </c>
      <c r="AO81" s="24">
        <f t="shared" ref="AO81:AP81" si="231">SUM(AO79:AO80)</f>
        <v>3186.6770000000001</v>
      </c>
      <c r="AP81" s="24">
        <f t="shared" si="231"/>
        <v>3216.741</v>
      </c>
      <c r="AQ81" s="238"/>
      <c r="AR81" s="238"/>
      <c r="AS81" s="238"/>
      <c r="AT81" s="238"/>
      <c r="AU81" s="238"/>
      <c r="AV81" s="238"/>
      <c r="AW81" s="238"/>
    </row>
    <row r="82" spans="1:49">
      <c r="G82" s="241"/>
      <c r="H82" s="237"/>
      <c r="P82" s="238"/>
      <c r="AQ82" s="238"/>
      <c r="AR82" s="238"/>
      <c r="AS82" s="238"/>
      <c r="AT82" s="238"/>
      <c r="AU82" s="238"/>
      <c r="AV82" s="238"/>
      <c r="AW82" s="238"/>
    </row>
    <row r="83" spans="1:49">
      <c r="B83" s="1" t="s">
        <v>46</v>
      </c>
      <c r="G83" s="141">
        <f ca="1">SUM(G81,G74)</f>
        <v>5775.8369999999995</v>
      </c>
      <c r="H83" s="74">
        <f ca="1">SUM(H81,H74)</f>
        <v>5775.8369999999995</v>
      </c>
      <c r="J83" s="14">
        <f t="shared" ref="J83:O83" si="232">SUM(J81,J74)</f>
        <v>5871.6170000000002</v>
      </c>
      <c r="K83" s="14">
        <f t="shared" si="232"/>
        <v>6079.0969999999998</v>
      </c>
      <c r="L83" s="14">
        <f t="shared" si="232"/>
        <v>5924.1740000000009</v>
      </c>
      <c r="M83" s="14">
        <f t="shared" si="232"/>
        <v>5399.0630000000001</v>
      </c>
      <c r="N83" s="14">
        <f t="shared" si="232"/>
        <v>5554.9240000000009</v>
      </c>
      <c r="O83" s="14">
        <f t="shared" si="232"/>
        <v>5722.1970000000001</v>
      </c>
      <c r="P83" s="238"/>
      <c r="R83" s="14">
        <f t="shared" ref="R83:Y83" si="233">SUM(R81,R74)</f>
        <v>5714.5</v>
      </c>
      <c r="S83" s="14">
        <f t="shared" si="233"/>
        <v>5829.3080000000009</v>
      </c>
      <c r="T83" s="14">
        <f t="shared" si="233"/>
        <v>5854.3320000000003</v>
      </c>
      <c r="U83" s="14">
        <f t="shared" si="233"/>
        <v>5871.6170000000002</v>
      </c>
      <c r="V83" s="14">
        <f t="shared" si="233"/>
        <v>6300.692</v>
      </c>
      <c r="W83" s="14">
        <f t="shared" si="233"/>
        <v>6232.8899999999994</v>
      </c>
      <c r="X83" s="14">
        <f t="shared" si="233"/>
        <v>6127.8850000000002</v>
      </c>
      <c r="Y83" s="14">
        <f t="shared" si="233"/>
        <v>6079.0969999999998</v>
      </c>
      <c r="Z83" s="14">
        <f t="shared" ref="Z83:AN83" si="234">SUM(Z81,Z74)</f>
        <v>6137.5770000000002</v>
      </c>
      <c r="AA83" s="14">
        <f t="shared" si="234"/>
        <v>6016.9840000000004</v>
      </c>
      <c r="AB83" s="14">
        <f t="shared" si="234"/>
        <v>5981.12</v>
      </c>
      <c r="AC83" s="14">
        <f t="shared" si="234"/>
        <v>5924.1740000000009</v>
      </c>
      <c r="AD83" s="14">
        <f t="shared" si="234"/>
        <v>5788.0859999999993</v>
      </c>
      <c r="AE83" s="14">
        <f t="shared" si="234"/>
        <v>5767.8150000000005</v>
      </c>
      <c r="AF83" s="14">
        <f t="shared" si="234"/>
        <v>5389.8819999999996</v>
      </c>
      <c r="AG83" s="14">
        <f t="shared" si="234"/>
        <v>5399.0630000000001</v>
      </c>
      <c r="AH83" s="14">
        <f t="shared" si="234"/>
        <v>5385.1920000000009</v>
      </c>
      <c r="AI83" s="14">
        <f t="shared" si="234"/>
        <v>5405.1559999999999</v>
      </c>
      <c r="AJ83" s="14">
        <f t="shared" si="234"/>
        <v>5456.2979999999998</v>
      </c>
      <c r="AK83" s="14">
        <f t="shared" si="234"/>
        <v>5554.9240000000009</v>
      </c>
      <c r="AL83" s="14">
        <f t="shared" si="234"/>
        <v>5574.7479999999996</v>
      </c>
      <c r="AM83" s="14">
        <f t="shared" si="234"/>
        <v>5574.5789999999997</v>
      </c>
      <c r="AN83" s="14">
        <f t="shared" si="234"/>
        <v>5682.88</v>
      </c>
      <c r="AO83" s="14">
        <f t="shared" ref="AO83:AP83" si="235">SUM(AO81,AO74)</f>
        <v>5722.1970000000001</v>
      </c>
      <c r="AP83" s="14">
        <f t="shared" si="235"/>
        <v>5775.8369999999995</v>
      </c>
      <c r="AQ83" s="238"/>
      <c r="AR83" s="238"/>
      <c r="AS83" s="238"/>
      <c r="AT83" s="238"/>
      <c r="AU83" s="238"/>
      <c r="AV83" s="238"/>
      <c r="AW83" s="238"/>
    </row>
    <row r="84" spans="1:49">
      <c r="B84" s="28" t="s">
        <v>45</v>
      </c>
      <c r="G84" s="147" t="str">
        <f ca="1">IF(ROUND(G83-G60,0)=0,"OK",G83-G60)</f>
        <v>OK</v>
      </c>
      <c r="H84" s="134" t="str">
        <f ca="1">IF(ROUND(H83-H60,0)=0,"OK",H83-H60)</f>
        <v>OK</v>
      </c>
      <c r="J84" s="27" t="str">
        <f t="shared" ref="J84" si="236">IF(ROUND(J83-J60,1)=0,"OK",J83-J60)</f>
        <v>OK</v>
      </c>
      <c r="K84" s="27" t="str">
        <f t="shared" ref="K84" si="237">IF(ROUND(K83-K60,1)=0,"OK",K83-K60)</f>
        <v>OK</v>
      </c>
      <c r="L84" s="27" t="str">
        <f t="shared" ref="L84" si="238">IF(ROUND(L83-L60,1)=0,"OK",L83-L60)</f>
        <v>OK</v>
      </c>
      <c r="M84" s="27" t="str">
        <f t="shared" ref="M84" si="239">IF(ROUND(M83-M60,1)=0,"OK",M83-M60)</f>
        <v>OK</v>
      </c>
      <c r="N84" s="27" t="str">
        <f t="shared" ref="N84" si="240">IF(ROUND(N83-N60,1)=0,"OK",N83-N60)</f>
        <v>OK</v>
      </c>
      <c r="O84" s="27" t="str">
        <f t="shared" ref="O84" si="241">IF(ROUND(O83-O60,1)=0,"OK",O83-O60)</f>
        <v>OK</v>
      </c>
      <c r="P84" s="238"/>
      <c r="R84" s="27" t="str">
        <f t="shared" ref="R84:AO84" si="242">IF(ROUND(R83-R60,1)=0,"OK",R83-R60)</f>
        <v>OK</v>
      </c>
      <c r="S84" s="27" t="str">
        <f t="shared" si="242"/>
        <v>OK</v>
      </c>
      <c r="T84" s="27" t="str">
        <f t="shared" si="242"/>
        <v>OK</v>
      </c>
      <c r="U84" s="27" t="str">
        <f t="shared" si="242"/>
        <v>OK</v>
      </c>
      <c r="V84" s="27" t="str">
        <f t="shared" si="242"/>
        <v>OK</v>
      </c>
      <c r="W84" s="27" t="str">
        <f t="shared" si="242"/>
        <v>OK</v>
      </c>
      <c r="X84" s="27" t="str">
        <f t="shared" si="242"/>
        <v>OK</v>
      </c>
      <c r="Y84" s="27" t="str">
        <f t="shared" si="242"/>
        <v>OK</v>
      </c>
      <c r="Z84" s="27" t="str">
        <f t="shared" si="242"/>
        <v>OK</v>
      </c>
      <c r="AA84" s="27" t="str">
        <f t="shared" si="242"/>
        <v>OK</v>
      </c>
      <c r="AB84" s="27" t="str">
        <f t="shared" si="242"/>
        <v>OK</v>
      </c>
      <c r="AC84" s="27" t="str">
        <f t="shared" si="242"/>
        <v>OK</v>
      </c>
      <c r="AD84" s="27" t="str">
        <f t="shared" si="242"/>
        <v>OK</v>
      </c>
      <c r="AE84" s="27" t="str">
        <f t="shared" si="242"/>
        <v>OK</v>
      </c>
      <c r="AF84" s="27" t="str">
        <f t="shared" si="242"/>
        <v>OK</v>
      </c>
      <c r="AG84" s="27" t="str">
        <f t="shared" si="242"/>
        <v>OK</v>
      </c>
      <c r="AH84" s="27" t="str">
        <f t="shared" si="242"/>
        <v>OK</v>
      </c>
      <c r="AI84" s="27" t="str">
        <f t="shared" si="242"/>
        <v>OK</v>
      </c>
      <c r="AJ84" s="27" t="str">
        <f t="shared" si="242"/>
        <v>OK</v>
      </c>
      <c r="AK84" s="27" t="str">
        <f t="shared" si="242"/>
        <v>OK</v>
      </c>
      <c r="AL84" s="27" t="str">
        <f t="shared" si="242"/>
        <v>OK</v>
      </c>
      <c r="AM84" s="27" t="str">
        <f t="shared" si="242"/>
        <v>OK</v>
      </c>
      <c r="AN84" s="27" t="str">
        <f t="shared" si="242"/>
        <v>OK</v>
      </c>
      <c r="AO84" s="27" t="str">
        <f t="shared" si="242"/>
        <v>OK</v>
      </c>
      <c r="AP84" s="27" t="str">
        <f>IF(ROUND(AP83-AP60,1)=0,"OK",AP83-AP60)</f>
        <v>OK</v>
      </c>
      <c r="AQ84" s="238"/>
      <c r="AR84" s="238"/>
      <c r="AS84" s="238"/>
      <c r="AT84" s="238"/>
      <c r="AU84" s="238"/>
      <c r="AV84" s="238"/>
      <c r="AW84" s="238"/>
    </row>
    <row r="85" spans="1:49">
      <c r="G85" s="241"/>
      <c r="H85" s="237"/>
      <c r="P85" s="238"/>
      <c r="AQ85" s="238"/>
      <c r="AR85" s="238"/>
      <c r="AS85" s="238"/>
      <c r="AT85" s="238"/>
      <c r="AU85" s="238"/>
      <c r="AV85" s="238"/>
      <c r="AW85" s="238"/>
    </row>
    <row r="86" spans="1:49" ht="15" customHeight="1">
      <c r="A86" s="30" t="s">
        <v>0</v>
      </c>
      <c r="B86" s="30" t="s">
        <v>110</v>
      </c>
      <c r="C86" s="31"/>
      <c r="D86" s="31"/>
      <c r="E86" s="31"/>
      <c r="F86" s="31"/>
      <c r="G86" s="137"/>
      <c r="H86" s="127"/>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row>
    <row r="87" spans="1:49">
      <c r="G87" s="241"/>
      <c r="H87" s="237"/>
      <c r="P87" s="238"/>
      <c r="AQ87" s="238"/>
      <c r="AR87" s="238"/>
      <c r="AS87" s="238"/>
      <c r="AT87" s="238"/>
      <c r="AU87" s="238"/>
      <c r="AV87" s="238"/>
      <c r="AW87" s="238"/>
    </row>
    <row r="88" spans="1:49">
      <c r="G88" s="241"/>
      <c r="H88" s="237"/>
      <c r="P88" s="238"/>
      <c r="AQ88" s="238"/>
      <c r="AR88" s="238"/>
      <c r="AS88" s="238"/>
      <c r="AT88" s="238"/>
      <c r="AU88" s="238"/>
      <c r="AV88" s="238"/>
      <c r="AW88" s="238"/>
    </row>
    <row r="89" spans="1:49">
      <c r="B89" s="199" t="s">
        <v>215</v>
      </c>
      <c r="G89" s="241"/>
      <c r="H89" s="237"/>
      <c r="P89" s="238"/>
      <c r="AQ89" s="238"/>
      <c r="AR89" s="238"/>
      <c r="AS89" s="238"/>
      <c r="AT89" s="238"/>
      <c r="AU89" s="238"/>
      <c r="AV89" s="238"/>
      <c r="AW89" s="238"/>
    </row>
    <row r="90" spans="1:49">
      <c r="B90" s="199"/>
      <c r="G90" s="241"/>
      <c r="H90" s="237"/>
      <c r="P90" s="238"/>
      <c r="AQ90" s="238"/>
      <c r="AR90" s="238"/>
      <c r="AS90" s="238"/>
      <c r="AT90" s="238"/>
      <c r="AU90" s="238"/>
      <c r="AV90" s="238"/>
      <c r="AW90" s="238"/>
    </row>
    <row r="91" spans="1:49">
      <c r="B91" s="25" t="s">
        <v>186</v>
      </c>
      <c r="G91" s="139">
        <f ca="1">OFFSET(R91,0,MATCH($G$2,$R$3:$AW$3,0)-1)*4</f>
        <v>1901.6479999999999</v>
      </c>
      <c r="H91" s="75">
        <f ca="1">SUM(OFFSET(R91,0,MATCH($G$2,$R$3:$AW$3,0)-4),OFFSET(R91,0,MATCH($G$2,$R$3:$AW$3,0)-3),OFFSET(R91,0,MATCH($G$2,$R$3:$AW$3,0)-2),OFFSET(R91,0,MATCH($G$2,$R$3:$AW$3,0)-1))</f>
        <v>1784.854</v>
      </c>
      <c r="J91" s="15">
        <f t="shared" ref="J91:J92" si="243">SUM(R91:U91)</f>
        <v>1483.143</v>
      </c>
      <c r="K91" s="15">
        <f t="shared" ref="K91:K92" si="244">SUM(V91:Y91)</f>
        <v>1587.0819999999999</v>
      </c>
      <c r="L91" s="15">
        <f t="shared" ref="L91:L92" si="245">SUM(Z91:AC91)</f>
        <v>1404.2649999999999</v>
      </c>
      <c r="M91" s="15">
        <f t="shared" ref="M91:M92" si="246">SUM(AD91:AG91)</f>
        <v>1322.9179999999999</v>
      </c>
      <c r="N91" s="15">
        <f t="shared" ref="N91:N92" si="247">SUM(AH91:AK91)</f>
        <v>1616.9670000000001</v>
      </c>
      <c r="O91" s="15">
        <f t="shared" ref="O91:O92" si="248">SUM(AL91:AO91)</f>
        <v>1721.9370000000001</v>
      </c>
      <c r="P91" s="238"/>
      <c r="R91" s="162">
        <f>R7</f>
        <v>340.40300000000002</v>
      </c>
      <c r="S91" s="162">
        <f t="shared" ref="S91:AP91" si="249">S7</f>
        <v>378.16300000000001</v>
      </c>
      <c r="T91" s="162">
        <f t="shared" si="249"/>
        <v>382.04</v>
      </c>
      <c r="U91" s="162">
        <f t="shared" si="249"/>
        <v>382.53699999999998</v>
      </c>
      <c r="V91" s="162">
        <f t="shared" si="249"/>
        <v>368.12099999999998</v>
      </c>
      <c r="W91" s="162">
        <f t="shared" si="249"/>
        <v>404.286</v>
      </c>
      <c r="X91" s="162">
        <f t="shared" si="249"/>
        <v>412.66500000000002</v>
      </c>
      <c r="Y91" s="162">
        <f t="shared" si="249"/>
        <v>402.01</v>
      </c>
      <c r="Z91" s="162">
        <f t="shared" si="249"/>
        <v>403.25700000000001</v>
      </c>
      <c r="AA91" s="162">
        <f t="shared" si="249"/>
        <v>380.98700000000002</v>
      </c>
      <c r="AB91" s="162">
        <f t="shared" si="249"/>
        <v>320.60199999999998</v>
      </c>
      <c r="AC91" s="162">
        <f t="shared" si="249"/>
        <v>299.41899999999998</v>
      </c>
      <c r="AD91" s="162">
        <f t="shared" si="249"/>
        <v>300.95100000000002</v>
      </c>
      <c r="AE91" s="162">
        <f t="shared" si="249"/>
        <v>332.887</v>
      </c>
      <c r="AF91" s="162">
        <f t="shared" si="249"/>
        <v>338.51400000000001</v>
      </c>
      <c r="AG91" s="162">
        <f t="shared" si="249"/>
        <v>350.56599999999997</v>
      </c>
      <c r="AH91" s="162">
        <f t="shared" si="249"/>
        <v>355.536</v>
      </c>
      <c r="AI91" s="162">
        <f t="shared" si="249"/>
        <v>405.65499999999997</v>
      </c>
      <c r="AJ91" s="162">
        <f t="shared" si="249"/>
        <v>433.04</v>
      </c>
      <c r="AK91" s="162">
        <f t="shared" si="249"/>
        <v>422.73599999999999</v>
      </c>
      <c r="AL91" s="162">
        <f t="shared" si="249"/>
        <v>412.495</v>
      </c>
      <c r="AM91" s="162">
        <f t="shared" si="249"/>
        <v>426.96199999999999</v>
      </c>
      <c r="AN91" s="162">
        <f t="shared" si="249"/>
        <v>429.88499999999999</v>
      </c>
      <c r="AO91" s="162">
        <f t="shared" si="249"/>
        <v>452.59500000000003</v>
      </c>
      <c r="AP91" s="162">
        <f t="shared" si="249"/>
        <v>475.41199999999998</v>
      </c>
      <c r="AQ91" s="238"/>
      <c r="AR91" s="238"/>
      <c r="AS91" s="238"/>
      <c r="AT91" s="238"/>
      <c r="AU91" s="238"/>
      <c r="AV91" s="238"/>
      <c r="AW91" s="238"/>
    </row>
    <row r="92" spans="1:49">
      <c r="B92" s="26" t="s">
        <v>214</v>
      </c>
      <c r="C92" s="26"/>
      <c r="D92" s="26"/>
      <c r="E92" s="26"/>
      <c r="F92" s="26"/>
      <c r="G92" s="140">
        <f ca="1">OFFSET(R92,0,MATCH($G$2,$R$3:$AW$3,0)-1)*4</f>
        <v>1330.44</v>
      </c>
      <c r="H92" s="128">
        <f ca="1">SUM(OFFSET(R92,0,MATCH($G$2,$R$3:$AW$3,0)-4),OFFSET(R92,0,MATCH($G$2,$R$3:$AW$3,0)-3),OFFSET(R92,0,MATCH($G$2,$R$3:$AW$3,0)-2),OFFSET(R92,0,MATCH($G$2,$R$3:$AW$3,0)-1))</f>
        <v>1364.364</v>
      </c>
      <c r="I92" s="26"/>
      <c r="J92" s="12">
        <f t="shared" si="243"/>
        <v>1487.5540000000001</v>
      </c>
      <c r="K92" s="12">
        <f t="shared" si="244"/>
        <v>1251.317</v>
      </c>
      <c r="L92" s="12">
        <f t="shared" si="245"/>
        <v>767.14300000000003</v>
      </c>
      <c r="M92" s="12">
        <f t="shared" si="246"/>
        <v>923.74199999999996</v>
      </c>
      <c r="N92" s="12">
        <f t="shared" si="247"/>
        <v>1167.787</v>
      </c>
      <c r="O92" s="12">
        <f t="shared" si="248"/>
        <v>1369.703</v>
      </c>
      <c r="P92" s="239"/>
      <c r="Q92" s="26"/>
      <c r="R92" s="189">
        <f>R8</f>
        <v>401.28500000000003</v>
      </c>
      <c r="S92" s="189">
        <f t="shared" ref="S92:AP92" si="250">S8</f>
        <v>424.50799999999998</v>
      </c>
      <c r="T92" s="189">
        <f t="shared" si="250"/>
        <v>322.80500000000001</v>
      </c>
      <c r="U92" s="189">
        <f t="shared" si="250"/>
        <v>338.95600000000002</v>
      </c>
      <c r="V92" s="189">
        <f t="shared" si="250"/>
        <v>376.5</v>
      </c>
      <c r="W92" s="189">
        <f t="shared" si="250"/>
        <v>366.75599999999997</v>
      </c>
      <c r="X92" s="189">
        <f t="shared" si="250"/>
        <v>254.14400000000001</v>
      </c>
      <c r="Y92" s="189">
        <f t="shared" si="250"/>
        <v>253.917</v>
      </c>
      <c r="Z92" s="189">
        <f t="shared" si="250"/>
        <v>240.66900000000001</v>
      </c>
      <c r="AA92" s="189">
        <f t="shared" si="250"/>
        <v>160.172</v>
      </c>
      <c r="AB92" s="189">
        <f t="shared" si="250"/>
        <v>175.965</v>
      </c>
      <c r="AC92" s="189">
        <f t="shared" si="250"/>
        <v>190.33699999999999</v>
      </c>
      <c r="AD92" s="189">
        <f t="shared" si="250"/>
        <v>195.899</v>
      </c>
      <c r="AE92" s="189">
        <f t="shared" si="250"/>
        <v>226.73699999999999</v>
      </c>
      <c r="AF92" s="189">
        <f t="shared" si="250"/>
        <v>260.40600000000001</v>
      </c>
      <c r="AG92" s="189">
        <f t="shared" si="250"/>
        <v>240.7</v>
      </c>
      <c r="AH92" s="189">
        <f t="shared" si="250"/>
        <v>255.24600000000001</v>
      </c>
      <c r="AI92" s="189">
        <f t="shared" si="250"/>
        <v>292.30900000000003</v>
      </c>
      <c r="AJ92" s="189">
        <f t="shared" si="250"/>
        <v>312.803</v>
      </c>
      <c r="AK92" s="189">
        <f t="shared" si="250"/>
        <v>307.42899999999997</v>
      </c>
      <c r="AL92" s="189">
        <f t="shared" si="250"/>
        <v>337.94900000000001</v>
      </c>
      <c r="AM92" s="189">
        <f t="shared" si="250"/>
        <v>350.286</v>
      </c>
      <c r="AN92" s="189">
        <f t="shared" si="250"/>
        <v>334.887</v>
      </c>
      <c r="AO92" s="189">
        <f t="shared" si="250"/>
        <v>346.58100000000002</v>
      </c>
      <c r="AP92" s="189">
        <f t="shared" si="250"/>
        <v>332.61</v>
      </c>
      <c r="AQ92" s="239"/>
      <c r="AR92" s="239"/>
      <c r="AS92" s="239"/>
      <c r="AT92" s="239"/>
      <c r="AU92" s="239"/>
      <c r="AV92" s="239"/>
      <c r="AW92" s="239"/>
    </row>
    <row r="93" spans="1:49">
      <c r="B93" s="1" t="s">
        <v>146</v>
      </c>
      <c r="G93" s="143">
        <f ca="1">SUM(G91:G92)</f>
        <v>3232.0879999999997</v>
      </c>
      <c r="H93" s="143">
        <f ca="1">SUM(H91:H92)</f>
        <v>3149.2179999999998</v>
      </c>
      <c r="J93" s="7">
        <f>SUM(J91:J92)</f>
        <v>2970.6970000000001</v>
      </c>
      <c r="K93" s="7">
        <f t="shared" ref="K93:O93" si="251">SUM(K91:K92)</f>
        <v>2838.3989999999999</v>
      </c>
      <c r="L93" s="7">
        <f t="shared" si="251"/>
        <v>2171.4079999999999</v>
      </c>
      <c r="M93" s="7">
        <f t="shared" si="251"/>
        <v>2246.66</v>
      </c>
      <c r="N93" s="7">
        <f t="shared" si="251"/>
        <v>2784.7539999999999</v>
      </c>
      <c r="O93" s="7">
        <f t="shared" si="251"/>
        <v>3091.6400000000003</v>
      </c>
      <c r="P93" s="238"/>
      <c r="R93" s="7">
        <f t="shared" ref="R93:AN93" si="252">SUM(R91:R92)</f>
        <v>741.6880000000001</v>
      </c>
      <c r="S93" s="7">
        <f t="shared" si="252"/>
        <v>802.67100000000005</v>
      </c>
      <c r="T93" s="7">
        <f t="shared" si="252"/>
        <v>704.84500000000003</v>
      </c>
      <c r="U93" s="7">
        <f t="shared" si="252"/>
        <v>721.49299999999994</v>
      </c>
      <c r="V93" s="7">
        <f t="shared" si="252"/>
        <v>744.62099999999998</v>
      </c>
      <c r="W93" s="7">
        <f t="shared" si="252"/>
        <v>771.04199999999992</v>
      </c>
      <c r="X93" s="7">
        <f t="shared" si="252"/>
        <v>666.80899999999997</v>
      </c>
      <c r="Y93" s="7">
        <f t="shared" si="252"/>
        <v>655.92700000000002</v>
      </c>
      <c r="Z93" s="7">
        <f t="shared" si="252"/>
        <v>643.92600000000004</v>
      </c>
      <c r="AA93" s="7">
        <f t="shared" si="252"/>
        <v>541.15899999999999</v>
      </c>
      <c r="AB93" s="7">
        <f t="shared" si="252"/>
        <v>496.56700000000001</v>
      </c>
      <c r="AC93" s="7">
        <f t="shared" si="252"/>
        <v>489.75599999999997</v>
      </c>
      <c r="AD93" s="7">
        <f t="shared" si="252"/>
        <v>496.85</v>
      </c>
      <c r="AE93" s="7">
        <f t="shared" si="252"/>
        <v>559.62400000000002</v>
      </c>
      <c r="AF93" s="7">
        <f t="shared" si="252"/>
        <v>598.92000000000007</v>
      </c>
      <c r="AG93" s="7">
        <f t="shared" si="252"/>
        <v>591.26599999999996</v>
      </c>
      <c r="AH93" s="7">
        <f t="shared" si="252"/>
        <v>610.78200000000004</v>
      </c>
      <c r="AI93" s="7">
        <f t="shared" si="252"/>
        <v>697.96399999999994</v>
      </c>
      <c r="AJ93" s="7">
        <f t="shared" si="252"/>
        <v>745.84300000000007</v>
      </c>
      <c r="AK93" s="7">
        <f t="shared" si="252"/>
        <v>730.16499999999996</v>
      </c>
      <c r="AL93" s="7">
        <f t="shared" si="252"/>
        <v>750.44399999999996</v>
      </c>
      <c r="AM93" s="7">
        <f t="shared" si="252"/>
        <v>777.24800000000005</v>
      </c>
      <c r="AN93" s="7">
        <f t="shared" si="252"/>
        <v>764.77199999999993</v>
      </c>
      <c r="AO93" s="7">
        <f t="shared" ref="AO93:AP93" si="253">SUM(AO91:AO92)</f>
        <v>799.17600000000004</v>
      </c>
      <c r="AP93" s="7">
        <f t="shared" si="253"/>
        <v>808.02199999999993</v>
      </c>
      <c r="AQ93" s="238"/>
      <c r="AR93" s="238"/>
      <c r="AS93" s="238"/>
      <c r="AT93" s="238"/>
      <c r="AU93" s="238"/>
      <c r="AV93" s="238"/>
      <c r="AW93" s="238"/>
    </row>
    <row r="94" spans="1:49">
      <c r="B94" s="4" t="s">
        <v>167</v>
      </c>
      <c r="G94" s="147" t="str">
        <f ca="1">IF(ROUND(G93-G9,1)=0,"OK",G93-G9)</f>
        <v>OK</v>
      </c>
      <c r="H94" s="134" t="str">
        <f ca="1">IF(ROUND(H93-H9,1)=0,"OK",H93-H9)</f>
        <v>OK</v>
      </c>
      <c r="J94" s="27" t="str">
        <f t="shared" ref="J94:O94" si="254">IF(ROUND(J93-J9,1)=0,"OK",J93-J9)</f>
        <v>OK</v>
      </c>
      <c r="K94" s="27" t="str">
        <f t="shared" si="254"/>
        <v>OK</v>
      </c>
      <c r="L94" s="27" t="str">
        <f t="shared" si="254"/>
        <v>OK</v>
      </c>
      <c r="M94" s="27" t="str">
        <f t="shared" si="254"/>
        <v>OK</v>
      </c>
      <c r="N94" s="27" t="str">
        <f t="shared" si="254"/>
        <v>OK</v>
      </c>
      <c r="O94" s="27" t="str">
        <f t="shared" si="254"/>
        <v>OK</v>
      </c>
      <c r="P94" s="238"/>
      <c r="R94" s="27" t="str">
        <f t="shared" ref="R94:AP94" si="255">IF(ROUND(R93-R9,1)=0,"OK",R93-R9)</f>
        <v>OK</v>
      </c>
      <c r="S94" s="27" t="str">
        <f t="shared" si="255"/>
        <v>OK</v>
      </c>
      <c r="T94" s="27" t="str">
        <f t="shared" si="255"/>
        <v>OK</v>
      </c>
      <c r="U94" s="27" t="str">
        <f t="shared" si="255"/>
        <v>OK</v>
      </c>
      <c r="V94" s="27" t="str">
        <f t="shared" si="255"/>
        <v>OK</v>
      </c>
      <c r="W94" s="27" t="str">
        <f t="shared" si="255"/>
        <v>OK</v>
      </c>
      <c r="X94" s="27" t="str">
        <f t="shared" si="255"/>
        <v>OK</v>
      </c>
      <c r="Y94" s="27" t="str">
        <f t="shared" si="255"/>
        <v>OK</v>
      </c>
      <c r="Z94" s="27" t="str">
        <f t="shared" si="255"/>
        <v>OK</v>
      </c>
      <c r="AA94" s="27" t="str">
        <f t="shared" si="255"/>
        <v>OK</v>
      </c>
      <c r="AB94" s="27" t="str">
        <f t="shared" si="255"/>
        <v>OK</v>
      </c>
      <c r="AC94" s="27" t="str">
        <f t="shared" si="255"/>
        <v>OK</v>
      </c>
      <c r="AD94" s="27" t="str">
        <f t="shared" si="255"/>
        <v>OK</v>
      </c>
      <c r="AE94" s="27" t="str">
        <f t="shared" si="255"/>
        <v>OK</v>
      </c>
      <c r="AF94" s="27" t="str">
        <f t="shared" si="255"/>
        <v>OK</v>
      </c>
      <c r="AG94" s="27" t="str">
        <f t="shared" si="255"/>
        <v>OK</v>
      </c>
      <c r="AH94" s="27" t="str">
        <f t="shared" si="255"/>
        <v>OK</v>
      </c>
      <c r="AI94" s="27" t="str">
        <f t="shared" si="255"/>
        <v>OK</v>
      </c>
      <c r="AJ94" s="27" t="str">
        <f t="shared" si="255"/>
        <v>OK</v>
      </c>
      <c r="AK94" s="27" t="str">
        <f t="shared" si="255"/>
        <v>OK</v>
      </c>
      <c r="AL94" s="27" t="str">
        <f t="shared" si="255"/>
        <v>OK</v>
      </c>
      <c r="AM94" s="27" t="str">
        <f t="shared" si="255"/>
        <v>OK</v>
      </c>
      <c r="AN94" s="27" t="str">
        <f t="shared" si="255"/>
        <v>OK</v>
      </c>
      <c r="AO94" s="27" t="str">
        <f t="shared" si="255"/>
        <v>OK</v>
      </c>
      <c r="AP94" s="27" t="str">
        <f t="shared" si="255"/>
        <v>OK</v>
      </c>
      <c r="AQ94" s="238"/>
      <c r="AR94" s="238"/>
      <c r="AS94" s="238"/>
      <c r="AT94" s="238"/>
      <c r="AU94" s="238"/>
      <c r="AV94" s="238"/>
      <c r="AW94" s="238"/>
    </row>
    <row r="95" spans="1:49">
      <c r="G95" s="241"/>
      <c r="H95" s="237"/>
      <c r="P95" s="238"/>
      <c r="AQ95" s="238"/>
      <c r="AR95" s="238"/>
      <c r="AS95" s="238"/>
      <c r="AT95" s="238"/>
      <c r="AU95" s="238"/>
      <c r="AV95" s="238"/>
      <c r="AW95" s="238"/>
    </row>
    <row r="96" spans="1:49">
      <c r="B96" s="25" t="s">
        <v>216</v>
      </c>
      <c r="G96" s="139">
        <f ca="1">OFFSET(R96,0,MATCH($G$2,$R$3:$AW$3,0)-1)*4</f>
        <v>331.93200000000002</v>
      </c>
      <c r="H96" s="75">
        <f ca="1">SUM(OFFSET(R96,0,MATCH($G$2,$R$3:$AW$3,0)-4),OFFSET(R96,0,MATCH($G$2,$R$3:$AW$3,0)-3),OFFSET(R96,0,MATCH($G$2,$R$3:$AW$3,0)-2),OFFSET(R96,0,MATCH($G$2,$R$3:$AW$3,0)-1))</f>
        <v>278.887</v>
      </c>
      <c r="J96" s="15">
        <f t="shared" ref="J96:J97" si="256">SUM(R96:U96)</f>
        <v>147.41600000000017</v>
      </c>
      <c r="K96" s="15">
        <f t="shared" ref="K96:K97" si="257">SUM(V96:Y96)</f>
        <v>215.8420000000001</v>
      </c>
      <c r="L96" s="15">
        <f t="shared" ref="L96:L97" si="258">SUM(Z96:AC96)</f>
        <v>163.65600000000012</v>
      </c>
      <c r="M96" s="15">
        <f t="shared" ref="M96:M97" si="259">SUM(AD96:AG96)</f>
        <v>63.014999999999986</v>
      </c>
      <c r="N96" s="15">
        <f t="shared" ref="N96:N97" si="260">SUM(AH96:AK96)</f>
        <v>136.18399999999997</v>
      </c>
      <c r="O96" s="15">
        <f t="shared" ref="O96:O97" si="261">SUM(AL96:AO96)</f>
        <v>238.93999999999994</v>
      </c>
      <c r="P96" s="238"/>
      <c r="R96" s="19">
        <v>16.180000000000064</v>
      </c>
      <c r="S96" s="19">
        <v>38.228000000000065</v>
      </c>
      <c r="T96" s="19">
        <v>48.516999999999996</v>
      </c>
      <c r="U96" s="19">
        <v>44.491000000000042</v>
      </c>
      <c r="V96" s="19">
        <v>35.423999999999978</v>
      </c>
      <c r="W96" s="19">
        <v>53.243000000000052</v>
      </c>
      <c r="X96" s="19">
        <v>72.697000000000003</v>
      </c>
      <c r="Y96" s="19">
        <v>54.478000000000065</v>
      </c>
      <c r="Z96" s="19">
        <v>50.716000000000065</v>
      </c>
      <c r="AA96" s="19">
        <v>51.375000000000057</v>
      </c>
      <c r="AB96" s="19">
        <v>32.408999999999992</v>
      </c>
      <c r="AC96" s="19">
        <v>29.156000000000006</v>
      </c>
      <c r="AD96" s="19">
        <v>1.9399999999999977</v>
      </c>
      <c r="AE96" s="19">
        <v>18.478000000000009</v>
      </c>
      <c r="AF96" s="19">
        <v>16.914999999999964</v>
      </c>
      <c r="AG96" s="19">
        <v>25.682000000000016</v>
      </c>
      <c r="AH96" s="19">
        <v>16.935000000000002</v>
      </c>
      <c r="AI96" s="19">
        <v>30.81699999999995</v>
      </c>
      <c r="AJ96" s="19">
        <v>41.713000000000022</v>
      </c>
      <c r="AK96" s="19">
        <v>46.718999999999994</v>
      </c>
      <c r="AL96" s="19">
        <v>43.035999999999945</v>
      </c>
      <c r="AM96" s="19">
        <v>64.250999999999976</v>
      </c>
      <c r="AN96" s="19">
        <v>63.463999999999999</v>
      </c>
      <c r="AO96" s="19">
        <v>68.189000000000021</v>
      </c>
      <c r="AP96" s="19">
        <v>82.983000000000004</v>
      </c>
      <c r="AQ96" s="238"/>
      <c r="AR96" s="238"/>
      <c r="AS96" s="238"/>
      <c r="AT96" s="238"/>
      <c r="AU96" s="238"/>
      <c r="AV96" s="238"/>
      <c r="AW96" s="238"/>
    </row>
    <row r="97" spans="2:49">
      <c r="B97" s="26" t="s">
        <v>221</v>
      </c>
      <c r="C97" s="26"/>
      <c r="D97" s="26"/>
      <c r="E97" s="26"/>
      <c r="F97" s="26"/>
      <c r="G97" s="140">
        <f ca="1">OFFSET(R97,0,MATCH($G$2,$R$3:$AW$3,0)-1)*4</f>
        <v>191.39599999999999</v>
      </c>
      <c r="H97" s="128">
        <f ca="1">SUM(OFFSET(R97,0,MATCH($G$2,$R$3:$AW$3,0)-4),OFFSET(R97,0,MATCH($G$2,$R$3:$AW$3,0)-3),OFFSET(R97,0,MATCH($G$2,$R$3:$AW$3,0)-2),OFFSET(R97,0,MATCH($G$2,$R$3:$AW$3,0)-1))</f>
        <v>186.93199999999999</v>
      </c>
      <c r="I97" s="26"/>
      <c r="J97" s="12">
        <f t="shared" si="256"/>
        <v>182.30699999999999</v>
      </c>
      <c r="K97" s="12">
        <f t="shared" si="257"/>
        <v>179.74199999999999</v>
      </c>
      <c r="L97" s="12">
        <f t="shared" si="258"/>
        <v>186.798</v>
      </c>
      <c r="M97" s="12">
        <f t="shared" si="259"/>
        <v>185.97899999999998</v>
      </c>
      <c r="N97" s="12">
        <f t="shared" si="260"/>
        <v>177.55099999999999</v>
      </c>
      <c r="O97" s="12">
        <f t="shared" si="261"/>
        <v>184.22500000000002</v>
      </c>
      <c r="P97" s="239"/>
      <c r="Q97" s="26"/>
      <c r="R97" s="13">
        <v>43.34</v>
      </c>
      <c r="S97" s="13">
        <v>44.781999999999996</v>
      </c>
      <c r="T97" s="13">
        <v>47.143999999999998</v>
      </c>
      <c r="U97" s="13">
        <v>47.040999999999997</v>
      </c>
      <c r="V97" s="13">
        <v>45.323999999999998</v>
      </c>
      <c r="W97" s="13">
        <v>45.091999999999999</v>
      </c>
      <c r="X97" s="13">
        <v>44.445</v>
      </c>
      <c r="Y97" s="13">
        <v>44.881</v>
      </c>
      <c r="Z97" s="13">
        <v>45.298999999999999</v>
      </c>
      <c r="AA97" s="13">
        <v>46.683999999999997</v>
      </c>
      <c r="AB97" s="13">
        <v>47.311999999999998</v>
      </c>
      <c r="AC97" s="13">
        <v>47.503</v>
      </c>
      <c r="AD97" s="13">
        <v>47.579000000000001</v>
      </c>
      <c r="AE97" s="13">
        <v>47.500999999999998</v>
      </c>
      <c r="AF97" s="13">
        <v>46.48</v>
      </c>
      <c r="AG97" s="13">
        <v>44.418999999999997</v>
      </c>
      <c r="AH97" s="13">
        <v>44.085999999999999</v>
      </c>
      <c r="AI97" s="13">
        <v>44.210999999999999</v>
      </c>
      <c r="AJ97" s="13">
        <v>44.37</v>
      </c>
      <c r="AK97" s="13">
        <v>44.884</v>
      </c>
      <c r="AL97" s="13">
        <v>45.142000000000003</v>
      </c>
      <c r="AM97" s="13">
        <v>45.526000000000003</v>
      </c>
      <c r="AN97" s="13">
        <v>46.655999999999999</v>
      </c>
      <c r="AO97" s="13">
        <v>46.901000000000003</v>
      </c>
      <c r="AP97" s="13">
        <v>47.848999999999997</v>
      </c>
      <c r="AQ97" s="239"/>
      <c r="AR97" s="239"/>
      <c r="AS97" s="239"/>
      <c r="AT97" s="239"/>
      <c r="AU97" s="239"/>
      <c r="AV97" s="239"/>
      <c r="AW97" s="239"/>
    </row>
    <row r="98" spans="2:49">
      <c r="B98" s="21" t="s">
        <v>218</v>
      </c>
      <c r="G98" s="143">
        <f ca="1">SUM(G96:G97)</f>
        <v>523.32799999999997</v>
      </c>
      <c r="H98" s="143">
        <f ca="1">SUM(H96:H97)</f>
        <v>465.81899999999996</v>
      </c>
      <c r="J98" s="7">
        <f>SUM(J96:J97)</f>
        <v>329.72300000000018</v>
      </c>
      <c r="K98" s="7">
        <f t="shared" ref="K98" si="262">SUM(K96:K97)</f>
        <v>395.58400000000006</v>
      </c>
      <c r="L98" s="7">
        <f t="shared" ref="L98" si="263">SUM(L96:L97)</f>
        <v>350.45400000000012</v>
      </c>
      <c r="M98" s="7">
        <f t="shared" ref="M98" si="264">SUM(M96:M97)</f>
        <v>248.99399999999997</v>
      </c>
      <c r="N98" s="7">
        <f t="shared" ref="N98" si="265">SUM(N96:N97)</f>
        <v>313.73499999999996</v>
      </c>
      <c r="O98" s="7">
        <f t="shared" ref="O98" si="266">SUM(O96:O97)</f>
        <v>423.16499999999996</v>
      </c>
      <c r="P98" s="238"/>
      <c r="R98" s="7">
        <f t="shared" ref="R98:AN98" si="267">SUM(R96:R97)</f>
        <v>59.520000000000067</v>
      </c>
      <c r="S98" s="7">
        <f t="shared" si="267"/>
        <v>83.010000000000062</v>
      </c>
      <c r="T98" s="7">
        <f t="shared" si="267"/>
        <v>95.661000000000001</v>
      </c>
      <c r="U98" s="7">
        <f t="shared" si="267"/>
        <v>91.532000000000039</v>
      </c>
      <c r="V98" s="7">
        <f t="shared" si="267"/>
        <v>80.747999999999976</v>
      </c>
      <c r="W98" s="7">
        <f t="shared" si="267"/>
        <v>98.335000000000051</v>
      </c>
      <c r="X98" s="7">
        <f t="shared" si="267"/>
        <v>117.142</v>
      </c>
      <c r="Y98" s="7">
        <f t="shared" si="267"/>
        <v>99.359000000000066</v>
      </c>
      <c r="Z98" s="7">
        <f t="shared" si="267"/>
        <v>96.015000000000072</v>
      </c>
      <c r="AA98" s="7">
        <f t="shared" si="267"/>
        <v>98.059000000000054</v>
      </c>
      <c r="AB98" s="7">
        <f t="shared" si="267"/>
        <v>79.720999999999989</v>
      </c>
      <c r="AC98" s="7">
        <f t="shared" si="267"/>
        <v>76.659000000000006</v>
      </c>
      <c r="AD98" s="7">
        <f t="shared" si="267"/>
        <v>49.518999999999998</v>
      </c>
      <c r="AE98" s="7">
        <f t="shared" si="267"/>
        <v>65.979000000000013</v>
      </c>
      <c r="AF98" s="7">
        <f t="shared" si="267"/>
        <v>63.39499999999996</v>
      </c>
      <c r="AG98" s="7">
        <f t="shared" si="267"/>
        <v>70.101000000000013</v>
      </c>
      <c r="AH98" s="7">
        <f t="shared" si="267"/>
        <v>61.021000000000001</v>
      </c>
      <c r="AI98" s="7">
        <f t="shared" si="267"/>
        <v>75.027999999999949</v>
      </c>
      <c r="AJ98" s="7">
        <f t="shared" si="267"/>
        <v>86.083000000000027</v>
      </c>
      <c r="AK98" s="7">
        <f t="shared" si="267"/>
        <v>91.602999999999994</v>
      </c>
      <c r="AL98" s="7">
        <f t="shared" si="267"/>
        <v>88.17799999999994</v>
      </c>
      <c r="AM98" s="7">
        <f t="shared" si="267"/>
        <v>109.77699999999999</v>
      </c>
      <c r="AN98" s="7">
        <f t="shared" si="267"/>
        <v>110.12</v>
      </c>
      <c r="AO98" s="7">
        <f t="shared" ref="AO98:AP98" si="268">SUM(AO96:AO97)</f>
        <v>115.09000000000003</v>
      </c>
      <c r="AP98" s="7">
        <f t="shared" si="268"/>
        <v>130.83199999999999</v>
      </c>
      <c r="AQ98" s="238"/>
      <c r="AR98" s="238"/>
      <c r="AS98" s="238"/>
      <c r="AT98" s="238"/>
      <c r="AU98" s="238"/>
      <c r="AV98" s="238"/>
      <c r="AW98" s="238"/>
    </row>
    <row r="99" spans="2:49">
      <c r="B99" s="76" t="s">
        <v>225</v>
      </c>
      <c r="G99" s="147"/>
      <c r="H99" s="134"/>
      <c r="J99" s="27"/>
      <c r="K99" s="9">
        <f t="shared" ref="K99" si="269">K98/J98-1</f>
        <v>0.19974645384155743</v>
      </c>
      <c r="L99" s="9">
        <f t="shared" ref="L99" si="270">L98/K98-1</f>
        <v>-0.11408449280051758</v>
      </c>
      <c r="M99" s="9">
        <f t="shared" ref="M99" si="271">M98/L98-1</f>
        <v>-0.2895101782259587</v>
      </c>
      <c r="N99" s="9">
        <f t="shared" ref="N99" si="272">N98/M98-1</f>
        <v>0.2600102813722418</v>
      </c>
      <c r="O99" s="9">
        <f t="shared" ref="O99" si="273">O98/N98-1</f>
        <v>0.34879755207420282</v>
      </c>
      <c r="P99" s="238"/>
      <c r="R99" s="27"/>
      <c r="S99" s="9"/>
      <c r="T99" s="9"/>
      <c r="U99" s="9"/>
      <c r="V99" s="9">
        <f>V98/R98-1</f>
        <v>0.35665322580644965</v>
      </c>
      <c r="W99" s="9">
        <f t="shared" ref="W99:AP99" si="274">W98/S98-1</f>
        <v>0.18461631128779632</v>
      </c>
      <c r="X99" s="9">
        <f t="shared" si="274"/>
        <v>0.22455337075715276</v>
      </c>
      <c r="Y99" s="9">
        <f t="shared" si="274"/>
        <v>8.5511078092907589E-2</v>
      </c>
      <c r="Z99" s="9">
        <f t="shared" si="274"/>
        <v>0.18906969832070275</v>
      </c>
      <c r="AA99" s="9">
        <f t="shared" si="274"/>
        <v>-2.8067320892866121E-3</v>
      </c>
      <c r="AB99" s="9">
        <f t="shared" si="274"/>
        <v>-0.31944989841389093</v>
      </c>
      <c r="AC99" s="9">
        <f t="shared" si="274"/>
        <v>-0.22846445717046315</v>
      </c>
      <c r="AD99" s="9">
        <f t="shared" si="274"/>
        <v>-0.48425766807269732</v>
      </c>
      <c r="AE99" s="9">
        <f t="shared" si="274"/>
        <v>-0.32714998113380744</v>
      </c>
      <c r="AF99" s="9">
        <f t="shared" si="274"/>
        <v>-0.20478920234317222</v>
      </c>
      <c r="AG99" s="9">
        <f t="shared" si="274"/>
        <v>-8.5547685203302803E-2</v>
      </c>
      <c r="AH99" s="9">
        <f t="shared" si="274"/>
        <v>0.23227448050243349</v>
      </c>
      <c r="AI99" s="9">
        <f t="shared" si="274"/>
        <v>0.13714969914669717</v>
      </c>
      <c r="AJ99" s="9">
        <f t="shared" si="274"/>
        <v>0.35788311381023874</v>
      </c>
      <c r="AK99" s="9">
        <f t="shared" si="274"/>
        <v>0.30672886264104626</v>
      </c>
      <c r="AL99" s="9">
        <f t="shared" si="274"/>
        <v>0.44504350961144423</v>
      </c>
      <c r="AM99" s="9">
        <f t="shared" si="274"/>
        <v>0.4631470917524132</v>
      </c>
      <c r="AN99" s="9">
        <f t="shared" si="274"/>
        <v>0.27923051008909971</v>
      </c>
      <c r="AO99" s="9">
        <f t="shared" si="274"/>
        <v>0.25639989956660858</v>
      </c>
      <c r="AP99" s="9">
        <f t="shared" si="274"/>
        <v>0.48372609948059697</v>
      </c>
      <c r="AQ99" s="238"/>
      <c r="AR99" s="238"/>
      <c r="AS99" s="238"/>
      <c r="AT99" s="238"/>
      <c r="AU99" s="238"/>
      <c r="AV99" s="238"/>
      <c r="AW99" s="238"/>
    </row>
    <row r="100" spans="2:49">
      <c r="G100" s="241"/>
      <c r="H100" s="237"/>
      <c r="P100" s="238"/>
      <c r="AQ100" s="238"/>
      <c r="AR100" s="238"/>
      <c r="AS100" s="238"/>
      <c r="AT100" s="238"/>
      <c r="AU100" s="238"/>
      <c r="AV100" s="238"/>
      <c r="AW100" s="238"/>
    </row>
    <row r="101" spans="2:49">
      <c r="B101" s="25" t="s">
        <v>219</v>
      </c>
      <c r="G101" s="139">
        <f ca="1">OFFSET(R101,0,MATCH($G$2,$R$3:$AW$3,0)-1)*4</f>
        <v>88.056000000000267</v>
      </c>
      <c r="H101" s="75">
        <f ca="1">SUM(OFFSET(R101,0,MATCH($G$2,$R$3:$AW$3,0)-4),OFFSET(R101,0,MATCH($G$2,$R$3:$AW$3,0)-3),OFFSET(R101,0,MATCH($G$2,$R$3:$AW$3,0)-2),OFFSET(R101,0,MATCH($G$2,$R$3:$AW$3,0)-1))</f>
        <v>113.70300000000009</v>
      </c>
      <c r="J101" s="15">
        <f t="shared" ref="J101:J102" si="275">SUM(R101:U101)</f>
        <v>129.30500000000001</v>
      </c>
      <c r="K101" s="15">
        <f t="shared" ref="K101:K102" si="276">SUM(V101:Y101)</f>
        <v>67.200999999999965</v>
      </c>
      <c r="L101" s="15">
        <f t="shared" ref="L101:L102" si="277">SUM(Z101:AC101)</f>
        <v>-12.18950000000001</v>
      </c>
      <c r="M101" s="15">
        <f t="shared" ref="M101:M102" si="278">SUM(AD101:AG101)</f>
        <v>27.606999999999999</v>
      </c>
      <c r="N101" s="15">
        <f t="shared" ref="N101:N102" si="279">SUM(AH101:AK101)</f>
        <v>67.037000000000035</v>
      </c>
      <c r="O101" s="15">
        <f t="shared" ref="O101:O102" si="280">SUM(AL101:AO101)</f>
        <v>114.48100000000005</v>
      </c>
      <c r="P101" s="238"/>
      <c r="R101" s="19">
        <v>36.965000000000032</v>
      </c>
      <c r="S101" s="19">
        <v>40.189999999999941</v>
      </c>
      <c r="T101" s="19">
        <v>23.914000000000044</v>
      </c>
      <c r="U101" s="19">
        <v>28.23599999999999</v>
      </c>
      <c r="V101" s="19">
        <v>37.609000000000037</v>
      </c>
      <c r="W101" s="19">
        <v>23.127999999999929</v>
      </c>
      <c r="X101" s="19">
        <v>9.1319999999999766</v>
      </c>
      <c r="Y101" s="19">
        <v>-2.6679999999999779</v>
      </c>
      <c r="Z101" s="19">
        <v>3.7179999999999893</v>
      </c>
      <c r="AA101" s="19">
        <v>-14.14700000000002</v>
      </c>
      <c r="AB101" s="19">
        <v>1.1055000000000064</v>
      </c>
      <c r="AC101" s="19">
        <v>-2.8659999999999854</v>
      </c>
      <c r="AD101" s="19">
        <v>2.9110000000000014</v>
      </c>
      <c r="AE101" s="19">
        <v>6.1560000000000059</v>
      </c>
      <c r="AF101" s="19">
        <v>11.038999999999987</v>
      </c>
      <c r="AG101" s="19">
        <v>7.5010000000000048</v>
      </c>
      <c r="AH101" s="19">
        <v>10.971000000000004</v>
      </c>
      <c r="AI101" s="19">
        <v>16.73700000000008</v>
      </c>
      <c r="AJ101" s="19">
        <v>22.267999999999972</v>
      </c>
      <c r="AK101" s="19">
        <v>17.060999999999979</v>
      </c>
      <c r="AL101" s="19">
        <v>22.79200000000003</v>
      </c>
      <c r="AM101" s="19">
        <v>29.842000000000041</v>
      </c>
      <c r="AN101" s="19">
        <v>33.19399999999996</v>
      </c>
      <c r="AO101" s="19">
        <v>28.65300000000002</v>
      </c>
      <c r="AP101" s="19">
        <v>22.014000000000067</v>
      </c>
      <c r="AQ101" s="238"/>
      <c r="AR101" s="238"/>
      <c r="AS101" s="238"/>
      <c r="AT101" s="238"/>
      <c r="AU101" s="238"/>
      <c r="AV101" s="238"/>
      <c r="AW101" s="238"/>
    </row>
    <row r="102" spans="2:49">
      <c r="B102" s="26" t="s">
        <v>220</v>
      </c>
      <c r="C102" s="26"/>
      <c r="D102" s="26"/>
      <c r="E102" s="26"/>
      <c r="F102" s="26"/>
      <c r="G102" s="140">
        <f ca="1">OFFSET(R102,0,MATCH($G$2,$R$3:$AW$3,0)-1)*4</f>
        <v>31.376000000000001</v>
      </c>
      <c r="H102" s="128">
        <f ca="1">SUM(OFFSET(R102,0,MATCH($G$2,$R$3:$AW$3,0)-4),OFFSET(R102,0,MATCH($G$2,$R$3:$AW$3,0)-3),OFFSET(R102,0,MATCH($G$2,$R$3:$AW$3,0)-2),OFFSET(R102,0,MATCH($G$2,$R$3:$AW$3,0)-1))</f>
        <v>23.441000000000003</v>
      </c>
      <c r="I102" s="26"/>
      <c r="J102" s="12">
        <f t="shared" si="275"/>
        <v>39.348999999999997</v>
      </c>
      <c r="K102" s="12">
        <f t="shared" si="276"/>
        <v>35.998000000000005</v>
      </c>
      <c r="L102" s="12">
        <f t="shared" si="277"/>
        <v>28.255000000000003</v>
      </c>
      <c r="M102" s="12">
        <f t="shared" si="278"/>
        <v>20.573</v>
      </c>
      <c r="N102" s="12">
        <f t="shared" si="279"/>
        <v>16.776000000000003</v>
      </c>
      <c r="O102" s="12">
        <f t="shared" si="280"/>
        <v>19.841999999999999</v>
      </c>
      <c r="P102" s="239"/>
      <c r="Q102" s="26"/>
      <c r="R102" s="13">
        <v>10.032</v>
      </c>
      <c r="S102" s="13">
        <v>9.8770000000000007</v>
      </c>
      <c r="T102" s="13">
        <v>9.9640000000000004</v>
      </c>
      <c r="U102" s="13">
        <v>9.4760000000000009</v>
      </c>
      <c r="V102" s="13">
        <v>9.0180000000000007</v>
      </c>
      <c r="W102" s="13">
        <v>9.0640000000000001</v>
      </c>
      <c r="X102" s="13">
        <v>9.0850000000000009</v>
      </c>
      <c r="Y102" s="13">
        <v>8.8309999999999995</v>
      </c>
      <c r="Z102" s="13">
        <v>9.3360000000000003</v>
      </c>
      <c r="AA102" s="13">
        <v>6.633</v>
      </c>
      <c r="AB102" s="13">
        <v>6.2830000000000004</v>
      </c>
      <c r="AC102" s="13">
        <v>6.0030000000000001</v>
      </c>
      <c r="AD102" s="13">
        <v>5.8810000000000002</v>
      </c>
      <c r="AE102" s="13">
        <v>5.84</v>
      </c>
      <c r="AF102" s="13">
        <v>5.0179999999999998</v>
      </c>
      <c r="AG102" s="13">
        <v>3.8340000000000001</v>
      </c>
      <c r="AH102" s="13">
        <v>4.1059999999999999</v>
      </c>
      <c r="AI102" s="13">
        <v>4.133</v>
      </c>
      <c r="AJ102" s="13">
        <v>4.274</v>
      </c>
      <c r="AK102" s="13">
        <v>4.2629999999999999</v>
      </c>
      <c r="AL102" s="13">
        <v>4.2450000000000001</v>
      </c>
      <c r="AM102" s="13">
        <v>4.3940000000000001</v>
      </c>
      <c r="AN102" s="13">
        <v>5.0170000000000003</v>
      </c>
      <c r="AO102" s="13">
        <v>6.1859999999999999</v>
      </c>
      <c r="AP102" s="13">
        <v>7.8440000000000003</v>
      </c>
      <c r="AQ102" s="239"/>
      <c r="AR102" s="239"/>
      <c r="AS102" s="239"/>
      <c r="AT102" s="239"/>
      <c r="AU102" s="239"/>
      <c r="AV102" s="239"/>
      <c r="AW102" s="239"/>
    </row>
    <row r="103" spans="2:49">
      <c r="B103" s="21" t="s">
        <v>222</v>
      </c>
      <c r="G103" s="143">
        <f ca="1">SUM(G101:G102)</f>
        <v>119.43200000000027</v>
      </c>
      <c r="H103" s="143">
        <f ca="1">SUM(H101:H102)</f>
        <v>137.14400000000009</v>
      </c>
      <c r="J103" s="7">
        <f>SUM(J101:J102)</f>
        <v>168.654</v>
      </c>
      <c r="K103" s="7">
        <f t="shared" ref="K103" si="281">SUM(K101:K102)</f>
        <v>103.19899999999997</v>
      </c>
      <c r="L103" s="7">
        <f t="shared" ref="L103" si="282">SUM(L101:L102)</f>
        <v>16.065499999999993</v>
      </c>
      <c r="M103" s="7">
        <f t="shared" ref="M103" si="283">SUM(M101:M102)</f>
        <v>48.18</v>
      </c>
      <c r="N103" s="7">
        <f t="shared" ref="N103" si="284">SUM(N101:N102)</f>
        <v>83.813000000000045</v>
      </c>
      <c r="O103" s="7">
        <f t="shared" ref="O103" si="285">SUM(O101:O102)</f>
        <v>134.32300000000004</v>
      </c>
      <c r="P103" s="238"/>
      <c r="R103" s="7">
        <f t="shared" ref="R103:AN103" si="286">SUM(R101:R102)</f>
        <v>46.997000000000028</v>
      </c>
      <c r="S103" s="7">
        <f t="shared" si="286"/>
        <v>50.066999999999943</v>
      </c>
      <c r="T103" s="7">
        <f t="shared" si="286"/>
        <v>33.878000000000043</v>
      </c>
      <c r="U103" s="7">
        <f t="shared" si="286"/>
        <v>37.711999999999989</v>
      </c>
      <c r="V103" s="7">
        <f t="shared" si="286"/>
        <v>46.627000000000038</v>
      </c>
      <c r="W103" s="7">
        <f t="shared" si="286"/>
        <v>32.191999999999929</v>
      </c>
      <c r="X103" s="7">
        <f t="shared" si="286"/>
        <v>18.216999999999977</v>
      </c>
      <c r="Y103" s="7">
        <f t="shared" si="286"/>
        <v>6.1630000000000216</v>
      </c>
      <c r="Z103" s="7">
        <f t="shared" si="286"/>
        <v>13.05399999999999</v>
      </c>
      <c r="AA103" s="7">
        <f t="shared" si="286"/>
        <v>-7.5140000000000198</v>
      </c>
      <c r="AB103" s="7">
        <f t="shared" si="286"/>
        <v>7.3885000000000067</v>
      </c>
      <c r="AC103" s="7">
        <f t="shared" si="286"/>
        <v>3.1370000000000147</v>
      </c>
      <c r="AD103" s="7">
        <f t="shared" si="286"/>
        <v>8.7920000000000016</v>
      </c>
      <c r="AE103" s="7">
        <f t="shared" si="286"/>
        <v>11.996000000000006</v>
      </c>
      <c r="AF103" s="7">
        <f t="shared" si="286"/>
        <v>16.056999999999988</v>
      </c>
      <c r="AG103" s="7">
        <f t="shared" si="286"/>
        <v>11.335000000000004</v>
      </c>
      <c r="AH103" s="7">
        <f t="shared" si="286"/>
        <v>15.077000000000004</v>
      </c>
      <c r="AI103" s="7">
        <f t="shared" si="286"/>
        <v>20.870000000000079</v>
      </c>
      <c r="AJ103" s="7">
        <f t="shared" si="286"/>
        <v>26.541999999999973</v>
      </c>
      <c r="AK103" s="7">
        <f t="shared" si="286"/>
        <v>21.323999999999977</v>
      </c>
      <c r="AL103" s="7">
        <f t="shared" si="286"/>
        <v>27.037000000000031</v>
      </c>
      <c r="AM103" s="7">
        <f t="shared" si="286"/>
        <v>34.23600000000004</v>
      </c>
      <c r="AN103" s="7">
        <f t="shared" si="286"/>
        <v>38.210999999999963</v>
      </c>
      <c r="AO103" s="7">
        <f t="shared" ref="AO103:AP103" si="287">SUM(AO101:AO102)</f>
        <v>34.83900000000002</v>
      </c>
      <c r="AP103" s="7">
        <f t="shared" si="287"/>
        <v>29.858000000000068</v>
      </c>
      <c r="AQ103" s="238"/>
      <c r="AR103" s="238"/>
      <c r="AS103" s="238"/>
      <c r="AT103" s="238"/>
      <c r="AU103" s="238"/>
      <c r="AV103" s="238"/>
      <c r="AW103" s="238"/>
    </row>
    <row r="104" spans="2:49">
      <c r="B104" s="76" t="s">
        <v>225</v>
      </c>
      <c r="G104" s="147"/>
      <c r="H104" s="134"/>
      <c r="J104" s="27"/>
      <c r="K104" s="9">
        <f t="shared" ref="K104" si="288">K103/J103-1</f>
        <v>-0.38810226854981222</v>
      </c>
      <c r="L104" s="9">
        <f t="shared" ref="L104" si="289">L103/K103-1</f>
        <v>-0.84432504190932089</v>
      </c>
      <c r="M104" s="9">
        <f t="shared" ref="M104" si="290">M103/L103-1</f>
        <v>1.9989729544676496</v>
      </c>
      <c r="N104" s="9">
        <f t="shared" ref="N104" si="291">N103/M103-1</f>
        <v>0.73958073889580844</v>
      </c>
      <c r="O104" s="9">
        <f t="shared" ref="O104" si="292">O103/N103-1</f>
        <v>0.60265114003794107</v>
      </c>
      <c r="P104" s="238"/>
      <c r="R104" s="27"/>
      <c r="S104" s="27"/>
      <c r="T104" s="27"/>
      <c r="U104" s="27"/>
      <c r="V104" s="9">
        <f>V103/R103-1</f>
        <v>-7.8728429474219652E-3</v>
      </c>
      <c r="W104" s="9">
        <f t="shared" ref="W104" si="293">W103/S103-1</f>
        <v>-0.3570215910679696</v>
      </c>
      <c r="X104" s="9">
        <f t="shared" ref="X104" si="294">X103/T103-1</f>
        <v>-0.46227640356573718</v>
      </c>
      <c r="Y104" s="9">
        <f t="shared" ref="Y104" si="295">Y103/U103-1</f>
        <v>-0.8365772168010176</v>
      </c>
      <c r="Z104" s="9">
        <f t="shared" ref="Z104" si="296">Z103/V103-1</f>
        <v>-0.72003345700988741</v>
      </c>
      <c r="AA104" s="9">
        <f t="shared" ref="AA104" si="297">AA103/W103-1</f>
        <v>-1.2334120278330032</v>
      </c>
      <c r="AB104" s="9">
        <f t="shared" ref="AB104" si="298">AB103/X103-1</f>
        <v>-0.59441730251962366</v>
      </c>
      <c r="AC104" s="9">
        <f t="shared" ref="AC104" si="299">AC103/Y103-1</f>
        <v>-0.49099464546487037</v>
      </c>
      <c r="AD104" s="9">
        <f t="shared" ref="AD104" si="300">AD103/Z103-1</f>
        <v>-0.32648996476175818</v>
      </c>
      <c r="AE104" s="9">
        <f t="shared" ref="AE104" si="301">AE103/AA103-1</f>
        <v>-2.5964865584242713</v>
      </c>
      <c r="AF104" s="9">
        <f t="shared" ref="AF104" si="302">AF103/AB103-1</f>
        <v>1.1732422007173273</v>
      </c>
      <c r="AG104" s="9">
        <f t="shared" ref="AG104" si="303">AG103/AC103-1</f>
        <v>2.6133248326426366</v>
      </c>
      <c r="AH104" s="9">
        <f t="shared" ref="AH104" si="304">AH103/AD103-1</f>
        <v>0.71485441310282094</v>
      </c>
      <c r="AI104" s="9">
        <f t="shared" ref="AI104" si="305">AI103/AE103-1</f>
        <v>0.73974658219407052</v>
      </c>
      <c r="AJ104" s="9">
        <f t="shared" ref="AJ104" si="306">AJ103/AF103-1</f>
        <v>0.6529862365323531</v>
      </c>
      <c r="AK104" s="9">
        <f t="shared" ref="AK104" si="307">AK103/AG103-1</f>
        <v>0.88125275694750504</v>
      </c>
      <c r="AL104" s="9">
        <f t="shared" ref="AL104" si="308">AL103/AH103-1</f>
        <v>0.79326125887112986</v>
      </c>
      <c r="AM104" s="9">
        <f t="shared" ref="AM104" si="309">AM103/AI103-1</f>
        <v>0.64044082414949255</v>
      </c>
      <c r="AN104" s="9">
        <f t="shared" ref="AN104" si="310">AN103/AJ103-1</f>
        <v>0.43964283023133155</v>
      </c>
      <c r="AO104" s="9">
        <f t="shared" ref="AO104" si="311">AO103/AK103-1</f>
        <v>0.63379290939786426</v>
      </c>
      <c r="AP104" s="9">
        <f t="shared" ref="AP104" si="312">AP103/AL103-1</f>
        <v>0.10433849909383563</v>
      </c>
      <c r="AQ104" s="238"/>
      <c r="AR104" s="238"/>
      <c r="AS104" s="238"/>
      <c r="AT104" s="238"/>
      <c r="AU104" s="238"/>
      <c r="AV104" s="238"/>
      <c r="AW104" s="238"/>
    </row>
    <row r="105" spans="2:49">
      <c r="G105" s="241"/>
      <c r="H105" s="237"/>
      <c r="P105" s="238"/>
      <c r="AN105" s="244"/>
      <c r="AO105" s="244"/>
      <c r="AP105" s="244"/>
      <c r="AQ105" s="238"/>
      <c r="AR105" s="238"/>
      <c r="AS105" s="238"/>
      <c r="AT105" s="238"/>
      <c r="AU105" s="238"/>
      <c r="AV105" s="238"/>
      <c r="AW105" s="238"/>
    </row>
    <row r="106" spans="2:49">
      <c r="B106" s="25" t="s">
        <v>217</v>
      </c>
      <c r="G106" s="139">
        <f ca="1">OFFSET(R106,0,MATCH($G$2,$R$3:$AW$3,0)-1)*4</f>
        <v>523.32799999999997</v>
      </c>
      <c r="H106" s="75">
        <f ca="1">SUM(OFFSET(R106,0,MATCH($G$2,$R$3:$AW$3,0)-4),OFFSET(R106,0,MATCH($G$2,$R$3:$AW$3,0)-3),OFFSET(R106,0,MATCH($G$2,$R$3:$AW$3,0)-2),OFFSET(R106,0,MATCH($G$2,$R$3:$AW$3,0)-1))</f>
        <v>465.81900000000002</v>
      </c>
      <c r="J106" s="15">
        <f t="shared" ref="J106:J108" si="313">SUM(R106:U106)</f>
        <v>329.72300000000018</v>
      </c>
      <c r="K106" s="15">
        <f t="shared" ref="K106:K108" si="314">SUM(V106:Y106)</f>
        <v>395.58400000000006</v>
      </c>
      <c r="L106" s="15">
        <f t="shared" ref="L106:L108" si="315">SUM(Z106:AC106)</f>
        <v>350.45400000000012</v>
      </c>
      <c r="M106" s="15">
        <f t="shared" ref="M106:M108" si="316">SUM(AD106:AG106)</f>
        <v>248.99399999999997</v>
      </c>
      <c r="N106" s="15">
        <f t="shared" ref="N106:N108" si="317">SUM(AH106:AK106)</f>
        <v>313.73499999999996</v>
      </c>
      <c r="O106" s="15">
        <f t="shared" ref="O106:O108" si="318">SUM(AL106:AO106)</f>
        <v>423.16499999999996</v>
      </c>
      <c r="P106" s="238"/>
      <c r="R106" s="162">
        <f>R98</f>
        <v>59.520000000000067</v>
      </c>
      <c r="S106" s="162">
        <f t="shared" ref="S106:AP106" si="319">S98</f>
        <v>83.010000000000062</v>
      </c>
      <c r="T106" s="162">
        <f t="shared" si="319"/>
        <v>95.661000000000001</v>
      </c>
      <c r="U106" s="162">
        <f t="shared" si="319"/>
        <v>91.532000000000039</v>
      </c>
      <c r="V106" s="162">
        <f t="shared" si="319"/>
        <v>80.747999999999976</v>
      </c>
      <c r="W106" s="162">
        <f t="shared" si="319"/>
        <v>98.335000000000051</v>
      </c>
      <c r="X106" s="162">
        <f t="shared" si="319"/>
        <v>117.142</v>
      </c>
      <c r="Y106" s="162">
        <f t="shared" si="319"/>
        <v>99.359000000000066</v>
      </c>
      <c r="Z106" s="162">
        <f t="shared" si="319"/>
        <v>96.015000000000072</v>
      </c>
      <c r="AA106" s="162">
        <f t="shared" si="319"/>
        <v>98.059000000000054</v>
      </c>
      <c r="AB106" s="162">
        <f t="shared" si="319"/>
        <v>79.720999999999989</v>
      </c>
      <c r="AC106" s="162">
        <f t="shared" si="319"/>
        <v>76.659000000000006</v>
      </c>
      <c r="AD106" s="162">
        <f t="shared" si="319"/>
        <v>49.518999999999998</v>
      </c>
      <c r="AE106" s="162">
        <f t="shared" si="319"/>
        <v>65.979000000000013</v>
      </c>
      <c r="AF106" s="162">
        <f t="shared" si="319"/>
        <v>63.39499999999996</v>
      </c>
      <c r="AG106" s="162">
        <f t="shared" si="319"/>
        <v>70.101000000000013</v>
      </c>
      <c r="AH106" s="162">
        <f t="shared" si="319"/>
        <v>61.021000000000001</v>
      </c>
      <c r="AI106" s="162">
        <f t="shared" si="319"/>
        <v>75.027999999999949</v>
      </c>
      <c r="AJ106" s="162">
        <f t="shared" si="319"/>
        <v>86.083000000000027</v>
      </c>
      <c r="AK106" s="162">
        <f t="shared" si="319"/>
        <v>91.602999999999994</v>
      </c>
      <c r="AL106" s="162">
        <f t="shared" si="319"/>
        <v>88.17799999999994</v>
      </c>
      <c r="AM106" s="162">
        <f t="shared" si="319"/>
        <v>109.77699999999999</v>
      </c>
      <c r="AN106" s="162">
        <f t="shared" si="319"/>
        <v>110.12</v>
      </c>
      <c r="AO106" s="162">
        <f t="shared" si="319"/>
        <v>115.09000000000003</v>
      </c>
      <c r="AP106" s="162">
        <f t="shared" si="319"/>
        <v>130.83199999999999</v>
      </c>
      <c r="AQ106" s="238"/>
      <c r="AR106" s="238"/>
      <c r="AS106" s="238"/>
      <c r="AT106" s="238"/>
      <c r="AU106" s="238"/>
      <c r="AV106" s="238"/>
      <c r="AW106" s="238"/>
    </row>
    <row r="107" spans="2:49">
      <c r="B107" s="25" t="s">
        <v>223</v>
      </c>
      <c r="G107" s="139">
        <f ca="1">OFFSET(R107,0,MATCH($G$2,$R$3:$AW$3,0)-1)*4</f>
        <v>119.43200000000027</v>
      </c>
      <c r="H107" s="75">
        <f ca="1">SUM(OFFSET(R107,0,MATCH($G$2,$R$3:$AW$3,0)-4),OFFSET(R107,0,MATCH($G$2,$R$3:$AW$3,0)-3),OFFSET(R107,0,MATCH($G$2,$R$3:$AW$3,0)-2),OFFSET(R107,0,MATCH($G$2,$R$3:$AW$3,0)-1))</f>
        <v>137.14400000000009</v>
      </c>
      <c r="J107" s="15">
        <f t="shared" si="313"/>
        <v>168.654</v>
      </c>
      <c r="K107" s="15">
        <f t="shared" si="314"/>
        <v>103.19899999999997</v>
      </c>
      <c r="L107" s="15">
        <f t="shared" si="315"/>
        <v>16.065499999999993</v>
      </c>
      <c r="M107" s="15">
        <f t="shared" si="316"/>
        <v>48.180000000000007</v>
      </c>
      <c r="N107" s="15">
        <f t="shared" si="317"/>
        <v>83.813000000000031</v>
      </c>
      <c r="O107" s="15">
        <f t="shared" si="318"/>
        <v>134.32300000000006</v>
      </c>
      <c r="P107" s="238"/>
      <c r="R107" s="162">
        <f>R103</f>
        <v>46.997000000000028</v>
      </c>
      <c r="S107" s="162">
        <f t="shared" ref="S107:AP107" si="320">S103</f>
        <v>50.066999999999943</v>
      </c>
      <c r="T107" s="162">
        <f t="shared" si="320"/>
        <v>33.878000000000043</v>
      </c>
      <c r="U107" s="162">
        <f t="shared" si="320"/>
        <v>37.711999999999989</v>
      </c>
      <c r="V107" s="162">
        <f t="shared" si="320"/>
        <v>46.627000000000038</v>
      </c>
      <c r="W107" s="162">
        <f t="shared" si="320"/>
        <v>32.191999999999929</v>
      </c>
      <c r="X107" s="162">
        <f t="shared" si="320"/>
        <v>18.216999999999977</v>
      </c>
      <c r="Y107" s="162">
        <f t="shared" si="320"/>
        <v>6.1630000000000216</v>
      </c>
      <c r="Z107" s="162">
        <f t="shared" si="320"/>
        <v>13.05399999999999</v>
      </c>
      <c r="AA107" s="162">
        <f t="shared" si="320"/>
        <v>-7.5140000000000198</v>
      </c>
      <c r="AB107" s="162">
        <f t="shared" si="320"/>
        <v>7.3885000000000067</v>
      </c>
      <c r="AC107" s="162">
        <f t="shared" si="320"/>
        <v>3.1370000000000147</v>
      </c>
      <c r="AD107" s="162">
        <f t="shared" si="320"/>
        <v>8.7920000000000016</v>
      </c>
      <c r="AE107" s="162">
        <f t="shared" si="320"/>
        <v>11.996000000000006</v>
      </c>
      <c r="AF107" s="162">
        <f t="shared" si="320"/>
        <v>16.056999999999988</v>
      </c>
      <c r="AG107" s="162">
        <f t="shared" si="320"/>
        <v>11.335000000000004</v>
      </c>
      <c r="AH107" s="162">
        <f t="shared" si="320"/>
        <v>15.077000000000004</v>
      </c>
      <c r="AI107" s="162">
        <f t="shared" si="320"/>
        <v>20.870000000000079</v>
      </c>
      <c r="AJ107" s="162">
        <f t="shared" si="320"/>
        <v>26.541999999999973</v>
      </c>
      <c r="AK107" s="162">
        <f t="shared" si="320"/>
        <v>21.323999999999977</v>
      </c>
      <c r="AL107" s="162">
        <f t="shared" si="320"/>
        <v>27.037000000000031</v>
      </c>
      <c r="AM107" s="162">
        <f t="shared" si="320"/>
        <v>34.23600000000004</v>
      </c>
      <c r="AN107" s="162">
        <f t="shared" si="320"/>
        <v>38.210999999999963</v>
      </c>
      <c r="AO107" s="162">
        <f t="shared" si="320"/>
        <v>34.83900000000002</v>
      </c>
      <c r="AP107" s="162">
        <f t="shared" si="320"/>
        <v>29.858000000000068</v>
      </c>
      <c r="AQ107" s="238"/>
      <c r="AR107" s="238"/>
      <c r="AS107" s="238"/>
      <c r="AT107" s="238"/>
      <c r="AU107" s="238"/>
      <c r="AV107" s="238"/>
      <c r="AW107" s="238"/>
    </row>
    <row r="108" spans="2:49">
      <c r="B108" s="26" t="s">
        <v>224</v>
      </c>
      <c r="C108" s="26"/>
      <c r="D108" s="26"/>
      <c r="E108" s="26"/>
      <c r="F108" s="26"/>
      <c r="G108" s="140">
        <f ca="1">OFFSET(R108,0,MATCH($G$2,$R$3:$AW$3,0)-1)*4</f>
        <v>-6.3960000000006403</v>
      </c>
      <c r="H108" s="128">
        <f ca="1">SUM(OFFSET(R108,0,MATCH($G$2,$R$3:$AW$3,0)-4),OFFSET(R108,0,MATCH($G$2,$R$3:$AW$3,0)-3),OFFSET(R108,0,MATCH($G$2,$R$3:$AW$3,0)-2),OFFSET(R108,0,MATCH($G$2,$R$3:$AW$3,0)-1))</f>
        <v>-12.96200000000016</v>
      </c>
      <c r="I108" s="26"/>
      <c r="J108" s="12">
        <f t="shared" si="313"/>
        <v>-32.273999999999951</v>
      </c>
      <c r="K108" s="12">
        <f t="shared" si="314"/>
        <v>-9.7510000000001185</v>
      </c>
      <c r="L108" s="12">
        <f t="shared" si="315"/>
        <v>-6.2015000000000668</v>
      </c>
      <c r="M108" s="12">
        <f t="shared" si="316"/>
        <v>-6.636999999999901</v>
      </c>
      <c r="N108" s="12">
        <f t="shared" si="317"/>
        <v>-10.197999999999972</v>
      </c>
      <c r="O108" s="12">
        <f t="shared" si="318"/>
        <v>-16.249000000000052</v>
      </c>
      <c r="P108" s="239"/>
      <c r="Q108" s="26"/>
      <c r="R108" s="189">
        <f>R109-R107-R106</f>
        <v>-3.4770000000000039</v>
      </c>
      <c r="S108" s="189">
        <f t="shared" ref="S108:AP108" si="321">S109-S107-S106</f>
        <v>-22.173999999999872</v>
      </c>
      <c r="T108" s="189">
        <f t="shared" si="321"/>
        <v>-3.6700000000000443</v>
      </c>
      <c r="U108" s="189">
        <f t="shared" si="321"/>
        <v>-2.9530000000000314</v>
      </c>
      <c r="V108" s="189">
        <f t="shared" si="321"/>
        <v>-2.203000000000003</v>
      </c>
      <c r="W108" s="189">
        <f t="shared" si="321"/>
        <v>-2.7090000000000742</v>
      </c>
      <c r="X108" s="189">
        <f t="shared" si="321"/>
        <v>-2.6290000000000191</v>
      </c>
      <c r="Y108" s="189">
        <f t="shared" si="321"/>
        <v>-2.2100000000000222</v>
      </c>
      <c r="Z108" s="189">
        <f t="shared" si="321"/>
        <v>-2.1970000000000027</v>
      </c>
      <c r="AA108" s="189">
        <f t="shared" si="321"/>
        <v>-1.6020000000000181</v>
      </c>
      <c r="AB108" s="189">
        <f t="shared" si="321"/>
        <v>-2.1034999999999968</v>
      </c>
      <c r="AC108" s="189">
        <f t="shared" si="321"/>
        <v>-0.29900000000004923</v>
      </c>
      <c r="AD108" s="189">
        <f t="shared" si="321"/>
        <v>-2.3899999999999935</v>
      </c>
      <c r="AE108" s="189">
        <f t="shared" si="321"/>
        <v>-0.93399999999996908</v>
      </c>
      <c r="AF108" s="189">
        <f t="shared" si="321"/>
        <v>-3.0329999999998947</v>
      </c>
      <c r="AG108" s="189">
        <f t="shared" si="321"/>
        <v>-0.28000000000004377</v>
      </c>
      <c r="AH108" s="189">
        <f t="shared" si="321"/>
        <v>-1.2889999999999802</v>
      </c>
      <c r="AI108" s="189">
        <f t="shared" si="321"/>
        <v>-0.6920000000000357</v>
      </c>
      <c r="AJ108" s="189">
        <f t="shared" si="321"/>
        <v>-3.6759999999999735</v>
      </c>
      <c r="AK108" s="189">
        <f t="shared" si="321"/>
        <v>-4.5409999999999826</v>
      </c>
      <c r="AL108" s="189">
        <f t="shared" si="321"/>
        <v>-4.8860000000000525</v>
      </c>
      <c r="AM108" s="189">
        <f t="shared" si="321"/>
        <v>-5.4879999999999427</v>
      </c>
      <c r="AN108" s="189">
        <f t="shared" si="321"/>
        <v>-2.8910000000000764</v>
      </c>
      <c r="AO108" s="189">
        <f t="shared" si="321"/>
        <v>-2.9839999999999804</v>
      </c>
      <c r="AP108" s="189">
        <f t="shared" si="321"/>
        <v>-1.5990000000001601</v>
      </c>
      <c r="AQ108" s="239"/>
      <c r="AR108" s="239"/>
      <c r="AS108" s="239"/>
      <c r="AT108" s="239"/>
      <c r="AU108" s="239"/>
      <c r="AV108" s="239"/>
      <c r="AW108" s="239"/>
    </row>
    <row r="109" spans="2:49">
      <c r="B109" s="21" t="s">
        <v>165</v>
      </c>
      <c r="G109" s="143">
        <f ca="1">SUM(G106:G108)</f>
        <v>636.36399999999958</v>
      </c>
      <c r="H109" s="193">
        <f ca="1">SUM(H106:H108)</f>
        <v>590.00099999999998</v>
      </c>
      <c r="J109" s="7">
        <f t="shared" ref="J109:O109" si="322">SUM(J106:J108)</f>
        <v>466.10300000000024</v>
      </c>
      <c r="K109" s="7">
        <f t="shared" si="322"/>
        <v>489.03199999999993</v>
      </c>
      <c r="L109" s="7">
        <f t="shared" si="322"/>
        <v>360.31800000000004</v>
      </c>
      <c r="M109" s="7">
        <f t="shared" si="322"/>
        <v>290.53700000000009</v>
      </c>
      <c r="N109" s="7">
        <f t="shared" si="322"/>
        <v>387.35</v>
      </c>
      <c r="O109" s="7">
        <f t="shared" si="322"/>
        <v>541.23900000000003</v>
      </c>
      <c r="P109" s="238"/>
      <c r="R109" s="7">
        <f>R23</f>
        <v>103.04000000000009</v>
      </c>
      <c r="S109" s="7">
        <f t="shared" ref="S109:AP109" si="323">S23</f>
        <v>110.90300000000013</v>
      </c>
      <c r="T109" s="7">
        <f t="shared" si="323"/>
        <v>125.869</v>
      </c>
      <c r="U109" s="7">
        <f t="shared" si="323"/>
        <v>126.291</v>
      </c>
      <c r="V109" s="7">
        <f t="shared" si="323"/>
        <v>125.17200000000001</v>
      </c>
      <c r="W109" s="7">
        <f t="shared" si="323"/>
        <v>127.81799999999991</v>
      </c>
      <c r="X109" s="7">
        <f t="shared" si="323"/>
        <v>132.72999999999996</v>
      </c>
      <c r="Y109" s="7">
        <f t="shared" si="323"/>
        <v>103.31200000000007</v>
      </c>
      <c r="Z109" s="7">
        <f t="shared" si="323"/>
        <v>106.87200000000006</v>
      </c>
      <c r="AA109" s="7">
        <f t="shared" si="323"/>
        <v>88.943000000000012</v>
      </c>
      <c r="AB109" s="7">
        <f t="shared" si="323"/>
        <v>85.006</v>
      </c>
      <c r="AC109" s="7">
        <f t="shared" si="323"/>
        <v>79.496999999999971</v>
      </c>
      <c r="AD109" s="7">
        <f t="shared" si="323"/>
        <v>55.921000000000006</v>
      </c>
      <c r="AE109" s="7">
        <f t="shared" si="323"/>
        <v>77.041000000000054</v>
      </c>
      <c r="AF109" s="7">
        <f t="shared" si="323"/>
        <v>76.419000000000054</v>
      </c>
      <c r="AG109" s="7">
        <f t="shared" si="323"/>
        <v>81.155999999999977</v>
      </c>
      <c r="AH109" s="7">
        <f t="shared" si="323"/>
        <v>74.809000000000026</v>
      </c>
      <c r="AI109" s="7">
        <f t="shared" si="323"/>
        <v>95.205999999999989</v>
      </c>
      <c r="AJ109" s="7">
        <f t="shared" si="323"/>
        <v>108.94900000000003</v>
      </c>
      <c r="AK109" s="7">
        <f t="shared" si="323"/>
        <v>108.386</v>
      </c>
      <c r="AL109" s="7">
        <f t="shared" si="323"/>
        <v>110.32899999999992</v>
      </c>
      <c r="AM109" s="7">
        <f t="shared" si="323"/>
        <v>138.52500000000009</v>
      </c>
      <c r="AN109" s="7">
        <f t="shared" si="323"/>
        <v>145.43999999999988</v>
      </c>
      <c r="AO109" s="7">
        <f t="shared" si="323"/>
        <v>146.94500000000008</v>
      </c>
      <c r="AP109" s="7">
        <f t="shared" si="323"/>
        <v>159.09099999999989</v>
      </c>
      <c r="AQ109" s="238"/>
      <c r="AR109" s="238"/>
      <c r="AS109" s="238"/>
      <c r="AT109" s="238"/>
      <c r="AU109" s="238"/>
      <c r="AV109" s="238"/>
      <c r="AW109" s="238"/>
    </row>
    <row r="110" spans="2:49">
      <c r="B110" s="76" t="s">
        <v>167</v>
      </c>
      <c r="G110" s="147"/>
      <c r="H110" s="147"/>
      <c r="J110" s="27"/>
      <c r="K110" s="9">
        <f t="shared" ref="K110" si="324">K109/J109-1</f>
        <v>4.9192989532355957E-2</v>
      </c>
      <c r="L110" s="9">
        <f t="shared" ref="L110" si="325">L109/K109-1</f>
        <v>-0.26320159007999455</v>
      </c>
      <c r="M110" s="9">
        <f t="shared" ref="M110" si="326">M109/L109-1</f>
        <v>-0.19366504032549015</v>
      </c>
      <c r="N110" s="9">
        <f t="shared" ref="N110" si="327">N109/M109-1</f>
        <v>0.3332208978546618</v>
      </c>
      <c r="O110" s="9">
        <f t="shared" ref="O110" si="328">O109/N109-1</f>
        <v>0.39728669162256347</v>
      </c>
      <c r="P110" s="238"/>
      <c r="R110" s="27"/>
      <c r="S110" s="27"/>
      <c r="T110" s="27"/>
      <c r="U110" s="27"/>
      <c r="V110" s="9">
        <f>V109/R109-1</f>
        <v>0.21479037267080647</v>
      </c>
      <c r="W110" s="9">
        <f t="shared" ref="W110" si="329">W109/S109-1</f>
        <v>0.1525206712171876</v>
      </c>
      <c r="X110" s="9">
        <f t="shared" ref="X110" si="330">X109/T109-1</f>
        <v>5.450905306310494E-2</v>
      </c>
      <c r="Y110" s="9">
        <f t="shared" ref="Y110" si="331">Y109/U109-1</f>
        <v>-0.18195279156867816</v>
      </c>
      <c r="Z110" s="9">
        <f t="shared" ref="Z110" si="332">Z109/V109-1</f>
        <v>-0.14619883040935633</v>
      </c>
      <c r="AA110" s="9">
        <f t="shared" ref="AA110" si="333">AA109/W109-1</f>
        <v>-0.30414339138462443</v>
      </c>
      <c r="AB110" s="9">
        <f t="shared" ref="AB110" si="334">AB109/X109-1</f>
        <v>-0.35955699540420383</v>
      </c>
      <c r="AC110" s="9">
        <f t="shared" ref="AC110" si="335">AC109/Y109-1</f>
        <v>-0.23051533219761577</v>
      </c>
      <c r="AD110" s="9">
        <f t="shared" ref="AD110" si="336">AD109/Z109-1</f>
        <v>-0.47674788532075774</v>
      </c>
      <c r="AE110" s="9">
        <f t="shared" ref="AE110" si="337">AE109/AA109-1</f>
        <v>-0.13381603948596243</v>
      </c>
      <c r="AF110" s="9">
        <f t="shared" ref="AF110" si="338">AF109/AB109-1</f>
        <v>-0.10101639884243407</v>
      </c>
      <c r="AG110" s="9">
        <f t="shared" ref="AG110" si="339">AG109/AC109-1</f>
        <v>2.086871202686913E-2</v>
      </c>
      <c r="AH110" s="9">
        <f t="shared" ref="AH110" si="340">AH109/AD109-1</f>
        <v>0.33776220024677706</v>
      </c>
      <c r="AI110" s="9">
        <f t="shared" ref="AI110" si="341">AI109/AE109-1</f>
        <v>0.2357835438273117</v>
      </c>
      <c r="AJ110" s="9">
        <f t="shared" ref="AJ110" si="342">AJ109/AF109-1</f>
        <v>0.42567947761682245</v>
      </c>
      <c r="AK110" s="9">
        <f t="shared" ref="AK110" si="343">AK109/AG109-1</f>
        <v>0.33552664005125954</v>
      </c>
      <c r="AL110" s="9">
        <f t="shared" ref="AL110" si="344">AL109/AH109-1</f>
        <v>0.47480918071354905</v>
      </c>
      <c r="AM110" s="9">
        <f t="shared" ref="AM110" si="345">AM109/AI109-1</f>
        <v>0.45500283595571811</v>
      </c>
      <c r="AN110" s="9">
        <f t="shared" ref="AN110" si="346">AN109/AJ109-1</f>
        <v>0.33493652993602363</v>
      </c>
      <c r="AO110" s="9">
        <f t="shared" ref="AO110" si="347">AO109/AK109-1</f>
        <v>0.3557562784861521</v>
      </c>
      <c r="AP110" s="9">
        <f t="shared" ref="AP110" si="348">AP109/AL109-1</f>
        <v>0.44196901993129645</v>
      </c>
      <c r="AQ110" s="238"/>
      <c r="AR110" s="238"/>
      <c r="AS110" s="238"/>
      <c r="AT110" s="238"/>
      <c r="AU110" s="238"/>
      <c r="AV110" s="238"/>
      <c r="AW110" s="238"/>
    </row>
    <row r="111" spans="2:49">
      <c r="B111" s="76"/>
      <c r="G111" s="147"/>
      <c r="H111" s="134"/>
      <c r="J111" s="27"/>
      <c r="K111" s="9"/>
      <c r="L111" s="9"/>
      <c r="M111" s="9"/>
      <c r="N111" s="9"/>
      <c r="O111" s="9"/>
      <c r="P111" s="238"/>
      <c r="R111" s="27"/>
      <c r="S111" s="27"/>
      <c r="T111" s="27"/>
      <c r="U111" s="27"/>
      <c r="V111" s="9"/>
      <c r="W111" s="9"/>
      <c r="X111" s="9"/>
      <c r="Y111" s="9"/>
      <c r="Z111" s="9"/>
      <c r="AA111" s="9"/>
      <c r="AB111" s="9"/>
      <c r="AC111" s="9"/>
      <c r="AD111" s="9"/>
      <c r="AE111" s="9"/>
      <c r="AF111" s="9"/>
      <c r="AG111" s="9"/>
      <c r="AH111" s="9"/>
      <c r="AI111" s="9"/>
      <c r="AJ111" s="9"/>
      <c r="AK111" s="9"/>
      <c r="AL111" s="9"/>
      <c r="AM111" s="9"/>
      <c r="AN111" s="9"/>
      <c r="AO111" s="9"/>
      <c r="AP111" s="9"/>
      <c r="AQ111" s="238"/>
      <c r="AR111" s="238"/>
      <c r="AS111" s="238"/>
      <c r="AT111" s="238"/>
      <c r="AU111" s="238"/>
      <c r="AV111" s="238"/>
      <c r="AW111" s="238"/>
    </row>
    <row r="112" spans="2:49">
      <c r="B112" s="25" t="s">
        <v>247</v>
      </c>
      <c r="G112" s="139">
        <f ca="1">OFFSET(R112,0,MATCH($G$2,$R$3:$AW$3,0)-1)*4</f>
        <v>13216</v>
      </c>
      <c r="H112" s="75">
        <f ca="1">SUM(OFFSET(R112,0,MATCH($G$2,$R$3:$AW$3,0)-4),OFFSET(R112,0,MATCH($G$2,$R$3:$AW$3,0)-3),OFFSET(R112,0,MATCH($G$2,$R$3:$AW$3,0)-2),OFFSET(R112,0,MATCH($G$2,$R$3:$AW$3,0)-1))</f>
        <v>13435</v>
      </c>
      <c r="J112" s="15">
        <f t="shared" ref="J112" si="349">SUM(R112:U112)</f>
        <v>14501</v>
      </c>
      <c r="K112" s="15">
        <f t="shared" ref="K112" si="350">SUM(V112:Y112)</f>
        <v>14611</v>
      </c>
      <c r="L112" s="15">
        <f t="shared" ref="L112" si="351">SUM(Z112:AC112)</f>
        <v>13006</v>
      </c>
      <c r="M112" s="15">
        <f t="shared" ref="M112" si="352">SUM(AD112:AG112)</f>
        <v>13696</v>
      </c>
      <c r="N112" s="15">
        <f t="shared" ref="N112" si="353">SUM(AH112:AK112)</f>
        <v>13775</v>
      </c>
      <c r="O112" s="15">
        <f t="shared" ref="O112" si="354">SUM(AL112:AO112)</f>
        <v>13571</v>
      </c>
      <c r="P112" s="238"/>
      <c r="R112" s="19">
        <v>3182</v>
      </c>
      <c r="S112" s="19">
        <v>3921</v>
      </c>
      <c r="T112" s="19">
        <v>3721</v>
      </c>
      <c r="U112" s="19">
        <v>3677</v>
      </c>
      <c r="V112" s="19">
        <v>3146</v>
      </c>
      <c r="W112" s="19">
        <v>3707</v>
      </c>
      <c r="X112" s="19">
        <v>3958</v>
      </c>
      <c r="Y112" s="19">
        <v>3800</v>
      </c>
      <c r="Z112" s="19">
        <v>3619</v>
      </c>
      <c r="AA112" s="19">
        <v>3688</v>
      </c>
      <c r="AB112" s="19">
        <v>2794</v>
      </c>
      <c r="AC112" s="19">
        <v>2905</v>
      </c>
      <c r="AD112" s="19">
        <v>2981</v>
      </c>
      <c r="AE112" s="19">
        <v>3478</v>
      </c>
      <c r="AF112" s="19">
        <v>3393</v>
      </c>
      <c r="AG112" s="19">
        <v>3844</v>
      </c>
      <c r="AH112" s="19">
        <v>3168</v>
      </c>
      <c r="AI112" s="19">
        <v>3536</v>
      </c>
      <c r="AJ112" s="19">
        <v>3706</v>
      </c>
      <c r="AK112" s="19">
        <v>3365</v>
      </c>
      <c r="AL112" s="19">
        <v>3440</v>
      </c>
      <c r="AM112" s="19">
        <v>3500</v>
      </c>
      <c r="AN112" s="19">
        <v>3291</v>
      </c>
      <c r="AO112" s="19">
        <v>3340</v>
      </c>
      <c r="AP112" s="19">
        <v>3304</v>
      </c>
      <c r="AQ112" s="238"/>
      <c r="AR112" s="238"/>
      <c r="AS112" s="238"/>
      <c r="AT112" s="238"/>
      <c r="AU112" s="238"/>
      <c r="AV112" s="238"/>
      <c r="AW112" s="238"/>
    </row>
    <row r="113" spans="1:49">
      <c r="B113" s="26" t="s">
        <v>248</v>
      </c>
      <c r="C113" s="26"/>
      <c r="D113" s="26"/>
      <c r="E113" s="26"/>
      <c r="F113" s="26"/>
      <c r="G113" s="291">
        <f t="shared" ref="G113:H113" ca="1" si="355">G114/G112*100</f>
        <v>11.7</v>
      </c>
      <c r="H113" s="292">
        <f t="shared" ca="1" si="355"/>
        <v>10.913918868626721</v>
      </c>
      <c r="I113" s="293"/>
      <c r="J113" s="294">
        <f>J114/J112*100</f>
        <v>7.7083856285773384</v>
      </c>
      <c r="K113" s="294">
        <f t="shared" ref="K113:O113" si="356">K114/K112*100</f>
        <v>8.3688180138252015</v>
      </c>
      <c r="L113" s="294">
        <f t="shared" si="356"/>
        <v>8.4279870828848225</v>
      </c>
      <c r="M113" s="294">
        <f t="shared" si="356"/>
        <v>7.3369450934579428</v>
      </c>
      <c r="N113" s="294">
        <f t="shared" si="356"/>
        <v>9.2789981851179668</v>
      </c>
      <c r="O113" s="294">
        <f t="shared" si="356"/>
        <v>10.440181268882174</v>
      </c>
      <c r="P113" s="295"/>
      <c r="Q113" s="293"/>
      <c r="R113" s="296">
        <v>8</v>
      </c>
      <c r="S113" s="296">
        <v>7.3</v>
      </c>
      <c r="T113" s="296">
        <v>7.7</v>
      </c>
      <c r="U113" s="296">
        <v>7.9</v>
      </c>
      <c r="V113" s="296">
        <v>9</v>
      </c>
      <c r="W113" s="296">
        <v>8.4</v>
      </c>
      <c r="X113" s="296">
        <v>8</v>
      </c>
      <c r="Y113" s="296">
        <v>8.1999999999999993</v>
      </c>
      <c r="Z113" s="296">
        <v>8.8000000000000007</v>
      </c>
      <c r="AA113" s="296">
        <v>8.1999999999999993</v>
      </c>
      <c r="AB113" s="296">
        <v>8.9</v>
      </c>
      <c r="AC113" s="296">
        <v>7.8</v>
      </c>
      <c r="AD113" s="296">
        <v>7.5</v>
      </c>
      <c r="AE113" s="296">
        <v>7.3</v>
      </c>
      <c r="AF113" s="296">
        <v>7.5</v>
      </c>
      <c r="AG113" s="296">
        <v>7.1</v>
      </c>
      <c r="AH113" s="296">
        <v>8.8000000000000007</v>
      </c>
      <c r="AI113" s="296">
        <v>9</v>
      </c>
      <c r="AJ113" s="296">
        <v>9.3000000000000007</v>
      </c>
      <c r="AK113" s="296">
        <v>10</v>
      </c>
      <c r="AL113" s="296">
        <v>9.8000000000000007</v>
      </c>
      <c r="AM113" s="296">
        <v>10.1</v>
      </c>
      <c r="AN113" s="296">
        <v>10.7</v>
      </c>
      <c r="AO113" s="296">
        <v>11.2</v>
      </c>
      <c r="AP113" s="296">
        <v>11.7</v>
      </c>
      <c r="AQ113" s="239"/>
      <c r="AR113" s="239"/>
      <c r="AS113" s="239"/>
      <c r="AT113" s="239"/>
      <c r="AU113" s="239"/>
      <c r="AV113" s="239"/>
      <c r="AW113" s="239"/>
    </row>
    <row r="114" spans="1:49">
      <c r="B114" s="1" t="s">
        <v>249</v>
      </c>
      <c r="G114" s="141">
        <f ca="1">OFFSET(R114,0,MATCH($G$2,$R$3:$AW$3,0)-1)*4</f>
        <v>1546.2719999999999</v>
      </c>
      <c r="H114" s="74">
        <f ca="1">SUM(OFFSET(R114,0,MATCH($G$2,$R$3:$AW$3,0)-4),OFFSET(R114,0,MATCH($G$2,$R$3:$AW$3,0)-3),OFFSET(R114,0,MATCH($G$2,$R$3:$AW$3,0)-2),OFFSET(R114,0,MATCH($G$2,$R$3:$AW$3,0)-1))</f>
        <v>1466.2849999999999</v>
      </c>
      <c r="J114" s="34">
        <f t="shared" ref="J114" si="357">SUM(R114:U114)</f>
        <v>1117.7929999999999</v>
      </c>
      <c r="K114" s="34">
        <f t="shared" ref="K114" si="358">SUM(V114:Y114)</f>
        <v>1222.768</v>
      </c>
      <c r="L114" s="34">
        <f t="shared" ref="L114" si="359">SUM(Z114:AC114)</f>
        <v>1096.144</v>
      </c>
      <c r="M114" s="34">
        <f t="shared" ref="M114" si="360">SUM(AD114:AG114)</f>
        <v>1004.8679999999999</v>
      </c>
      <c r="N114" s="34">
        <f t="shared" ref="N114" si="361">SUM(AH114:AK114)</f>
        <v>1278.182</v>
      </c>
      <c r="O114" s="34">
        <f t="shared" ref="O114" si="362">SUM(AL114:AO114)</f>
        <v>1416.837</v>
      </c>
      <c r="P114" s="238"/>
      <c r="R114" s="175">
        <f t="shared" ref="R114:AO114" si="363">R112*R113/100</f>
        <v>254.56</v>
      </c>
      <c r="S114" s="175">
        <f t="shared" si="363"/>
        <v>286.233</v>
      </c>
      <c r="T114" s="175">
        <f t="shared" si="363"/>
        <v>286.517</v>
      </c>
      <c r="U114" s="175">
        <f t="shared" si="363"/>
        <v>290.483</v>
      </c>
      <c r="V114" s="175">
        <f t="shared" si="363"/>
        <v>283.14</v>
      </c>
      <c r="W114" s="175">
        <f t="shared" si="363"/>
        <v>311.38800000000003</v>
      </c>
      <c r="X114" s="175">
        <f t="shared" si="363"/>
        <v>316.64</v>
      </c>
      <c r="Y114" s="175">
        <f t="shared" si="363"/>
        <v>311.59999999999997</v>
      </c>
      <c r="Z114" s="175">
        <f t="shared" si="363"/>
        <v>318.47200000000004</v>
      </c>
      <c r="AA114" s="175">
        <f t="shared" si="363"/>
        <v>302.416</v>
      </c>
      <c r="AB114" s="175">
        <f t="shared" si="363"/>
        <v>248.66600000000003</v>
      </c>
      <c r="AC114" s="175">
        <f t="shared" si="363"/>
        <v>226.59</v>
      </c>
      <c r="AD114" s="175">
        <f t="shared" si="363"/>
        <v>223.57499999999999</v>
      </c>
      <c r="AE114" s="175">
        <f t="shared" si="363"/>
        <v>253.89399999999998</v>
      </c>
      <c r="AF114" s="175">
        <f t="shared" si="363"/>
        <v>254.47499999999999</v>
      </c>
      <c r="AG114" s="175">
        <f t="shared" si="363"/>
        <v>272.92399999999998</v>
      </c>
      <c r="AH114" s="175">
        <f t="shared" si="363"/>
        <v>278.78399999999999</v>
      </c>
      <c r="AI114" s="175">
        <f t="shared" si="363"/>
        <v>318.24</v>
      </c>
      <c r="AJ114" s="175">
        <f t="shared" si="363"/>
        <v>344.65800000000002</v>
      </c>
      <c r="AK114" s="175">
        <f t="shared" si="363"/>
        <v>336.5</v>
      </c>
      <c r="AL114" s="175">
        <f t="shared" si="363"/>
        <v>337.12</v>
      </c>
      <c r="AM114" s="175">
        <f t="shared" si="363"/>
        <v>353.5</v>
      </c>
      <c r="AN114" s="175">
        <f t="shared" si="363"/>
        <v>352.13699999999994</v>
      </c>
      <c r="AO114" s="175">
        <f t="shared" si="363"/>
        <v>374.08</v>
      </c>
      <c r="AP114" s="175">
        <f>AP112*AP113/100</f>
        <v>386.56799999999998</v>
      </c>
      <c r="AQ114" s="238"/>
      <c r="AR114" s="238"/>
      <c r="AS114" s="238"/>
      <c r="AT114" s="238"/>
      <c r="AU114" s="238"/>
      <c r="AV114" s="238"/>
      <c r="AW114" s="238"/>
    </row>
    <row r="115" spans="1:49">
      <c r="B115" s="21" t="s">
        <v>250</v>
      </c>
      <c r="G115" s="141">
        <f t="shared" ref="G115:H115" ca="1" si="364">G91-G114</f>
        <v>355.37599999999998</v>
      </c>
      <c r="H115" s="141">
        <f t="shared" ca="1" si="364"/>
        <v>318.56900000000019</v>
      </c>
      <c r="J115" s="34">
        <f>J91-J114</f>
        <v>365.35000000000014</v>
      </c>
      <c r="K115" s="34">
        <f t="shared" ref="K115:O115" si="365">K91-K114</f>
        <v>364.31399999999985</v>
      </c>
      <c r="L115" s="34">
        <f t="shared" si="365"/>
        <v>308.12099999999987</v>
      </c>
      <c r="M115" s="34">
        <f t="shared" si="365"/>
        <v>318.04999999999995</v>
      </c>
      <c r="N115" s="34">
        <f t="shared" si="365"/>
        <v>338.78500000000008</v>
      </c>
      <c r="O115" s="34">
        <f t="shared" si="365"/>
        <v>305.10000000000014</v>
      </c>
      <c r="P115" s="238"/>
      <c r="R115" s="34">
        <f t="shared" ref="R115" si="366">R91-R114</f>
        <v>85.843000000000018</v>
      </c>
      <c r="S115" s="34">
        <f t="shared" ref="S115" si="367">S91-S114</f>
        <v>91.93</v>
      </c>
      <c r="T115" s="34">
        <f t="shared" ref="T115" si="368">T91-T114</f>
        <v>95.523000000000025</v>
      </c>
      <c r="U115" s="34">
        <f t="shared" ref="U115" si="369">U91-U114</f>
        <v>92.053999999999974</v>
      </c>
      <c r="V115" s="34">
        <f t="shared" ref="V115" si="370">V91-V114</f>
        <v>84.980999999999995</v>
      </c>
      <c r="W115" s="34">
        <f t="shared" ref="W115" si="371">W91-W114</f>
        <v>92.897999999999968</v>
      </c>
      <c r="X115" s="34">
        <f t="shared" ref="X115" si="372">X91-X114</f>
        <v>96.025000000000034</v>
      </c>
      <c r="Y115" s="34">
        <f t="shared" ref="Y115" si="373">Y91-Y114</f>
        <v>90.410000000000025</v>
      </c>
      <c r="Z115" s="34">
        <f t="shared" ref="Z115" si="374">Z91-Z114</f>
        <v>84.784999999999968</v>
      </c>
      <c r="AA115" s="34">
        <f t="shared" ref="AA115" si="375">AA91-AA114</f>
        <v>78.571000000000026</v>
      </c>
      <c r="AB115" s="34">
        <f t="shared" ref="AB115" si="376">AB91-AB114</f>
        <v>71.93599999999995</v>
      </c>
      <c r="AC115" s="34">
        <f t="shared" ref="AC115" si="377">AC91-AC114</f>
        <v>72.828999999999979</v>
      </c>
      <c r="AD115" s="34">
        <f t="shared" ref="AD115" si="378">AD91-AD114</f>
        <v>77.376000000000033</v>
      </c>
      <c r="AE115" s="34">
        <f t="shared" ref="AE115" si="379">AE91-AE114</f>
        <v>78.993000000000023</v>
      </c>
      <c r="AF115" s="34">
        <f t="shared" ref="AF115" si="380">AF91-AF114</f>
        <v>84.039000000000016</v>
      </c>
      <c r="AG115" s="34">
        <f t="shared" ref="AG115" si="381">AG91-AG114</f>
        <v>77.641999999999996</v>
      </c>
      <c r="AH115" s="34">
        <f t="shared" ref="AH115" si="382">AH91-AH114</f>
        <v>76.75200000000001</v>
      </c>
      <c r="AI115" s="34">
        <f t="shared" ref="AI115" si="383">AI91-AI114</f>
        <v>87.414999999999964</v>
      </c>
      <c r="AJ115" s="34">
        <f t="shared" ref="AJ115" si="384">AJ91-AJ114</f>
        <v>88.382000000000005</v>
      </c>
      <c r="AK115" s="34">
        <f t="shared" ref="AK115" si="385">AK91-AK114</f>
        <v>86.23599999999999</v>
      </c>
      <c r="AL115" s="34">
        <f t="shared" ref="AL115" si="386">AL91-AL114</f>
        <v>75.375</v>
      </c>
      <c r="AM115" s="34">
        <f t="shared" ref="AM115" si="387">AM91-AM114</f>
        <v>73.461999999999989</v>
      </c>
      <c r="AN115" s="34">
        <f t="shared" ref="AN115" si="388">AN91-AN114</f>
        <v>77.748000000000047</v>
      </c>
      <c r="AO115" s="34">
        <f t="shared" ref="AO115" si="389">AO91-AO114</f>
        <v>78.515000000000043</v>
      </c>
      <c r="AP115" s="34">
        <f t="shared" ref="AP115" si="390">AP91-AP114</f>
        <v>88.843999999999994</v>
      </c>
      <c r="AQ115" s="238"/>
      <c r="AR115" s="238"/>
      <c r="AS115" s="238"/>
      <c r="AT115" s="238"/>
      <c r="AU115" s="238"/>
      <c r="AV115" s="238"/>
      <c r="AW115" s="238"/>
    </row>
    <row r="116" spans="1:49">
      <c r="B116" s="76"/>
      <c r="G116" s="147"/>
      <c r="H116" s="134"/>
      <c r="J116" s="27"/>
      <c r="K116" s="9"/>
      <c r="L116" s="9"/>
      <c r="M116" s="9"/>
      <c r="N116" s="9"/>
      <c r="O116" s="9"/>
      <c r="P116" s="238"/>
      <c r="R116" s="27"/>
      <c r="S116" s="27"/>
      <c r="T116" s="27"/>
      <c r="U116" s="27"/>
      <c r="V116" s="9"/>
      <c r="W116" s="9"/>
      <c r="X116" s="9"/>
      <c r="Y116" s="9"/>
      <c r="Z116" s="9"/>
      <c r="AA116" s="9"/>
      <c r="AB116" s="9"/>
      <c r="AC116" s="9"/>
      <c r="AD116" s="9"/>
      <c r="AE116" s="9"/>
      <c r="AF116" s="9"/>
      <c r="AG116" s="9"/>
      <c r="AH116" s="9"/>
      <c r="AI116" s="9"/>
      <c r="AJ116" s="9"/>
      <c r="AK116" s="9"/>
      <c r="AL116" s="9"/>
      <c r="AM116" s="9"/>
      <c r="AN116" s="9"/>
      <c r="AO116" s="9"/>
      <c r="AP116" s="9"/>
      <c r="AQ116" s="238"/>
      <c r="AR116" s="238"/>
      <c r="AS116" s="238"/>
      <c r="AT116" s="238"/>
      <c r="AU116" s="238"/>
      <c r="AV116" s="238"/>
      <c r="AW116" s="238"/>
    </row>
    <row r="117" spans="1:49">
      <c r="G117" s="241"/>
      <c r="H117" s="237"/>
      <c r="P117" s="238"/>
      <c r="AQ117" s="238"/>
      <c r="AR117" s="238"/>
      <c r="AS117" s="238"/>
      <c r="AT117" s="238"/>
      <c r="AU117" s="238"/>
      <c r="AV117" s="238"/>
      <c r="AW117" s="238"/>
    </row>
    <row r="118" spans="1:49" ht="15" customHeight="1">
      <c r="A118" s="30" t="s">
        <v>0</v>
      </c>
      <c r="B118" s="30" t="s">
        <v>47</v>
      </c>
      <c r="C118" s="31"/>
      <c r="D118" s="31"/>
      <c r="E118" s="31"/>
      <c r="F118" s="31"/>
      <c r="G118" s="137"/>
      <c r="H118" s="127"/>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row>
    <row r="119" spans="1:49">
      <c r="G119" s="241"/>
      <c r="H119" s="237"/>
      <c r="P119" s="238"/>
      <c r="AQ119" s="238"/>
      <c r="AR119" s="238"/>
      <c r="AS119" s="238"/>
      <c r="AT119" s="238"/>
      <c r="AU119" s="238"/>
      <c r="AV119" s="238"/>
      <c r="AW119" s="238"/>
    </row>
    <row r="120" spans="1:49">
      <c r="B120" s="25" t="s">
        <v>122</v>
      </c>
      <c r="G120" s="139">
        <f ca="1">OFFSET(R120,0,MATCH($G$2,$R$3:$AW$3,0)-1)*4</f>
        <v>636.36399999999958</v>
      </c>
      <c r="H120" s="75">
        <f ca="1">SUM(OFFSET(R120,0,MATCH($G$2,$R$3:$AW$3,0)-4),OFFSET(R120,0,MATCH($G$2,$R$3:$AW$3,0)-3),OFFSET(R120,0,MATCH($G$2,$R$3:$AW$3,0)-2),OFFSET(R120,0,MATCH($G$2,$R$3:$AW$3,0)-1))</f>
        <v>590.00099999999998</v>
      </c>
      <c r="J120" s="15">
        <f>SUM(R120:U120)</f>
        <v>466.10300000000024</v>
      </c>
      <c r="K120" s="15">
        <f t="shared" ref="K120:K124" si="391">SUM(V120:Y120)</f>
        <v>489.03199999999998</v>
      </c>
      <c r="L120" s="15">
        <f t="shared" ref="L120:L124" si="392">SUM(Z120:AC120)</f>
        <v>360.31799999999998</v>
      </c>
      <c r="M120" s="10">
        <f>M23</f>
        <v>290.53699999999981</v>
      </c>
      <c r="N120" s="10">
        <f>N23</f>
        <v>387.35</v>
      </c>
      <c r="O120" s="10">
        <f>O23</f>
        <v>541.23900000000026</v>
      </c>
      <c r="P120" s="238"/>
      <c r="R120" s="10">
        <f t="shared" ref="R120:AP120" si="393">R23</f>
        <v>103.04000000000009</v>
      </c>
      <c r="S120" s="10">
        <f t="shared" si="393"/>
        <v>110.90300000000013</v>
      </c>
      <c r="T120" s="10">
        <f t="shared" si="393"/>
        <v>125.869</v>
      </c>
      <c r="U120" s="10">
        <f t="shared" si="393"/>
        <v>126.291</v>
      </c>
      <c r="V120" s="10">
        <f t="shared" si="393"/>
        <v>125.17200000000001</v>
      </c>
      <c r="W120" s="10">
        <f t="shared" si="393"/>
        <v>127.81799999999991</v>
      </c>
      <c r="X120" s="10">
        <f t="shared" si="393"/>
        <v>132.72999999999996</v>
      </c>
      <c r="Y120" s="10">
        <f t="shared" si="393"/>
        <v>103.31200000000007</v>
      </c>
      <c r="Z120" s="10">
        <f t="shared" si="393"/>
        <v>106.87200000000006</v>
      </c>
      <c r="AA120" s="10">
        <f t="shared" si="393"/>
        <v>88.943000000000012</v>
      </c>
      <c r="AB120" s="10">
        <f t="shared" si="393"/>
        <v>85.006</v>
      </c>
      <c r="AC120" s="10">
        <f t="shared" si="393"/>
        <v>79.496999999999971</v>
      </c>
      <c r="AD120" s="10">
        <f t="shared" si="393"/>
        <v>55.921000000000006</v>
      </c>
      <c r="AE120" s="10">
        <f t="shared" si="393"/>
        <v>77.041000000000054</v>
      </c>
      <c r="AF120" s="10">
        <f t="shared" si="393"/>
        <v>76.419000000000054</v>
      </c>
      <c r="AG120" s="10">
        <f t="shared" si="393"/>
        <v>81.155999999999977</v>
      </c>
      <c r="AH120" s="10">
        <f t="shared" si="393"/>
        <v>74.809000000000026</v>
      </c>
      <c r="AI120" s="10">
        <f t="shared" si="393"/>
        <v>95.205999999999989</v>
      </c>
      <c r="AJ120" s="10">
        <f t="shared" si="393"/>
        <v>108.94900000000003</v>
      </c>
      <c r="AK120" s="186">
        <f t="shared" si="393"/>
        <v>108.386</v>
      </c>
      <c r="AL120" s="10">
        <f t="shared" si="393"/>
        <v>110.32899999999992</v>
      </c>
      <c r="AM120" s="10">
        <f t="shared" si="393"/>
        <v>138.52500000000009</v>
      </c>
      <c r="AN120" s="10">
        <f t="shared" si="393"/>
        <v>145.43999999999988</v>
      </c>
      <c r="AO120" s="186">
        <f t="shared" si="393"/>
        <v>146.94500000000008</v>
      </c>
      <c r="AP120" s="10">
        <f t="shared" si="393"/>
        <v>159.09099999999989</v>
      </c>
      <c r="AQ120" s="238"/>
      <c r="AR120" s="238"/>
      <c r="AS120" s="238"/>
      <c r="AT120" s="238"/>
      <c r="AU120" s="238"/>
      <c r="AV120" s="238"/>
      <c r="AW120" s="238"/>
    </row>
    <row r="121" spans="1:49">
      <c r="B121" s="25" t="s">
        <v>205</v>
      </c>
      <c r="G121" s="139">
        <f t="shared" ref="G121" ca="1" si="394">OFFSET(R121,0,MATCH($G$2,$R$3:$AW$3,0)-1)*4</f>
        <v>13.076000000000001</v>
      </c>
      <c r="H121" s="75">
        <f t="shared" ref="H121" ca="1" si="395">SUM(OFFSET(R121,0,MATCH($G$2,$R$3:$AW$3,0)-4),OFFSET(R121,0,MATCH($G$2,$R$3:$AW$3,0)-3),OFFSET(R121,0,MATCH($G$2,$R$3:$AW$3,0)-2),OFFSET(R121,0,MATCH($G$2,$R$3:$AW$3,0)-1))</f>
        <v>7.867</v>
      </c>
      <c r="J121" s="15">
        <f t="shared" ref="J121" si="396">SUM(R121:U121)</f>
        <v>5.7259999999999991</v>
      </c>
      <c r="K121" s="15">
        <f t="shared" ref="K121" si="397">SUM(V121:Y121)</f>
        <v>3.7869999999999999</v>
      </c>
      <c r="L121" s="15">
        <f t="shared" ref="L121" si="398">SUM(Z121:AC121)</f>
        <v>8.1470000000000002</v>
      </c>
      <c r="M121" s="10">
        <f>M28</f>
        <v>10.001000000000001</v>
      </c>
      <c r="N121" s="10">
        <f>N28</f>
        <v>16.686</v>
      </c>
      <c r="O121" s="10">
        <f>O28</f>
        <v>11.041</v>
      </c>
      <c r="P121" s="238"/>
      <c r="R121" s="10">
        <f t="shared" ref="R121:AP121" si="399">R28</f>
        <v>1.591</v>
      </c>
      <c r="S121" s="10">
        <f t="shared" si="399"/>
        <v>1.5409999999999999</v>
      </c>
      <c r="T121" s="10">
        <f t="shared" si="399"/>
        <v>1.454</v>
      </c>
      <c r="U121" s="10">
        <f t="shared" si="399"/>
        <v>1.1399999999999999</v>
      </c>
      <c r="V121" s="10">
        <f t="shared" si="399"/>
        <v>-0.56799999999999995</v>
      </c>
      <c r="W121" s="10">
        <f t="shared" si="399"/>
        <v>2.3809999999999998</v>
      </c>
      <c r="X121" s="10">
        <f t="shared" si="399"/>
        <v>0.86399999999999999</v>
      </c>
      <c r="Y121" s="10">
        <f t="shared" si="399"/>
        <v>1.1100000000000001</v>
      </c>
      <c r="Z121" s="10">
        <f t="shared" si="399"/>
        <v>2.7229999999999999</v>
      </c>
      <c r="AA121" s="10">
        <f t="shared" si="399"/>
        <v>2.29</v>
      </c>
      <c r="AB121" s="10">
        <f t="shared" si="399"/>
        <v>1.1719999999999999</v>
      </c>
      <c r="AC121" s="10">
        <f t="shared" si="399"/>
        <v>1.962</v>
      </c>
      <c r="AD121" s="10">
        <f t="shared" si="399"/>
        <v>3.7909999999999999</v>
      </c>
      <c r="AE121" s="10">
        <f t="shared" si="399"/>
        <v>2.5230000000000001</v>
      </c>
      <c r="AF121" s="10">
        <f t="shared" si="399"/>
        <v>1.8320000000000001</v>
      </c>
      <c r="AG121" s="10">
        <f t="shared" si="399"/>
        <v>1.855</v>
      </c>
      <c r="AH121" s="10">
        <f t="shared" si="399"/>
        <v>4.3079999999999998</v>
      </c>
      <c r="AI121" s="10">
        <f t="shared" si="399"/>
        <v>3.7490000000000001</v>
      </c>
      <c r="AJ121" s="10">
        <f t="shared" si="399"/>
        <v>3.8050000000000002</v>
      </c>
      <c r="AK121" s="186">
        <f t="shared" si="399"/>
        <v>4.8239999999999998</v>
      </c>
      <c r="AL121" s="10">
        <f t="shared" si="399"/>
        <v>6.4429999999999996</v>
      </c>
      <c r="AM121" s="10">
        <f t="shared" si="399"/>
        <v>1.264</v>
      </c>
      <c r="AN121" s="10">
        <f t="shared" si="399"/>
        <v>1.589</v>
      </c>
      <c r="AO121" s="186">
        <f t="shared" si="399"/>
        <v>1.7450000000000001</v>
      </c>
      <c r="AP121" s="10">
        <f t="shared" si="399"/>
        <v>3.2690000000000001</v>
      </c>
      <c r="AQ121" s="238"/>
      <c r="AR121" s="238"/>
      <c r="AS121" s="238"/>
      <c r="AT121" s="238"/>
      <c r="AU121" s="238"/>
      <c r="AV121" s="238"/>
      <c r="AW121" s="238"/>
    </row>
    <row r="122" spans="1:49">
      <c r="B122" s="25" t="s">
        <v>161</v>
      </c>
      <c r="G122" s="139">
        <f t="shared" ref="G122:G128" ca="1" si="400">OFFSET(R122,0,MATCH($G$2,$R$3:$AW$3,0)-1)*4</f>
        <v>-86.043999999999997</v>
      </c>
      <c r="H122" s="75">
        <f t="shared" ref="H122:H128" ca="1" si="401">SUM(OFFSET(R122,0,MATCH($G$2,$R$3:$AW$3,0)-4),OFFSET(R122,0,MATCH($G$2,$R$3:$AW$3,0)-3),OFFSET(R122,0,MATCH($G$2,$R$3:$AW$3,0)-2),OFFSET(R122,0,MATCH($G$2,$R$3:$AW$3,0)-1))</f>
        <v>-50.534999999999997</v>
      </c>
      <c r="J122" s="11">
        <f>- 40.772</f>
        <v>-40.771999999999998</v>
      </c>
      <c r="K122" s="11">
        <f>-55.766</f>
        <v>-55.765999999999998</v>
      </c>
      <c r="L122" s="11">
        <f>-48.721</f>
        <v>-48.720999999999997</v>
      </c>
      <c r="M122" s="11">
        <v>-40.878</v>
      </c>
      <c r="N122" s="11">
        <v>-42.816000000000003</v>
      </c>
      <c r="O122" s="11">
        <v>-49.317</v>
      </c>
      <c r="P122" s="238"/>
      <c r="R122" s="257"/>
      <c r="S122" s="257"/>
      <c r="T122" s="257"/>
      <c r="U122" s="257"/>
      <c r="V122" s="257"/>
      <c r="W122" s="257"/>
      <c r="X122" s="257"/>
      <c r="Y122" s="257"/>
      <c r="Z122" s="257"/>
      <c r="AA122" s="257"/>
      <c r="AB122" s="257"/>
      <c r="AC122" s="257"/>
      <c r="AD122" s="257"/>
      <c r="AE122" s="257"/>
      <c r="AF122" s="257"/>
      <c r="AG122" s="257"/>
      <c r="AH122" s="11">
        <v>-18.021999999999998</v>
      </c>
      <c r="AI122" s="11">
        <f>-20.161-AH122</f>
        <v>-2.1390000000000029</v>
      </c>
      <c r="AJ122" s="11">
        <f>-39.754-AI122-AH122</f>
        <v>-19.592999999999996</v>
      </c>
      <c r="AK122" s="186">
        <f>N122-SUM(AH122:AJ122)</f>
        <v>-3.0620000000000047</v>
      </c>
      <c r="AL122" s="11">
        <v>-20.292999999999999</v>
      </c>
      <c r="AM122" s="11">
        <f>-24.553-AL122</f>
        <v>-4.2600000000000016</v>
      </c>
      <c r="AN122" s="11">
        <f>-45.276-AM122-AL122</f>
        <v>-20.723000000000006</v>
      </c>
      <c r="AO122" s="186">
        <f>O122-SUM(AL122:AN122)</f>
        <v>-4.0409999999999897</v>
      </c>
      <c r="AP122" s="11">
        <v>-21.510999999999999</v>
      </c>
      <c r="AQ122" s="238"/>
      <c r="AR122" s="238"/>
      <c r="AS122" s="238"/>
      <c r="AT122" s="238"/>
      <c r="AU122" s="238"/>
      <c r="AV122" s="238"/>
      <c r="AW122" s="238"/>
    </row>
    <row r="123" spans="1:49">
      <c r="B123" s="25" t="s">
        <v>162</v>
      </c>
      <c r="G123" s="139">
        <f t="shared" ca="1" si="400"/>
        <v>-4.2480000000000002</v>
      </c>
      <c r="H123" s="75">
        <f t="shared" ca="1" si="401"/>
        <v>65.419000000000011</v>
      </c>
      <c r="J123" s="15">
        <f t="shared" ref="J123:J126" si="402">SUM(R123:U123)</f>
        <v>0</v>
      </c>
      <c r="K123" s="15">
        <f t="shared" si="391"/>
        <v>0</v>
      </c>
      <c r="L123" s="15">
        <f t="shared" si="392"/>
        <v>0</v>
      </c>
      <c r="M123" s="11">
        <v>116.648</v>
      </c>
      <c r="N123" s="11">
        <v>-2.5529999999999999</v>
      </c>
      <c r="O123" s="11">
        <v>65.787000000000006</v>
      </c>
      <c r="P123" s="238"/>
      <c r="R123" s="257"/>
      <c r="S123" s="257"/>
      <c r="T123" s="257"/>
      <c r="U123" s="257"/>
      <c r="V123" s="257"/>
      <c r="W123" s="257"/>
      <c r="X123" s="257"/>
      <c r="Y123" s="257"/>
      <c r="Z123" s="257"/>
      <c r="AA123" s="257"/>
      <c r="AB123" s="257"/>
      <c r="AC123" s="257"/>
      <c r="AD123" s="257"/>
      <c r="AE123" s="257"/>
      <c r="AF123" s="257"/>
      <c r="AG123" s="257"/>
      <c r="AH123" s="11">
        <f>0.024</f>
        <v>2.4E-2</v>
      </c>
      <c r="AI123" s="11">
        <f>-1.19-AH123</f>
        <v>-1.214</v>
      </c>
      <c r="AJ123" s="11">
        <f>2.097-AI123-AH123</f>
        <v>3.2869999999999999</v>
      </c>
      <c r="AK123" s="186">
        <f t="shared" ref="AK123:AK129" si="403">N123-SUM(AH123:AJ123)</f>
        <v>-4.6500000000000004</v>
      </c>
      <c r="AL123" s="11">
        <v>-0.69399999999999995</v>
      </c>
      <c r="AM123" s="11">
        <f>67.921-AL123</f>
        <v>68.615000000000009</v>
      </c>
      <c r="AN123" s="11">
        <f>67.118-AM123-AL123</f>
        <v>-0.80300000000001415</v>
      </c>
      <c r="AO123" s="186">
        <f t="shared" ref="AO123:AO129" si="404">O123-SUM(AL123:AN123)</f>
        <v>-1.3309999999999889</v>
      </c>
      <c r="AP123" s="11">
        <v>-1.0620000000000001</v>
      </c>
      <c r="AQ123" s="238"/>
      <c r="AR123" s="238"/>
      <c r="AS123" s="238"/>
      <c r="AT123" s="238"/>
      <c r="AU123" s="238"/>
      <c r="AV123" s="238"/>
      <c r="AW123" s="238"/>
    </row>
    <row r="124" spans="1:49">
      <c r="B124" s="25" t="s">
        <v>49</v>
      </c>
      <c r="G124" s="139">
        <f t="shared" ca="1" si="400"/>
        <v>25.632000000000001</v>
      </c>
      <c r="H124" s="75">
        <f t="shared" ca="1" si="401"/>
        <v>15.541</v>
      </c>
      <c r="J124" s="15">
        <f t="shared" si="402"/>
        <v>0</v>
      </c>
      <c r="K124" s="15">
        <f t="shared" si="391"/>
        <v>0</v>
      </c>
      <c r="L124" s="15">
        <f t="shared" si="392"/>
        <v>0</v>
      </c>
      <c r="M124" s="11">
        <v>15.712999999999999</v>
      </c>
      <c r="N124" s="11">
        <v>13.865</v>
      </c>
      <c r="O124" s="11">
        <v>14.941000000000001</v>
      </c>
      <c r="P124" s="238"/>
      <c r="R124" s="257"/>
      <c r="S124" s="257"/>
      <c r="T124" s="257"/>
      <c r="U124" s="257"/>
      <c r="V124" s="257"/>
      <c r="W124" s="257"/>
      <c r="X124" s="257"/>
      <c r="Y124" s="257"/>
      <c r="Z124" s="257"/>
      <c r="AA124" s="257"/>
      <c r="AB124" s="257"/>
      <c r="AC124" s="257"/>
      <c r="AD124" s="257"/>
      <c r="AE124" s="257"/>
      <c r="AF124" s="257"/>
      <c r="AG124" s="257"/>
      <c r="AH124" s="11">
        <v>5.9649999999999999</v>
      </c>
      <c r="AI124" s="11">
        <f>8.555-AH124</f>
        <v>2.59</v>
      </c>
      <c r="AJ124" s="11">
        <f>11.448-AI124-AH124</f>
        <v>2.8930000000000007</v>
      </c>
      <c r="AK124" s="186">
        <f t="shared" si="403"/>
        <v>2.4169999999999998</v>
      </c>
      <c r="AL124" s="11">
        <v>5.8079999999999998</v>
      </c>
      <c r="AM124" s="11">
        <f>8.912-AL124</f>
        <v>3.104000000000001</v>
      </c>
      <c r="AN124" s="11">
        <f>12.31-AM124-AL124</f>
        <v>3.3979999999999997</v>
      </c>
      <c r="AO124" s="186">
        <f t="shared" si="404"/>
        <v>2.6310000000000002</v>
      </c>
      <c r="AP124" s="11">
        <v>6.4080000000000004</v>
      </c>
      <c r="AQ124" s="238"/>
      <c r="AR124" s="238"/>
      <c r="AS124" s="238"/>
      <c r="AT124" s="238"/>
      <c r="AU124" s="238"/>
      <c r="AV124" s="238"/>
      <c r="AW124" s="238"/>
    </row>
    <row r="125" spans="1:49">
      <c r="B125" s="25" t="s">
        <v>204</v>
      </c>
      <c r="G125" s="139">
        <f t="shared" ca="1" si="400"/>
        <v>33.380000000000003</v>
      </c>
      <c r="H125" s="75">
        <f t="shared" ca="1" si="401"/>
        <v>30.319000000000003</v>
      </c>
      <c r="J125" s="15">
        <f t="shared" ref="J125" si="405">SUM(R125:U125)</f>
        <v>0</v>
      </c>
      <c r="K125" s="15">
        <f t="shared" ref="K125" si="406">SUM(V125:Y125)</f>
        <v>0</v>
      </c>
      <c r="L125" s="15">
        <f t="shared" ref="L125" si="407">SUM(Z125:AC125)</f>
        <v>0</v>
      </c>
      <c r="M125" s="11">
        <v>33.213000000000001</v>
      </c>
      <c r="N125" s="11">
        <v>29.030999999999999</v>
      </c>
      <c r="O125" s="11">
        <v>28.966000000000001</v>
      </c>
      <c r="P125" s="238"/>
      <c r="R125" s="257"/>
      <c r="S125" s="257"/>
      <c r="T125" s="257"/>
      <c r="U125" s="257"/>
      <c r="V125" s="257"/>
      <c r="W125" s="257"/>
      <c r="X125" s="257"/>
      <c r="Y125" s="257"/>
      <c r="Z125" s="257"/>
      <c r="AA125" s="257"/>
      <c r="AB125" s="257"/>
      <c r="AC125" s="257"/>
      <c r="AD125" s="257"/>
      <c r="AE125" s="257"/>
      <c r="AF125" s="257"/>
      <c r="AG125" s="257"/>
      <c r="AH125" s="11">
        <v>7.1130000000000004</v>
      </c>
      <c r="AI125" s="11">
        <f>14.405-AH125</f>
        <v>7.2919999999999989</v>
      </c>
      <c r="AJ125" s="11">
        <f>21.677-AI125-AH125</f>
        <v>7.2720000000000011</v>
      </c>
      <c r="AK125" s="186">
        <f t="shared" si="403"/>
        <v>7.3539999999999992</v>
      </c>
      <c r="AL125" s="11">
        <v>6.992</v>
      </c>
      <c r="AM125" s="11">
        <f>14.043-AL125</f>
        <v>7.0509999999999993</v>
      </c>
      <c r="AN125" s="11">
        <f>21.05-AM125-AL125</f>
        <v>7.0070000000000023</v>
      </c>
      <c r="AO125" s="186">
        <f t="shared" si="404"/>
        <v>7.9160000000000004</v>
      </c>
      <c r="AP125" s="11">
        <v>8.3450000000000006</v>
      </c>
      <c r="AQ125" s="238"/>
      <c r="AR125" s="238"/>
      <c r="AS125" s="238"/>
      <c r="AT125" s="238"/>
      <c r="AU125" s="238"/>
      <c r="AV125" s="238"/>
      <c r="AW125" s="238"/>
    </row>
    <row r="126" spans="1:49">
      <c r="B126" s="25" t="s">
        <v>206</v>
      </c>
      <c r="G126" s="139">
        <f t="shared" ca="1" si="400"/>
        <v>-115.91199999999999</v>
      </c>
      <c r="H126" s="75">
        <f t="shared" ca="1" si="401"/>
        <v>7.7699999999999925</v>
      </c>
      <c r="J126" s="15">
        <f t="shared" si="402"/>
        <v>0</v>
      </c>
      <c r="K126" s="15">
        <f t="shared" ref="K126" si="408">SUM(V126:Y126)</f>
        <v>0</v>
      </c>
      <c r="L126" s="15">
        <f t="shared" ref="L126" si="409">SUM(Z126:AC126)</f>
        <v>0</v>
      </c>
      <c r="M126" s="11">
        <f>29.126-19.248-38.335+0.48+15.951+27.974-M123</f>
        <v>-100.69999999999999</v>
      </c>
      <c r="N126" s="11">
        <f>-31.55-127.095-27.801+1.975+75.996+5.1-N123</f>
        <v>-100.82200000000002</v>
      </c>
      <c r="O126" s="11">
        <f>-50.135+7.695-37.688+71.604-18.271+31.703-O123</f>
        <v>-60.879000000000005</v>
      </c>
      <c r="P126" s="238"/>
      <c r="R126" s="257"/>
      <c r="S126" s="257"/>
      <c r="T126" s="257"/>
      <c r="U126" s="257"/>
      <c r="V126" s="257"/>
      <c r="W126" s="257"/>
      <c r="X126" s="257"/>
      <c r="Y126" s="257"/>
      <c r="Z126" s="257"/>
      <c r="AA126" s="257"/>
      <c r="AB126" s="257"/>
      <c r="AC126" s="257"/>
      <c r="AD126" s="257"/>
      <c r="AE126" s="257"/>
      <c r="AF126" s="257"/>
      <c r="AG126" s="257"/>
      <c r="AH126" s="11">
        <f>-50.782-AH123</f>
        <v>-50.805999999999997</v>
      </c>
      <c r="AI126" s="11">
        <f>-82.51-AH126-AI123</f>
        <v>-30.490000000000009</v>
      </c>
      <c r="AJ126" s="11">
        <f>-126.252-AI126-AH126-AJ123</f>
        <v>-48.242999999999988</v>
      </c>
      <c r="AK126" s="186">
        <f t="shared" si="403"/>
        <v>28.71699999999997</v>
      </c>
      <c r="AL126" s="11">
        <f>-98.321-AL123</f>
        <v>-97.626999999999995</v>
      </c>
      <c r="AM126" s="11">
        <f>-22.878-AL126-AM123</f>
        <v>6.1339999999999861</v>
      </c>
      <c r="AN126" s="11">
        <f>-64.767-AM126-AL126-AN123</f>
        <v>27.529000000000028</v>
      </c>
      <c r="AO126" s="186">
        <f t="shared" si="404"/>
        <v>3.0849999999999795</v>
      </c>
      <c r="AP126" s="11">
        <f>-30.04-AP123</f>
        <v>-28.977999999999998</v>
      </c>
      <c r="AQ126" s="238"/>
      <c r="AR126" s="238"/>
      <c r="AS126" s="238"/>
      <c r="AT126" s="238"/>
      <c r="AU126" s="238"/>
      <c r="AV126" s="238"/>
      <c r="AW126" s="238"/>
    </row>
    <row r="127" spans="1:49">
      <c r="B127" s="25" t="s">
        <v>53</v>
      </c>
      <c r="G127" s="139">
        <f t="shared" ca="1" si="400"/>
        <v>6.4279999999999999</v>
      </c>
      <c r="H127" s="75">
        <f t="shared" ca="1" si="401"/>
        <v>0.5710000000000004</v>
      </c>
      <c r="J127" s="15">
        <f t="shared" ref="J127" si="410">SUM(R127:U127)</f>
        <v>0</v>
      </c>
      <c r="K127" s="15">
        <f t="shared" ref="K127" si="411">SUM(V127:Y127)</f>
        <v>0</v>
      </c>
      <c r="L127" s="15">
        <f t="shared" ref="L127" si="412">SUM(Z127:AC127)</f>
        <v>0</v>
      </c>
      <c r="M127" s="11">
        <v>-0.64</v>
      </c>
      <c r="N127" s="11">
        <v>-0.28299999999999997</v>
      </c>
      <c r="O127" s="11">
        <f>-3.338</f>
        <v>-3.3380000000000001</v>
      </c>
      <c r="P127" s="238"/>
      <c r="R127" s="257"/>
      <c r="S127" s="257"/>
      <c r="T127" s="257"/>
      <c r="U127" s="257"/>
      <c r="V127" s="257"/>
      <c r="W127" s="257"/>
      <c r="X127" s="257"/>
      <c r="Y127" s="257"/>
      <c r="Z127" s="257"/>
      <c r="AA127" s="257"/>
      <c r="AB127" s="257"/>
      <c r="AC127" s="257"/>
      <c r="AD127" s="257"/>
      <c r="AE127" s="257"/>
      <c r="AF127" s="257"/>
      <c r="AG127" s="257"/>
      <c r="AH127" s="11">
        <v>-3.48</v>
      </c>
      <c r="AI127" s="11">
        <f>-6.412-AH127</f>
        <v>-2.9319999999999999</v>
      </c>
      <c r="AJ127" s="11">
        <f>-7.608-AI127-AH127</f>
        <v>-1.1960000000000002</v>
      </c>
      <c r="AK127" s="186">
        <f t="shared" si="403"/>
        <v>7.3250000000000002</v>
      </c>
      <c r="AL127" s="11">
        <v>-2.302</v>
      </c>
      <c r="AM127" s="11">
        <f>-3.111-AL127</f>
        <v>-0.80900000000000016</v>
      </c>
      <c r="AN127" s="11">
        <f>-8.001-AM127-AL127</f>
        <v>-4.8899999999999988</v>
      </c>
      <c r="AO127" s="186">
        <f t="shared" si="404"/>
        <v>4.6629999999999994</v>
      </c>
      <c r="AP127" s="11">
        <v>1.607</v>
      </c>
      <c r="AQ127" s="238"/>
      <c r="AR127" s="238"/>
      <c r="AS127" s="238"/>
      <c r="AT127" s="238"/>
      <c r="AU127" s="238"/>
      <c r="AV127" s="238"/>
      <c r="AW127" s="238"/>
    </row>
    <row r="128" spans="1:49">
      <c r="B128" s="26" t="s">
        <v>126</v>
      </c>
      <c r="C128" s="26"/>
      <c r="D128" s="26"/>
      <c r="E128" s="26"/>
      <c r="F128" s="26"/>
      <c r="G128" s="140">
        <f t="shared" ca="1" si="400"/>
        <v>-15.523999999999546</v>
      </c>
      <c r="H128" s="128">
        <f t="shared" ca="1" si="401"/>
        <v>-19.917000000000044</v>
      </c>
      <c r="I128" s="26"/>
      <c r="J128" s="12">
        <f t="shared" ref="J128:M128" si="413">J129-SUM(J120:J127)</f>
        <v>-84.05800000000022</v>
      </c>
      <c r="K128" s="12">
        <f t="shared" si="413"/>
        <v>74.760000000000048</v>
      </c>
      <c r="L128" s="12">
        <f t="shared" si="413"/>
        <v>125.19600000000003</v>
      </c>
      <c r="M128" s="12">
        <f t="shared" si="413"/>
        <v>-2.3179999999998131</v>
      </c>
      <c r="N128" s="12">
        <f>N129-SUM(N120:N127)</f>
        <v>-6.3300000000000409</v>
      </c>
      <c r="O128" s="12">
        <f>O129-SUM(O120:O127)</f>
        <v>-8.2120000000004438</v>
      </c>
      <c r="P128" s="239"/>
      <c r="Q128" s="26"/>
      <c r="R128" s="12">
        <f t="shared" ref="R128:AP128" si="414">R129-SUM(R120:R127)</f>
        <v>-85.897000000000077</v>
      </c>
      <c r="S128" s="12">
        <f t="shared" si="414"/>
        <v>22.576999999999856</v>
      </c>
      <c r="T128" s="12">
        <f t="shared" si="414"/>
        <v>-8.7740000000000009</v>
      </c>
      <c r="U128" s="12">
        <f t="shared" si="414"/>
        <v>-52.735999999999962</v>
      </c>
      <c r="V128" s="12">
        <f t="shared" si="414"/>
        <v>-86.075000000000003</v>
      </c>
      <c r="W128" s="12">
        <f t="shared" si="414"/>
        <v>19.469000000000108</v>
      </c>
      <c r="X128" s="12">
        <f t="shared" si="414"/>
        <v>65.808000000000021</v>
      </c>
      <c r="Y128" s="12">
        <f t="shared" si="414"/>
        <v>19.791999999999931</v>
      </c>
      <c r="Z128" s="12">
        <f t="shared" si="414"/>
        <v>-38.091000000000008</v>
      </c>
      <c r="AA128" s="12">
        <f t="shared" si="414"/>
        <v>79.403999999999982</v>
      </c>
      <c r="AB128" s="12">
        <f t="shared" si="414"/>
        <v>31.44399999999996</v>
      </c>
      <c r="AC128" s="12">
        <f t="shared" si="414"/>
        <v>3.7179999999999893</v>
      </c>
      <c r="AD128" s="12">
        <f t="shared" si="414"/>
        <v>42.845999999999989</v>
      </c>
      <c r="AE128" s="12">
        <f t="shared" si="414"/>
        <v>15.695999999999955</v>
      </c>
      <c r="AF128" s="12">
        <f t="shared" si="414"/>
        <v>4.2929999999999069</v>
      </c>
      <c r="AG128" s="12">
        <f t="shared" si="414"/>
        <v>-41.796999999999997</v>
      </c>
      <c r="AH128" s="12">
        <f t="shared" si="414"/>
        <v>12.310999999999982</v>
      </c>
      <c r="AI128" s="12">
        <f t="shared" si="414"/>
        <v>-8.639999999999965</v>
      </c>
      <c r="AJ128" s="12">
        <f t="shared" si="414"/>
        <v>8.3669999999999405</v>
      </c>
      <c r="AK128" s="189">
        <f>AK129-SUM(AK120:AK127)</f>
        <v>-18.367999999999967</v>
      </c>
      <c r="AL128" s="12">
        <f t="shared" si="414"/>
        <v>7.8240000000000585</v>
      </c>
      <c r="AM128" s="12">
        <f t="shared" si="414"/>
        <v>-8.1550000000000864</v>
      </c>
      <c r="AN128" s="12">
        <f t="shared" si="414"/>
        <v>-62.268999999999963</v>
      </c>
      <c r="AO128" s="189">
        <f t="shared" si="414"/>
        <v>54.387999999999892</v>
      </c>
      <c r="AP128" s="12">
        <f t="shared" si="414"/>
        <v>-3.8809999999998865</v>
      </c>
      <c r="AQ128" s="239"/>
      <c r="AR128" s="239"/>
      <c r="AS128" s="239"/>
      <c r="AT128" s="239"/>
      <c r="AU128" s="239"/>
      <c r="AV128" s="239"/>
      <c r="AW128" s="239"/>
    </row>
    <row r="129" spans="2:59">
      <c r="B129" s="1" t="s">
        <v>50</v>
      </c>
      <c r="G129" s="141">
        <f ca="1">SUM(G120:G128)</f>
        <v>493.15199999999999</v>
      </c>
      <c r="H129" s="141">
        <f ca="1">SUM(H120:H128)</f>
        <v>647.03599999999994</v>
      </c>
      <c r="J129" s="34">
        <f>SUM(R129:U129)</f>
        <v>346.99900000000002</v>
      </c>
      <c r="K129" s="34">
        <f>SUM(V129:Y129)</f>
        <v>511.81299999999999</v>
      </c>
      <c r="L129" s="34">
        <f>SUM(Z129:AC129)</f>
        <v>444.94</v>
      </c>
      <c r="M129" s="23">
        <v>321.57600000000002</v>
      </c>
      <c r="N129" s="23">
        <v>294.12799999999999</v>
      </c>
      <c r="O129" s="23">
        <v>540.22799999999995</v>
      </c>
      <c r="P129" s="238"/>
      <c r="R129" s="23">
        <v>18.734000000000009</v>
      </c>
      <c r="S129" s="23">
        <v>135.02099999999999</v>
      </c>
      <c r="T129" s="23">
        <v>118.54899999999999</v>
      </c>
      <c r="U129" s="23">
        <v>74.695000000000036</v>
      </c>
      <c r="V129" s="23">
        <v>38.529000000000011</v>
      </c>
      <c r="W129" s="23">
        <v>149.66800000000001</v>
      </c>
      <c r="X129" s="23">
        <v>199.40199999999999</v>
      </c>
      <c r="Y129" s="23">
        <v>124.214</v>
      </c>
      <c r="Z129" s="23">
        <v>71.504000000000048</v>
      </c>
      <c r="AA129" s="23">
        <v>170.637</v>
      </c>
      <c r="AB129" s="23">
        <v>117.62199999999996</v>
      </c>
      <c r="AC129" s="23">
        <v>85.176999999999964</v>
      </c>
      <c r="AD129" s="23">
        <v>102.55799999999999</v>
      </c>
      <c r="AE129" s="23">
        <v>95.26</v>
      </c>
      <c r="AF129" s="23">
        <v>82.543999999999954</v>
      </c>
      <c r="AG129" s="23">
        <v>41.213999999999984</v>
      </c>
      <c r="AH129" s="23">
        <v>32.222000000000001</v>
      </c>
      <c r="AI129" s="23">
        <f>95.644-AH129</f>
        <v>63.422000000000004</v>
      </c>
      <c r="AJ129" s="23">
        <f>161.185-AI129-AH129</f>
        <v>65.540999999999997</v>
      </c>
      <c r="AK129" s="24">
        <f t="shared" si="403"/>
        <v>132.94299999999998</v>
      </c>
      <c r="AL129" s="23">
        <v>16.48</v>
      </c>
      <c r="AM129" s="23">
        <f>227.949-AL129</f>
        <v>211.46900000000002</v>
      </c>
      <c r="AN129" s="23">
        <f>324.227-AM129-AL129</f>
        <v>96.277999999999949</v>
      </c>
      <c r="AO129" s="24">
        <f t="shared" si="404"/>
        <v>216.00099999999998</v>
      </c>
      <c r="AP129" s="23">
        <v>123.288</v>
      </c>
      <c r="AQ129" s="238"/>
      <c r="AR129" s="238"/>
      <c r="AS129" s="238"/>
      <c r="AT129" s="238"/>
      <c r="AU129" s="238"/>
      <c r="AV129" s="238"/>
      <c r="AW129" s="238"/>
    </row>
    <row r="130" spans="2:59">
      <c r="G130" s="241"/>
      <c r="H130" s="237"/>
      <c r="P130" s="238"/>
      <c r="AQ130" s="238"/>
      <c r="AR130" s="238"/>
      <c r="AS130" s="238"/>
      <c r="AT130" s="238"/>
      <c r="AU130" s="238"/>
      <c r="AV130" s="238"/>
      <c r="AW130" s="238"/>
    </row>
    <row r="131" spans="2:59">
      <c r="B131" s="25" t="s">
        <v>125</v>
      </c>
      <c r="G131" s="139">
        <f ca="1">OFFSET(R131,0,MATCH($G$2,$R$3:$AW$3,0)-1)*4</f>
        <v>-324.18799999999999</v>
      </c>
      <c r="H131" s="75">
        <f ca="1">SUM(OFFSET(R131,0,MATCH($G$2,$R$3:$AW$3,0)-4),OFFSET(R131,0,MATCH($G$2,$R$3:$AW$3,0)-3),OFFSET(R131,0,MATCH($G$2,$R$3:$AW$3,0)-2),OFFSET(R131,0,MATCH($G$2,$R$3:$AW$3,0)-1))</f>
        <v>-409.51100000000008</v>
      </c>
      <c r="J131" s="15">
        <f t="shared" ref="J131:J133" si="415">SUM(R131:U131)</f>
        <v>-301.86099999999999</v>
      </c>
      <c r="K131" s="15">
        <f t="shared" ref="K131:K132" si="416">SUM(V131:Y131)</f>
        <v>-248.16399999999999</v>
      </c>
      <c r="L131" s="15">
        <f t="shared" ref="L131:L132" si="417">SUM(Z131:AC131)</f>
        <v>-148.185</v>
      </c>
      <c r="M131" s="15">
        <f t="shared" ref="M131:M132" si="418">SUM(AD131:AG131)</f>
        <v>-98.015000000000001</v>
      </c>
      <c r="N131" s="15">
        <f t="shared" ref="N131:N132" si="419">SUM(AH131:AK131)</f>
        <v>-172.60599999999999</v>
      </c>
      <c r="O131" s="15">
        <f>SUM(AL131:AO131)</f>
        <v>-401.66300000000001</v>
      </c>
      <c r="P131" s="238"/>
      <c r="R131" s="11">
        <v>-40.960999999999999</v>
      </c>
      <c r="S131" s="11">
        <v>-111.95</v>
      </c>
      <c r="T131" s="11">
        <v>-78.841000000000008</v>
      </c>
      <c r="U131" s="11">
        <v>-70.10899999999998</v>
      </c>
      <c r="V131" s="11">
        <v>-60.932000000000002</v>
      </c>
      <c r="W131" s="11">
        <v>-66.335999999999999</v>
      </c>
      <c r="X131" s="11">
        <v>-56.800000000000011</v>
      </c>
      <c r="Y131" s="11">
        <v>-64.095999999999975</v>
      </c>
      <c r="Z131" s="11">
        <v>-49.225000000000001</v>
      </c>
      <c r="AA131" s="11">
        <v>-43.604999999999997</v>
      </c>
      <c r="AB131" s="11">
        <v>-36.541000000000018</v>
      </c>
      <c r="AC131" s="11">
        <v>-18.813999999999993</v>
      </c>
      <c r="AD131" s="11">
        <v>-14.052</v>
      </c>
      <c r="AE131" s="11">
        <v>-24.317</v>
      </c>
      <c r="AF131" s="11">
        <v>-33.599000000000004</v>
      </c>
      <c r="AG131" s="11">
        <v>-26.046999999999997</v>
      </c>
      <c r="AH131" s="11">
        <v>-35.075000000000003</v>
      </c>
      <c r="AI131" s="11">
        <v>-43.983999999999995</v>
      </c>
      <c r="AJ131" s="11">
        <v>-41.204000000000008</v>
      </c>
      <c r="AK131" s="11">
        <v>-52.342999999999989</v>
      </c>
      <c r="AL131" s="11">
        <v>-73.198999999999998</v>
      </c>
      <c r="AM131" s="11">
        <v>-98.046000000000006</v>
      </c>
      <c r="AN131" s="11">
        <v>-103.71800000000003</v>
      </c>
      <c r="AO131" s="11">
        <v>-126.7</v>
      </c>
      <c r="AP131" s="11">
        <v>-81.046999999999997</v>
      </c>
      <c r="AQ131" s="238"/>
      <c r="AR131" s="238"/>
      <c r="AS131" s="238"/>
      <c r="AT131" s="238"/>
      <c r="AU131" s="238"/>
      <c r="AV131" s="238"/>
      <c r="AW131" s="238"/>
      <c r="AX131" s="244"/>
      <c r="AY131" s="244"/>
      <c r="AZ131" s="11"/>
      <c r="BA131" s="11"/>
      <c r="BB131" s="11"/>
      <c r="BC131" s="11"/>
      <c r="BD131" s="244"/>
      <c r="BE131" s="244"/>
      <c r="BF131" s="244"/>
      <c r="BG131" s="244"/>
    </row>
    <row r="132" spans="2:59">
      <c r="B132" s="25" t="s">
        <v>52</v>
      </c>
      <c r="G132" s="139">
        <f ca="1">OFFSET(R132,0,MATCH($G$2,$R$3:$AW$3,0)-1)*4</f>
        <v>0</v>
      </c>
      <c r="H132" s="75">
        <f ca="1">SUM(OFFSET(R132,0,MATCH($G$2,$R$3:$AW$3,0)-4),OFFSET(R132,0,MATCH($G$2,$R$3:$AW$3,0)-3),OFFSET(R132,0,MATCH($G$2,$R$3:$AW$3,0)-2),OFFSET(R132,0,MATCH($G$2,$R$3:$AW$3,0)-1))</f>
        <v>-37.5</v>
      </c>
      <c r="J132" s="15">
        <f t="shared" si="415"/>
        <v>-533.89700000000005</v>
      </c>
      <c r="K132" s="15">
        <f t="shared" si="416"/>
        <v>-262.49099999999999</v>
      </c>
      <c r="L132" s="15">
        <f t="shared" si="417"/>
        <v>-354.97199999999998</v>
      </c>
      <c r="M132" s="15">
        <f t="shared" si="418"/>
        <v>-9.1150000000000002</v>
      </c>
      <c r="N132" s="15">
        <f t="shared" si="419"/>
        <v>-3.9</v>
      </c>
      <c r="O132" s="15">
        <f t="shared" ref="O132:O133" si="420">SUM(AL132:AO132)</f>
        <v>-37.5</v>
      </c>
      <c r="P132" s="238"/>
      <c r="R132" s="11">
        <v>-429.97699999999998</v>
      </c>
      <c r="S132" s="11">
        <v>-69.25</v>
      </c>
      <c r="T132" s="11">
        <v>-6.8000000000040473E-2</v>
      </c>
      <c r="U132" s="11">
        <v>-34.602000000000032</v>
      </c>
      <c r="V132" s="11">
        <v>-247.47</v>
      </c>
      <c r="W132" s="11">
        <v>-5.3700000000000045</v>
      </c>
      <c r="X132" s="11">
        <v>-4.7000000000000171</v>
      </c>
      <c r="Y132" s="11">
        <v>-4.950999999999965</v>
      </c>
      <c r="Z132" s="11">
        <v>-60.421999999999997</v>
      </c>
      <c r="AA132" s="11">
        <v>-281.82500000000005</v>
      </c>
      <c r="AB132" s="11">
        <v>-6.5249999999999488</v>
      </c>
      <c r="AC132" s="11">
        <v>-6.1999999999999318</v>
      </c>
      <c r="AD132" s="11">
        <v>0</v>
      </c>
      <c r="AE132" s="11">
        <v>-7.47</v>
      </c>
      <c r="AF132" s="11">
        <v>0</v>
      </c>
      <c r="AG132" s="11">
        <v>-1.6450000000000005</v>
      </c>
      <c r="AH132" s="11">
        <v>-3.9</v>
      </c>
      <c r="AI132" s="11">
        <v>0</v>
      </c>
      <c r="AJ132" s="11">
        <v>0</v>
      </c>
      <c r="AK132" s="11">
        <v>0</v>
      </c>
      <c r="AL132" s="11">
        <v>0</v>
      </c>
      <c r="AM132" s="11">
        <v>0</v>
      </c>
      <c r="AN132" s="11">
        <v>-37.5</v>
      </c>
      <c r="AO132" s="11">
        <v>0</v>
      </c>
      <c r="AP132" s="11">
        <v>0</v>
      </c>
      <c r="AQ132" s="238"/>
      <c r="AR132" s="238"/>
      <c r="AS132" s="238"/>
      <c r="AT132" s="238"/>
      <c r="AU132" s="238"/>
      <c r="AV132" s="238"/>
      <c r="AW132" s="238"/>
      <c r="AX132" s="244"/>
      <c r="AY132" s="244"/>
      <c r="AZ132" s="11"/>
      <c r="BA132" s="11"/>
      <c r="BB132" s="11"/>
      <c r="BC132" s="11"/>
      <c r="BD132" s="244"/>
      <c r="BE132" s="244"/>
      <c r="BF132" s="244"/>
      <c r="BG132" s="244"/>
    </row>
    <row r="133" spans="2:59">
      <c r="B133" s="26" t="s">
        <v>207</v>
      </c>
      <c r="C133" s="26"/>
      <c r="D133" s="26"/>
      <c r="E133" s="26"/>
      <c r="F133" s="26"/>
      <c r="G133" s="140">
        <f ca="1">OFFSET(R133,0,MATCH($G$2,$R$3:$AW$3,0)-1)*4</f>
        <v>9.6479999999999997</v>
      </c>
      <c r="H133" s="128">
        <f ca="1">SUM(OFFSET(R133,0,MATCH($G$2,$R$3:$AW$3,0)-4),OFFSET(R133,0,MATCH($G$2,$R$3:$AW$3,0)-3),OFFSET(R133,0,MATCH($G$2,$R$3:$AW$3,0)-2),OFFSET(R133,0,MATCH($G$2,$R$3:$AW$3,0)-1))</f>
        <v>20.461999999999996</v>
      </c>
      <c r="I133" s="26"/>
      <c r="J133" s="12">
        <f t="shared" si="415"/>
        <v>53.392000000000003</v>
      </c>
      <c r="K133" s="12">
        <f t="shared" ref="K133" si="421">SUM(V133:Y133)</f>
        <v>57.656999999999996</v>
      </c>
      <c r="L133" s="12">
        <f t="shared" ref="L133" si="422">SUM(Z133:AC133)</f>
        <v>17.309999999999999</v>
      </c>
      <c r="M133" s="12">
        <f t="shared" ref="M133" si="423">SUM(AD133:AG133)</f>
        <v>51.341999999999999</v>
      </c>
      <c r="N133" s="12">
        <f t="shared" ref="N133" si="424">SUM(AH133:AK133)</f>
        <v>36.905000000000001</v>
      </c>
      <c r="O133" s="12">
        <f t="shared" si="420"/>
        <v>26.081</v>
      </c>
      <c r="P133" s="239"/>
      <c r="Q133" s="26"/>
      <c r="R133" s="13">
        <v>12.180999999999999</v>
      </c>
      <c r="S133" s="13">
        <v>13.026999999999999</v>
      </c>
      <c r="T133" s="13">
        <v>2.5980000000000025</v>
      </c>
      <c r="U133" s="13">
        <v>25.586000000000002</v>
      </c>
      <c r="V133" s="13">
        <v>13.186999999999999</v>
      </c>
      <c r="W133" s="13">
        <v>10.177000000000001</v>
      </c>
      <c r="X133" s="13">
        <v>11.126000000000003</v>
      </c>
      <c r="Y133" s="13">
        <v>23.166999999999994</v>
      </c>
      <c r="Z133" s="13">
        <v>3.9929999999999999</v>
      </c>
      <c r="AA133" s="13">
        <v>0.92500000000000027</v>
      </c>
      <c r="AB133" s="13">
        <v>1.6199999999999997</v>
      </c>
      <c r="AC133" s="13">
        <v>10.771999999999998</v>
      </c>
      <c r="AD133" s="13">
        <v>4.7539999999999996</v>
      </c>
      <c r="AE133" s="13">
        <v>11.977000000000002</v>
      </c>
      <c r="AF133" s="13">
        <v>22.431999999999995</v>
      </c>
      <c r="AG133" s="13">
        <v>12.179000000000002</v>
      </c>
      <c r="AH133" s="13">
        <v>14.28</v>
      </c>
      <c r="AI133" s="13">
        <v>9.0310000000000006</v>
      </c>
      <c r="AJ133" s="13">
        <v>9.5930000000000053</v>
      </c>
      <c r="AK133" s="13">
        <v>4.0009999999999994</v>
      </c>
      <c r="AL133" s="13">
        <v>8.0310000000000006</v>
      </c>
      <c r="AM133" s="13">
        <v>12.497999999999999</v>
      </c>
      <c r="AN133" s="13">
        <v>1.3170000000000002</v>
      </c>
      <c r="AO133" s="13">
        <v>4.2349999999999994</v>
      </c>
      <c r="AP133" s="13">
        <v>2.4119999999999999</v>
      </c>
      <c r="AQ133" s="239"/>
      <c r="AR133" s="239"/>
      <c r="AS133" s="239"/>
      <c r="AT133" s="239"/>
      <c r="AU133" s="239"/>
      <c r="AV133" s="239"/>
      <c r="AW133" s="239"/>
      <c r="AX133" s="244"/>
      <c r="AY133" s="244"/>
      <c r="AZ133" s="11"/>
      <c r="BA133" s="11"/>
      <c r="BB133" s="11"/>
      <c r="BC133" s="11"/>
      <c r="BD133" s="244"/>
      <c r="BE133" s="244"/>
      <c r="BF133" s="244"/>
      <c r="BG133" s="244"/>
    </row>
    <row r="134" spans="2:59">
      <c r="B134" s="1" t="s">
        <v>54</v>
      </c>
      <c r="G134" s="141">
        <f ca="1">SUM(G131:G133)</f>
        <v>-314.53999999999996</v>
      </c>
      <c r="H134" s="74">
        <f ca="1">SUM(H131:H133)</f>
        <v>-426.54900000000009</v>
      </c>
      <c r="J134" s="14">
        <f t="shared" ref="J134:O134" si="425">SUM(J131:J133)</f>
        <v>-782.36599999999999</v>
      </c>
      <c r="K134" s="14">
        <f t="shared" si="425"/>
        <v>-452.99799999999999</v>
      </c>
      <c r="L134" s="14">
        <f t="shared" si="425"/>
        <v>-485.84699999999998</v>
      </c>
      <c r="M134" s="14">
        <f t="shared" si="425"/>
        <v>-55.787999999999997</v>
      </c>
      <c r="N134" s="14">
        <f t="shared" si="425"/>
        <v>-139.601</v>
      </c>
      <c r="O134" s="14">
        <f t="shared" si="425"/>
        <v>-413.08199999999999</v>
      </c>
      <c r="P134" s="238"/>
      <c r="R134" s="24">
        <f t="shared" ref="R134:AN134" si="426">SUM(R131:R133)</f>
        <v>-458.75700000000001</v>
      </c>
      <c r="S134" s="24">
        <f t="shared" si="426"/>
        <v>-168.173</v>
      </c>
      <c r="T134" s="24">
        <f t="shared" si="426"/>
        <v>-76.31100000000005</v>
      </c>
      <c r="U134" s="24">
        <f t="shared" si="426"/>
        <v>-79.125000000000014</v>
      </c>
      <c r="V134" s="24">
        <f t="shared" si="426"/>
        <v>-295.21499999999997</v>
      </c>
      <c r="W134" s="24">
        <f t="shared" si="426"/>
        <v>-61.529000000000003</v>
      </c>
      <c r="X134" s="24">
        <f t="shared" si="426"/>
        <v>-50.374000000000024</v>
      </c>
      <c r="Y134" s="24">
        <f t="shared" si="426"/>
        <v>-45.879999999999946</v>
      </c>
      <c r="Z134" s="24">
        <f t="shared" si="426"/>
        <v>-105.654</v>
      </c>
      <c r="AA134" s="24">
        <f t="shared" si="426"/>
        <v>-324.50500000000005</v>
      </c>
      <c r="AB134" s="24">
        <f t="shared" si="426"/>
        <v>-41.44599999999997</v>
      </c>
      <c r="AC134" s="24">
        <f t="shared" si="426"/>
        <v>-14.241999999999926</v>
      </c>
      <c r="AD134" s="24">
        <f t="shared" si="426"/>
        <v>-9.298</v>
      </c>
      <c r="AE134" s="24">
        <f t="shared" si="426"/>
        <v>-19.809999999999995</v>
      </c>
      <c r="AF134" s="24">
        <f t="shared" si="426"/>
        <v>-11.167000000000009</v>
      </c>
      <c r="AG134" s="24">
        <f t="shared" si="426"/>
        <v>-15.512999999999995</v>
      </c>
      <c r="AH134" s="24">
        <f t="shared" si="426"/>
        <v>-24.695</v>
      </c>
      <c r="AI134" s="24">
        <f t="shared" si="426"/>
        <v>-34.952999999999996</v>
      </c>
      <c r="AJ134" s="24">
        <f t="shared" si="426"/>
        <v>-31.611000000000004</v>
      </c>
      <c r="AK134" s="24">
        <f t="shared" si="426"/>
        <v>-48.341999999999992</v>
      </c>
      <c r="AL134" s="24">
        <f t="shared" si="426"/>
        <v>-65.167999999999992</v>
      </c>
      <c r="AM134" s="24">
        <f t="shared" si="426"/>
        <v>-85.548000000000002</v>
      </c>
      <c r="AN134" s="24">
        <f t="shared" si="426"/>
        <v>-139.90100000000001</v>
      </c>
      <c r="AO134" s="24">
        <f t="shared" ref="AO134:AP134" si="427">SUM(AO131:AO133)</f>
        <v>-122.465</v>
      </c>
      <c r="AP134" s="24">
        <f t="shared" si="427"/>
        <v>-78.634999999999991</v>
      </c>
      <c r="AQ134" s="238"/>
      <c r="AR134" s="238"/>
      <c r="AS134" s="238"/>
      <c r="AT134" s="238"/>
      <c r="AU134" s="238"/>
      <c r="AV134" s="238"/>
      <c r="AW134" s="238"/>
      <c r="BC134" s="11"/>
    </row>
    <row r="135" spans="2:59">
      <c r="G135" s="241"/>
      <c r="H135" s="237"/>
      <c r="P135" s="238"/>
      <c r="S135" s="246"/>
      <c r="AE135" s="247"/>
      <c r="AQ135" s="238"/>
      <c r="AR135" s="238"/>
      <c r="AS135" s="238"/>
      <c r="AT135" s="238"/>
      <c r="AU135" s="238"/>
      <c r="AV135" s="238"/>
      <c r="AW135" s="238"/>
    </row>
    <row r="136" spans="2:59">
      <c r="B136" s="25" t="s">
        <v>209</v>
      </c>
      <c r="G136" s="139">
        <f t="shared" ref="G136:G141" ca="1" si="428">OFFSET(R136,0,MATCH($G$2,$R$3:$AW$3,0)-1)*4</f>
        <v>174.3</v>
      </c>
      <c r="H136" s="75">
        <f t="shared" ref="H136:H141" ca="1" si="429">SUM(OFFSET(R136,0,MATCH($G$2,$R$3:$AW$3,0)-4),OFFSET(R136,0,MATCH($G$2,$R$3:$AW$3,0)-3),OFFSET(R136,0,MATCH($G$2,$R$3:$AW$3,0)-2),OFFSET(R136,0,MATCH($G$2,$R$3:$AW$3,0)-1))</f>
        <v>-20.340000000000018</v>
      </c>
      <c r="J136" s="11">
        <f>499.295-78.455-4.276</f>
        <v>416.56400000000002</v>
      </c>
      <c r="K136" s="11">
        <f>-125-417.376+500</f>
        <v>-42.375999999999976</v>
      </c>
      <c r="L136" s="11">
        <f>-150+250.024</f>
        <v>100.024</v>
      </c>
      <c r="M136" s="11">
        <f>-60-248.105</f>
        <v>-308.10500000000002</v>
      </c>
      <c r="N136" s="11">
        <f>310-395</f>
        <v>-85</v>
      </c>
      <c r="O136" s="11">
        <f>48.776+240-350</f>
        <v>-61.22399999999999</v>
      </c>
      <c r="P136" s="238"/>
      <c r="R136" s="11">
        <v>434.88100000000003</v>
      </c>
      <c r="S136" s="11">
        <f>-4.263+499.295-R136-45.485</f>
        <v>14.666000000000011</v>
      </c>
      <c r="T136" s="11">
        <f>499.295-S136-R136-88.392-4.276</f>
        <v>-42.92</v>
      </c>
      <c r="U136" s="11">
        <f>J136-SUM(R136:T136)</f>
        <v>9.9370000000000118</v>
      </c>
      <c r="V136" s="11">
        <f>500-240.801</f>
        <v>259.19900000000001</v>
      </c>
      <c r="W136" s="11">
        <f>500-V136-313.805</f>
        <v>-73.004000000000019</v>
      </c>
      <c r="X136" s="11">
        <f>500-60-W136-V136-417.377</f>
        <v>-163.572</v>
      </c>
      <c r="Y136" s="11">
        <f>K136-SUM(V136:X136)</f>
        <v>-64.998999999999967</v>
      </c>
      <c r="Z136" s="11">
        <f>485.001-150</f>
        <v>335.00099999999998</v>
      </c>
      <c r="AA136" s="11">
        <f>-150-Z136+424.991</f>
        <v>-60.009999999999991</v>
      </c>
      <c r="AB136" s="11">
        <f>-150-AA136-Z136+360.139</f>
        <v>-64.851999999999975</v>
      </c>
      <c r="AC136" s="11">
        <f>L136-SUM(Z136:AB136)</f>
        <v>-110.11500000000001</v>
      </c>
      <c r="AD136" s="11">
        <v>-119.60599999999999</v>
      </c>
      <c r="AE136" s="11">
        <f>-193.623-AD136</f>
        <v>-74.016999999999996</v>
      </c>
      <c r="AF136" s="11">
        <f>-15-SUM(AD136:AE136)-248.057</f>
        <v>-69.433999999999997</v>
      </c>
      <c r="AG136" s="11">
        <f>M136-SUM(AD136:AF136)</f>
        <v>-45.048000000000002</v>
      </c>
      <c r="AH136" s="11">
        <f>1.163-10</f>
        <v>-8.8369999999999997</v>
      </c>
      <c r="AI136" s="11">
        <f>-30-AH136+2.272</f>
        <v>-18.891000000000002</v>
      </c>
      <c r="AJ136" s="11">
        <f>250-315-AI136-AH136+21.664</f>
        <v>-15.60799999999999</v>
      </c>
      <c r="AK136" s="11">
        <f>N136-SUM(AH136:AJ136)</f>
        <v>-41.664000000000009</v>
      </c>
      <c r="AL136" s="11">
        <f>112.691+240-350</f>
        <v>2.6910000000000309</v>
      </c>
      <c r="AM136" s="11">
        <f>31.155+240-350-AL136</f>
        <v>-81.536000000000058</v>
      </c>
      <c r="AN136" s="11">
        <f>240-350+100.316-AM136-AL136</f>
        <v>69.16100000000003</v>
      </c>
      <c r="AO136" s="11">
        <f>O136-SUM(AL136:AN136)</f>
        <v>-51.539999999999992</v>
      </c>
      <c r="AP136" s="11">
        <v>43.575000000000003</v>
      </c>
      <c r="AQ136" s="238"/>
      <c r="AR136" s="238"/>
      <c r="AS136" s="238"/>
      <c r="AT136" s="238"/>
      <c r="AU136" s="238"/>
      <c r="AV136" s="238"/>
      <c r="AW136" s="238"/>
    </row>
    <row r="137" spans="2:59">
      <c r="B137" s="25" t="s">
        <v>53</v>
      </c>
      <c r="G137" s="139">
        <f t="shared" ca="1" si="428"/>
        <v>-9.6000000000000002E-2</v>
      </c>
      <c r="H137" s="75">
        <f t="shared" ca="1" si="429"/>
        <v>-9.9000000000000005E-2</v>
      </c>
      <c r="J137" s="11">
        <v>-0.91500000000000004</v>
      </c>
      <c r="K137" s="11">
        <v>-0.81699999999999995</v>
      </c>
      <c r="L137" s="11">
        <v>-0.67600000000000005</v>
      </c>
      <c r="M137" s="11">
        <v>-0.98099999999999998</v>
      </c>
      <c r="N137" s="11">
        <f>-0.722</f>
        <v>-0.72199999999999998</v>
      </c>
      <c r="O137" s="11">
        <f>-0.099</f>
        <v>-9.9000000000000005E-2</v>
      </c>
      <c r="P137" s="238"/>
      <c r="R137" s="11">
        <v>0</v>
      </c>
      <c r="S137" s="11">
        <v>0</v>
      </c>
      <c r="T137" s="11">
        <f>0-S137-R137</f>
        <v>0</v>
      </c>
      <c r="U137" s="11">
        <f t="shared" ref="U137:U141" si="430">J137-SUM(R137:T137)</f>
        <v>-0.91500000000000004</v>
      </c>
      <c r="V137" s="11">
        <v>0</v>
      </c>
      <c r="W137" s="11">
        <v>0</v>
      </c>
      <c r="X137" s="11">
        <v>0</v>
      </c>
      <c r="Y137" s="11">
        <f t="shared" ref="Y137:Y141" si="431">K137-SUM(V137:X137)</f>
        <v>-0.81699999999999995</v>
      </c>
      <c r="Z137" s="11">
        <v>-0.20200000000000001</v>
      </c>
      <c r="AA137" s="11">
        <f>-0.404-Z137</f>
        <v>-0.20200000000000001</v>
      </c>
      <c r="AB137" s="11">
        <f>-0.608-AA137-Z137</f>
        <v>-0.20399999999999996</v>
      </c>
      <c r="AC137" s="11">
        <f t="shared" ref="AC137:AC141" si="432">L137-SUM(Z137:AB137)</f>
        <v>-6.800000000000006E-2</v>
      </c>
      <c r="AD137" s="11">
        <v>-2.5000000000000001E-2</v>
      </c>
      <c r="AE137" s="11">
        <f>-0.025-AD137</f>
        <v>0</v>
      </c>
      <c r="AF137" s="11">
        <f>-0.764-SUM(AD137:AE137)</f>
        <v>-0.73899999999999999</v>
      </c>
      <c r="AG137" s="11">
        <f t="shared" ref="AG137:AG141" si="433">M137-SUM(AD137:AF137)</f>
        <v>-0.21699999999999997</v>
      </c>
      <c r="AH137" s="11">
        <f>-0.348</f>
        <v>-0.34799999999999998</v>
      </c>
      <c r="AI137" s="11">
        <f>-0.585-AH137</f>
        <v>-0.23699999999999999</v>
      </c>
      <c r="AJ137" s="11">
        <f>-0.665-AI137-AH137</f>
        <v>-8.0000000000000071E-2</v>
      </c>
      <c r="AK137" s="11">
        <f t="shared" ref="AK137:AK141" si="434">N137-SUM(AH137:AJ137)</f>
        <v>-5.699999999999994E-2</v>
      </c>
      <c r="AL137" s="11">
        <v>-2.4E-2</v>
      </c>
      <c r="AM137" s="11">
        <f>-0.049-AL137</f>
        <v>-2.5000000000000001E-2</v>
      </c>
      <c r="AN137" s="11">
        <f>-0.073-AM137-AL137</f>
        <v>-2.3999999999999994E-2</v>
      </c>
      <c r="AO137" s="11">
        <f t="shared" ref="AO137:AO141" si="435">O137-SUM(AL137:AN137)</f>
        <v>-2.6000000000000009E-2</v>
      </c>
      <c r="AP137" s="11">
        <v>-2.4E-2</v>
      </c>
      <c r="AQ137" s="238"/>
      <c r="AR137" s="238"/>
      <c r="AS137" s="238"/>
      <c r="AT137" s="238"/>
      <c r="AU137" s="238"/>
      <c r="AV137" s="238"/>
      <c r="AW137" s="238"/>
    </row>
    <row r="138" spans="2:59">
      <c r="B138" s="25" t="s">
        <v>213</v>
      </c>
      <c r="G138" s="139">
        <f t="shared" ca="1" si="428"/>
        <v>6.0359999999999996</v>
      </c>
      <c r="H138" s="75">
        <f t="shared" ca="1" si="429"/>
        <v>5.6</v>
      </c>
      <c r="J138" s="11">
        <v>13.263999999999999</v>
      </c>
      <c r="K138" s="11">
        <v>5.7430000000000003</v>
      </c>
      <c r="L138" s="11">
        <v>0.35299999999999998</v>
      </c>
      <c r="M138" s="11">
        <v>0.629</v>
      </c>
      <c r="N138" s="11">
        <f>3.887</f>
        <v>3.887</v>
      </c>
      <c r="O138" s="11">
        <f>4.209</f>
        <v>4.2089999999999996</v>
      </c>
      <c r="P138" s="238"/>
      <c r="R138" s="11">
        <v>-3.766</v>
      </c>
      <c r="S138" s="11">
        <f>12.987-R138</f>
        <v>16.753</v>
      </c>
      <c r="T138" s="11">
        <f>13.264-S138-R138</f>
        <v>0.27699999999999925</v>
      </c>
      <c r="U138" s="11">
        <f t="shared" si="430"/>
        <v>0</v>
      </c>
      <c r="V138" s="11">
        <v>1.415</v>
      </c>
      <c r="W138" s="11">
        <f>1.903-V138</f>
        <v>0.48799999999999999</v>
      </c>
      <c r="X138" s="11">
        <f>3.563-W138-V138</f>
        <v>1.6600000000000001</v>
      </c>
      <c r="Y138" s="11">
        <f t="shared" si="431"/>
        <v>2.1800000000000002</v>
      </c>
      <c r="Z138" s="11">
        <v>0.35299999999999998</v>
      </c>
      <c r="AA138" s="11">
        <f>0.353-Z138</f>
        <v>0</v>
      </c>
      <c r="AB138" s="11">
        <f>0.353-AA138-Z138</f>
        <v>0</v>
      </c>
      <c r="AC138" s="11">
        <f t="shared" si="432"/>
        <v>0</v>
      </c>
      <c r="AD138" s="11">
        <v>0.41099999999999998</v>
      </c>
      <c r="AE138" s="11">
        <f>0.505-AD138</f>
        <v>9.4000000000000028E-2</v>
      </c>
      <c r="AF138" s="11">
        <f>0.629-SUM(AD138:AE138)</f>
        <v>0.124</v>
      </c>
      <c r="AG138" s="11">
        <f t="shared" si="433"/>
        <v>0</v>
      </c>
      <c r="AH138" s="11">
        <v>2.3359999999999999</v>
      </c>
      <c r="AI138" s="11">
        <f>3.885-AH138</f>
        <v>1.5489999999999999</v>
      </c>
      <c r="AJ138" s="11">
        <f>3.885-AI138-AH138</f>
        <v>0</v>
      </c>
      <c r="AK138" s="11">
        <f t="shared" si="434"/>
        <v>2.0000000000002238E-3</v>
      </c>
      <c r="AL138" s="11">
        <v>0.11799999999999999</v>
      </c>
      <c r="AM138" s="11">
        <f>0.118-AL138</f>
        <v>0</v>
      </c>
      <c r="AN138" s="11">
        <f>3.431-AM138-AL138</f>
        <v>3.3130000000000002</v>
      </c>
      <c r="AO138" s="11">
        <f t="shared" si="435"/>
        <v>0.77799999999999958</v>
      </c>
      <c r="AP138" s="11">
        <v>1.5089999999999999</v>
      </c>
      <c r="AQ138" s="238"/>
      <c r="AR138" s="238"/>
      <c r="AS138" s="238"/>
      <c r="AT138" s="238"/>
      <c r="AU138" s="238"/>
      <c r="AV138" s="238"/>
      <c r="AW138" s="238"/>
    </row>
    <row r="139" spans="2:59">
      <c r="B139" s="25" t="s">
        <v>208</v>
      </c>
      <c r="G139" s="139">
        <f t="shared" ca="1" si="428"/>
        <v>-167.148</v>
      </c>
      <c r="H139" s="75">
        <f t="shared" ca="1" si="429"/>
        <v>-151.40600000000001</v>
      </c>
      <c r="J139" s="11">
        <v>-0.77600000000000002</v>
      </c>
      <c r="K139" s="11">
        <v>0</v>
      </c>
      <c r="L139" s="11">
        <v>0</v>
      </c>
      <c r="M139" s="11">
        <v>0</v>
      </c>
      <c r="N139" s="11">
        <f>-22.901</f>
        <v>-22.901</v>
      </c>
      <c r="O139" s="11">
        <f>-112.803</f>
        <v>-112.803</v>
      </c>
      <c r="P139" s="238"/>
      <c r="R139" s="11">
        <v>0</v>
      </c>
      <c r="S139" s="11">
        <v>0</v>
      </c>
      <c r="T139" s="11">
        <f>0-S139-R139</f>
        <v>0</v>
      </c>
      <c r="U139" s="11">
        <f t="shared" si="430"/>
        <v>-0.77600000000000002</v>
      </c>
      <c r="V139" s="11">
        <v>0</v>
      </c>
      <c r="W139" s="11">
        <v>0</v>
      </c>
      <c r="X139" s="11">
        <v>0</v>
      </c>
      <c r="Y139" s="11">
        <f t="shared" si="431"/>
        <v>0</v>
      </c>
      <c r="Z139" s="11">
        <v>0</v>
      </c>
      <c r="AA139" s="11">
        <v>0</v>
      </c>
      <c r="AB139" s="11">
        <v>0</v>
      </c>
      <c r="AC139" s="11">
        <f t="shared" si="432"/>
        <v>0</v>
      </c>
      <c r="AD139" s="11">
        <v>0</v>
      </c>
      <c r="AE139" s="11">
        <v>0</v>
      </c>
      <c r="AF139" s="11">
        <v>0</v>
      </c>
      <c r="AG139" s="11">
        <f t="shared" si="433"/>
        <v>0</v>
      </c>
      <c r="AH139" s="11">
        <v>0</v>
      </c>
      <c r="AI139" s="11">
        <f>-18.085-AH139</f>
        <v>-18.085000000000001</v>
      </c>
      <c r="AJ139" s="11">
        <f>-22.901-AI139-AH139</f>
        <v>-4.8159999999999989</v>
      </c>
      <c r="AK139" s="11">
        <f t="shared" si="434"/>
        <v>0</v>
      </c>
      <c r="AL139" s="11">
        <v>-3.1840000000000002</v>
      </c>
      <c r="AM139" s="11">
        <f>-37.6-AL139</f>
        <v>-34.416000000000004</v>
      </c>
      <c r="AN139" s="11">
        <f>-60.91-AM139-AL139</f>
        <v>-23.309999999999992</v>
      </c>
      <c r="AO139" s="11">
        <f t="shared" si="435"/>
        <v>-51.893000000000001</v>
      </c>
      <c r="AP139" s="11">
        <v>-41.786999999999999</v>
      </c>
      <c r="AQ139" s="238"/>
      <c r="AR139" s="238"/>
      <c r="AS139" s="238"/>
      <c r="AT139" s="238"/>
      <c r="AU139" s="238"/>
      <c r="AV139" s="238"/>
      <c r="AW139" s="238"/>
    </row>
    <row r="140" spans="2:59">
      <c r="B140" s="25" t="s">
        <v>212</v>
      </c>
      <c r="G140" s="139">
        <f t="shared" ca="1" si="428"/>
        <v>-21.135999999999999</v>
      </c>
      <c r="H140" s="75">
        <f t="shared" ca="1" si="429"/>
        <v>-5.6369999999999996</v>
      </c>
      <c r="J140" s="11">
        <v>-4.8220000000000001</v>
      </c>
      <c r="K140" s="11">
        <v>-2.0310000000000001</v>
      </c>
      <c r="L140" s="11">
        <v>-3.1930000000000001</v>
      </c>
      <c r="M140" s="11">
        <v>-2.8559999999999999</v>
      </c>
      <c r="N140" s="11">
        <f>-3.408</f>
        <v>-3.4079999999999999</v>
      </c>
      <c r="O140" s="11">
        <f>-3.908</f>
        <v>-3.9079999999999999</v>
      </c>
      <c r="P140" s="238"/>
      <c r="R140" s="11">
        <v>0.29199999999999998</v>
      </c>
      <c r="S140" s="11">
        <f>-4.813-R140</f>
        <v>-5.1049999999999995</v>
      </c>
      <c r="T140" s="11">
        <f>0-S140-R140</f>
        <v>4.8129999999999997</v>
      </c>
      <c r="U140" s="11">
        <f t="shared" si="430"/>
        <v>-4.8220000000000001</v>
      </c>
      <c r="V140" s="11">
        <v>-2.0030000000000001</v>
      </c>
      <c r="W140" s="11">
        <f>-2.023-V140</f>
        <v>-2.0000000000000018E-2</v>
      </c>
      <c r="X140" s="11">
        <f>-2.031-W140-V140</f>
        <v>-8.0000000000000071E-3</v>
      </c>
      <c r="Y140" s="11">
        <f t="shared" si="431"/>
        <v>0</v>
      </c>
      <c r="Z140" s="11">
        <v>-3.165</v>
      </c>
      <c r="AA140" s="11">
        <f>-3.191-Z140</f>
        <v>-2.5999999999999801E-2</v>
      </c>
      <c r="AB140" s="11">
        <f>-3.193-AA140-Z140</f>
        <v>-2.0000000000002238E-3</v>
      </c>
      <c r="AC140" s="11">
        <f t="shared" si="432"/>
        <v>0</v>
      </c>
      <c r="AD140" s="11">
        <v>-2.0449999999999999</v>
      </c>
      <c r="AE140" s="11">
        <f>-2.853-AD140</f>
        <v>-0.80800000000000027</v>
      </c>
      <c r="AF140" s="11">
        <f>-2.856-SUM(AD140:AE140)</f>
        <v>-2.9999999999996696E-3</v>
      </c>
      <c r="AG140" s="11">
        <f t="shared" si="433"/>
        <v>0</v>
      </c>
      <c r="AH140" s="11">
        <v>-3.093</v>
      </c>
      <c r="AI140" s="11">
        <f>-3.192-AH140</f>
        <v>-9.9000000000000199E-2</v>
      </c>
      <c r="AJ140" s="11">
        <f>-3.193-AI140-AH140</f>
        <v>-9.9999999999988987E-4</v>
      </c>
      <c r="AK140" s="11">
        <f t="shared" si="434"/>
        <v>-0.21499999999999986</v>
      </c>
      <c r="AL140" s="11">
        <v>-3.5550000000000002</v>
      </c>
      <c r="AM140" s="11">
        <f>-3.595-AL140</f>
        <v>-4.0000000000000036E-2</v>
      </c>
      <c r="AN140" s="11">
        <f>-3.598-AM140-AL140</f>
        <v>-2.9999999999996696E-3</v>
      </c>
      <c r="AO140" s="11">
        <f t="shared" si="435"/>
        <v>-0.31000000000000005</v>
      </c>
      <c r="AP140" s="11">
        <v>-5.2839999999999998</v>
      </c>
      <c r="AQ140" s="238"/>
      <c r="AR140" s="238"/>
      <c r="AS140" s="238"/>
      <c r="AT140" s="238"/>
      <c r="AU140" s="238"/>
      <c r="AV140" s="238"/>
      <c r="AW140" s="238"/>
    </row>
    <row r="141" spans="2:59">
      <c r="B141" s="26" t="s">
        <v>210</v>
      </c>
      <c r="C141" s="26"/>
      <c r="D141" s="26"/>
      <c r="E141" s="26"/>
      <c r="F141" s="26"/>
      <c r="G141" s="140">
        <f t="shared" ca="1" si="428"/>
        <v>-1.2E-2</v>
      </c>
      <c r="H141" s="128">
        <f t="shared" ca="1" si="429"/>
        <v>-2.1000000000000015E-2</v>
      </c>
      <c r="I141" s="26"/>
      <c r="J141" s="13">
        <v>0</v>
      </c>
      <c r="K141" s="13">
        <v>-2.3969999999999998</v>
      </c>
      <c r="L141" s="13">
        <v>0</v>
      </c>
      <c r="M141" s="13">
        <v>0</v>
      </c>
      <c r="N141" s="13">
        <f>1.358-1.977</f>
        <v>-0.61899999999999999</v>
      </c>
      <c r="O141" s="13">
        <f>-1.254</f>
        <v>-1.254</v>
      </c>
      <c r="P141" s="239"/>
      <c r="Q141" s="26"/>
      <c r="R141" s="13">
        <f>-4.251-0.225</f>
        <v>-4.476</v>
      </c>
      <c r="S141" s="13">
        <f>-0.45-R141</f>
        <v>4.0259999999999998</v>
      </c>
      <c r="T141" s="13">
        <f>-4.821-0.686-S141-R141</f>
        <v>-5.0569999999999995</v>
      </c>
      <c r="U141" s="13">
        <f t="shared" si="430"/>
        <v>5.5069999999999997</v>
      </c>
      <c r="V141" s="13">
        <f>-2.232-0.204</f>
        <v>-2.4360000000000004</v>
      </c>
      <c r="W141" s="13">
        <f>-2.397-0.41-V141</f>
        <v>-0.37099999999999955</v>
      </c>
      <c r="X141" s="13">
        <f>-2.397-0.614-W141-V141</f>
        <v>-0.20399999999999974</v>
      </c>
      <c r="Y141" s="13">
        <f t="shared" si="431"/>
        <v>0.61399999999999988</v>
      </c>
      <c r="Z141" s="13">
        <v>0</v>
      </c>
      <c r="AA141" s="13">
        <v>0</v>
      </c>
      <c r="AB141" s="13">
        <v>0</v>
      </c>
      <c r="AC141" s="13">
        <f t="shared" si="432"/>
        <v>0</v>
      </c>
      <c r="AD141" s="13">
        <f>[2]Equity!AD173</f>
        <v>0</v>
      </c>
      <c r="AE141" s="13">
        <f>[2]Equity!AE173</f>
        <v>0</v>
      </c>
      <c r="AF141" s="13">
        <v>0</v>
      </c>
      <c r="AG141" s="13">
        <f t="shared" si="433"/>
        <v>0</v>
      </c>
      <c r="AH141" s="13">
        <v>0</v>
      </c>
      <c r="AI141" s="13">
        <v>0</v>
      </c>
      <c r="AJ141" s="13">
        <f>-1.538-AI141-AH141</f>
        <v>-1.538</v>
      </c>
      <c r="AK141" s="13">
        <f t="shared" si="434"/>
        <v>0.91900000000000004</v>
      </c>
      <c r="AL141" s="13">
        <v>-1.236</v>
      </c>
      <c r="AM141" s="13">
        <f>-1.236-AL141</f>
        <v>0</v>
      </c>
      <c r="AN141" s="13">
        <f>-1.237-AM141-AL141</f>
        <v>-1.0000000000001119E-3</v>
      </c>
      <c r="AO141" s="13">
        <f t="shared" si="435"/>
        <v>-1.6999999999999904E-2</v>
      </c>
      <c r="AP141" s="13">
        <v>-3.0000000000000001E-3</v>
      </c>
      <c r="AQ141" s="239"/>
      <c r="AR141" s="239"/>
      <c r="AS141" s="239"/>
      <c r="AT141" s="239"/>
      <c r="AU141" s="239"/>
      <c r="AV141" s="239"/>
      <c r="AW141" s="239"/>
    </row>
    <row r="142" spans="2:59">
      <c r="B142" s="1" t="s">
        <v>55</v>
      </c>
      <c r="G142" s="141">
        <f ca="1">SUM(G136:G141)</f>
        <v>-8.0559999999999867</v>
      </c>
      <c r="H142" s="74">
        <f ca="1">SUM(H136:H141)</f>
        <v>-171.90300000000002</v>
      </c>
      <c r="J142" s="24">
        <f t="shared" ref="J142:O142" si="436">SUM(J136:J141)</f>
        <v>423.315</v>
      </c>
      <c r="K142" s="24">
        <f t="shared" si="436"/>
        <v>-41.877999999999972</v>
      </c>
      <c r="L142" s="24">
        <f t="shared" si="436"/>
        <v>96.507999999999996</v>
      </c>
      <c r="M142" s="24">
        <f t="shared" si="436"/>
        <v>-311.31299999999999</v>
      </c>
      <c r="N142" s="24">
        <f t="shared" si="436"/>
        <v>-108.76299999999999</v>
      </c>
      <c r="O142" s="24">
        <f t="shared" si="436"/>
        <v>-175.07899999999995</v>
      </c>
      <c r="P142" s="238"/>
      <c r="R142" s="24">
        <f t="shared" ref="R142:AN142" si="437">SUM(R136:R141)</f>
        <v>426.93099999999998</v>
      </c>
      <c r="S142" s="24">
        <f t="shared" si="437"/>
        <v>30.340000000000011</v>
      </c>
      <c r="T142" s="24">
        <f t="shared" si="437"/>
        <v>-42.887</v>
      </c>
      <c r="U142" s="24">
        <f t="shared" si="437"/>
        <v>8.9310000000000116</v>
      </c>
      <c r="V142" s="24">
        <f t="shared" si="437"/>
        <v>256.17500000000007</v>
      </c>
      <c r="W142" s="24">
        <f t="shared" si="437"/>
        <v>-72.907000000000011</v>
      </c>
      <c r="X142" s="24">
        <f t="shared" si="437"/>
        <v>-162.12400000000002</v>
      </c>
      <c r="Y142" s="24">
        <f t="shared" si="437"/>
        <v>-63.021999999999963</v>
      </c>
      <c r="Z142" s="24">
        <f t="shared" si="437"/>
        <v>331.98699999999997</v>
      </c>
      <c r="AA142" s="24">
        <f t="shared" si="437"/>
        <v>-60.237999999999985</v>
      </c>
      <c r="AB142" s="24">
        <f t="shared" si="437"/>
        <v>-65.057999999999964</v>
      </c>
      <c r="AC142" s="24">
        <f t="shared" si="437"/>
        <v>-110.18300000000001</v>
      </c>
      <c r="AD142" s="24">
        <f t="shared" si="437"/>
        <v>-121.265</v>
      </c>
      <c r="AE142" s="24">
        <f t="shared" si="437"/>
        <v>-74.731000000000009</v>
      </c>
      <c r="AF142" s="24">
        <f t="shared" si="437"/>
        <v>-70.052000000000007</v>
      </c>
      <c r="AG142" s="24">
        <f t="shared" si="437"/>
        <v>-45.265000000000001</v>
      </c>
      <c r="AH142" s="24">
        <f t="shared" si="437"/>
        <v>-9.9420000000000002</v>
      </c>
      <c r="AI142" s="24">
        <f t="shared" si="437"/>
        <v>-35.763000000000005</v>
      </c>
      <c r="AJ142" s="24">
        <f t="shared" si="437"/>
        <v>-22.042999999999992</v>
      </c>
      <c r="AK142" s="24">
        <f t="shared" si="437"/>
        <v>-41.015000000000015</v>
      </c>
      <c r="AL142" s="24">
        <f t="shared" si="437"/>
        <v>-5.1899999999999693</v>
      </c>
      <c r="AM142" s="24">
        <f t="shared" si="437"/>
        <v>-116.01700000000007</v>
      </c>
      <c r="AN142" s="24">
        <f t="shared" si="437"/>
        <v>49.136000000000045</v>
      </c>
      <c r="AO142" s="24">
        <f t="shared" ref="AO142:AP142" si="438">SUM(AO136:AO141)</f>
        <v>-103.008</v>
      </c>
      <c r="AP142" s="24">
        <f t="shared" si="438"/>
        <v>-2.0139999999999967</v>
      </c>
      <c r="AQ142" s="238"/>
      <c r="AR142" s="238"/>
      <c r="AS142" s="238"/>
      <c r="AT142" s="238"/>
      <c r="AU142" s="238"/>
      <c r="AV142" s="238"/>
      <c r="AW142" s="238"/>
    </row>
    <row r="143" spans="2:59">
      <c r="B143" s="1"/>
      <c r="G143" s="141"/>
      <c r="H143" s="74"/>
      <c r="J143" s="14"/>
      <c r="K143" s="14"/>
      <c r="L143" s="14"/>
      <c r="M143" s="14"/>
      <c r="N143" s="14"/>
      <c r="O143" s="14"/>
      <c r="P143" s="238"/>
      <c r="R143" s="23"/>
      <c r="S143" s="23"/>
      <c r="T143" s="23"/>
      <c r="U143" s="23"/>
      <c r="V143" s="14"/>
      <c r="W143" s="14"/>
      <c r="X143" s="14"/>
      <c r="Y143" s="14"/>
      <c r="Z143" s="14"/>
      <c r="AA143" s="14"/>
      <c r="AB143" s="14"/>
      <c r="AC143" s="14"/>
      <c r="AD143" s="14"/>
      <c r="AE143" s="14"/>
      <c r="AF143" s="14"/>
      <c r="AG143" s="14"/>
      <c r="AH143" s="14"/>
      <c r="AI143" s="14"/>
      <c r="AJ143" s="14"/>
      <c r="AK143" s="14"/>
      <c r="AL143" s="14"/>
      <c r="AM143" s="14"/>
      <c r="AN143" s="14"/>
      <c r="AO143" s="14"/>
      <c r="AP143" s="14"/>
      <c r="AQ143" s="238"/>
      <c r="AR143" s="238"/>
      <c r="AS143" s="238"/>
      <c r="AT143" s="238"/>
      <c r="AU143" s="238"/>
      <c r="AV143" s="238"/>
      <c r="AW143" s="238"/>
    </row>
    <row r="144" spans="2:59">
      <c r="B144" s="1" t="s">
        <v>56</v>
      </c>
      <c r="G144" s="190">
        <f t="shared" ref="G144:H144" ca="1" si="439">G142+G134+G129</f>
        <v>170.55600000000004</v>
      </c>
      <c r="H144" s="191">
        <f t="shared" ca="1" si="439"/>
        <v>48.583999999999833</v>
      </c>
      <c r="I144" s="1"/>
      <c r="J144" s="14"/>
      <c r="K144" s="14">
        <f t="shared" ref="K144:O144" si="440">K142+K134+K129</f>
        <v>16.937000000000012</v>
      </c>
      <c r="L144" s="14">
        <f t="shared" si="440"/>
        <v>55.600999999999999</v>
      </c>
      <c r="M144" s="14">
        <f t="shared" si="440"/>
        <v>-45.524999999999977</v>
      </c>
      <c r="N144" s="14">
        <f t="shared" si="440"/>
        <v>45.76400000000001</v>
      </c>
      <c r="O144" s="14">
        <f t="shared" si="440"/>
        <v>-47.932999999999993</v>
      </c>
      <c r="P144" s="148"/>
      <c r="Q144" s="1"/>
      <c r="R144" s="14">
        <f t="shared" ref="R144:AN144" si="441">R142+R134+R129</f>
        <v>-13.092000000000013</v>
      </c>
      <c r="S144" s="14">
        <f t="shared" si="441"/>
        <v>-2.8120000000000118</v>
      </c>
      <c r="T144" s="14">
        <f t="shared" si="441"/>
        <v>-0.64900000000005775</v>
      </c>
      <c r="U144" s="14">
        <f t="shared" si="441"/>
        <v>4.5010000000000332</v>
      </c>
      <c r="V144" s="14">
        <f t="shared" si="441"/>
        <v>-0.5109999999998962</v>
      </c>
      <c r="W144" s="14">
        <f t="shared" si="441"/>
        <v>15.231999999999999</v>
      </c>
      <c r="X144" s="14">
        <f t="shared" si="441"/>
        <v>-13.09600000000006</v>
      </c>
      <c r="Y144" s="14">
        <f t="shared" si="441"/>
        <v>15.312000000000097</v>
      </c>
      <c r="Z144" s="14">
        <f t="shared" si="441"/>
        <v>297.83699999999999</v>
      </c>
      <c r="AA144" s="14">
        <f t="shared" si="441"/>
        <v>-214.10600000000005</v>
      </c>
      <c r="AB144" s="14">
        <f t="shared" si="441"/>
        <v>11.118000000000023</v>
      </c>
      <c r="AC144" s="14">
        <f t="shared" si="441"/>
        <v>-39.247999999999962</v>
      </c>
      <c r="AD144" s="14">
        <f t="shared" si="441"/>
        <v>-28.004999999999995</v>
      </c>
      <c r="AE144" s="14">
        <f t="shared" si="441"/>
        <v>0.7190000000000083</v>
      </c>
      <c r="AF144" s="14">
        <f t="shared" si="441"/>
        <v>1.3249999999999318</v>
      </c>
      <c r="AG144" s="14">
        <f t="shared" si="441"/>
        <v>-19.564000000000007</v>
      </c>
      <c r="AH144" s="14">
        <f t="shared" si="441"/>
        <v>-2.4149999999999991</v>
      </c>
      <c r="AI144" s="14">
        <f t="shared" si="441"/>
        <v>-7.294000000000004</v>
      </c>
      <c r="AJ144" s="14">
        <f t="shared" si="441"/>
        <v>11.887</v>
      </c>
      <c r="AK144" s="14">
        <f t="shared" si="441"/>
        <v>43.585999999999984</v>
      </c>
      <c r="AL144" s="14">
        <f t="shared" si="441"/>
        <v>-53.877999999999957</v>
      </c>
      <c r="AM144" s="14">
        <f t="shared" si="441"/>
        <v>9.9039999999999679</v>
      </c>
      <c r="AN144" s="14">
        <f t="shared" si="441"/>
        <v>5.512999999999991</v>
      </c>
      <c r="AO144" s="14">
        <f>AO142+AO134+AO129</f>
        <v>-9.4720000000000368</v>
      </c>
      <c r="AP144" s="14">
        <f t="shared" ref="AP144" si="442">AP142+AP134+AP129</f>
        <v>42.63900000000001</v>
      </c>
      <c r="AQ144" s="148"/>
      <c r="AR144" s="148"/>
      <c r="AS144" s="148"/>
      <c r="AT144" s="148"/>
      <c r="AU144" s="148"/>
      <c r="AV144" s="148"/>
      <c r="AW144" s="148"/>
    </row>
    <row r="145" spans="2:49">
      <c r="B145" s="28" t="s">
        <v>160</v>
      </c>
      <c r="G145" s="146"/>
      <c r="H145" s="133"/>
      <c r="L145" s="27" t="str">
        <f>IF(ROUND(L144-(L48-K48),1)=0,"OK",ROUND(L144-(L48-K48),2))</f>
        <v>OK</v>
      </c>
      <c r="M145" s="27" t="str">
        <f>IF(ROUND(M144-(M48-L48),1)=0,"OK",ROUND(M144-(M48-L48),2))</f>
        <v>OK</v>
      </c>
      <c r="N145" s="27" t="str">
        <f>IF(ROUND(N144-(N48-M48),1)=0,"OK",ROUND(N144-(N48-M48),2))</f>
        <v>OK</v>
      </c>
      <c r="O145" s="27">
        <f>IF(ROUND(O144-(O48-N48),1)=0,"OK",ROUND(O144-(O48-N48),2))</f>
        <v>7.0000000000000007E-2</v>
      </c>
      <c r="S145" s="27" t="str">
        <f t="shared" ref="S145:AP145" si="443">IF(ROUND(S144-(S48-R48),1)=0,"OK",ROUND(S144-(S48-R48),2))</f>
        <v>OK</v>
      </c>
      <c r="T145" s="27">
        <f t="shared" si="443"/>
        <v>-7.0000000000000007E-2</v>
      </c>
      <c r="U145" s="27">
        <f t="shared" si="443"/>
        <v>0.32</v>
      </c>
      <c r="V145" s="27" t="str">
        <f t="shared" si="443"/>
        <v>OK</v>
      </c>
      <c r="W145" s="27" t="str">
        <f t="shared" si="443"/>
        <v>OK</v>
      </c>
      <c r="X145" s="27" t="str">
        <f t="shared" si="443"/>
        <v>OK</v>
      </c>
      <c r="Y145" s="27" t="str">
        <f t="shared" si="443"/>
        <v>OK</v>
      </c>
      <c r="Z145" s="27" t="str">
        <f t="shared" si="443"/>
        <v>OK</v>
      </c>
      <c r="AA145" s="27" t="str">
        <f t="shared" si="443"/>
        <v>OK</v>
      </c>
      <c r="AB145" s="27" t="str">
        <f t="shared" si="443"/>
        <v>OK</v>
      </c>
      <c r="AC145" s="27" t="str">
        <f t="shared" si="443"/>
        <v>OK</v>
      </c>
      <c r="AD145" s="27" t="str">
        <f t="shared" si="443"/>
        <v>OK</v>
      </c>
      <c r="AE145" s="27" t="str">
        <f t="shared" si="443"/>
        <v>OK</v>
      </c>
      <c r="AF145" s="27" t="str">
        <f t="shared" si="443"/>
        <v>OK</v>
      </c>
      <c r="AG145" s="27" t="str">
        <f t="shared" si="443"/>
        <v>OK</v>
      </c>
      <c r="AH145" s="27" t="str">
        <f t="shared" si="443"/>
        <v>OK</v>
      </c>
      <c r="AI145" s="27" t="str">
        <f t="shared" si="443"/>
        <v>OK</v>
      </c>
      <c r="AJ145" s="27" t="str">
        <f t="shared" si="443"/>
        <v>OK</v>
      </c>
      <c r="AK145" s="27" t="str">
        <f t="shared" si="443"/>
        <v>OK</v>
      </c>
      <c r="AL145" s="27" t="str">
        <f t="shared" si="443"/>
        <v>OK</v>
      </c>
      <c r="AM145" s="27" t="str">
        <f t="shared" si="443"/>
        <v>OK</v>
      </c>
      <c r="AN145" s="27" t="str">
        <f t="shared" si="443"/>
        <v>OK</v>
      </c>
      <c r="AO145" s="27">
        <f t="shared" si="443"/>
        <v>7.0000000000000007E-2</v>
      </c>
      <c r="AP145" s="27" t="str">
        <f t="shared" si="443"/>
        <v>OK</v>
      </c>
    </row>
    <row r="146" spans="2:49">
      <c r="G146" s="146"/>
      <c r="H146" s="133"/>
      <c r="J146" s="200"/>
      <c r="K146" s="200"/>
      <c r="L146" s="200"/>
      <c r="M146" s="200"/>
      <c r="N146" s="200"/>
      <c r="O146" s="200"/>
    </row>
    <row r="147" spans="2:49">
      <c r="B147" s="25" t="s">
        <v>50</v>
      </c>
      <c r="G147" s="139">
        <f ca="1">OFFSET(R147,0,MATCH($G$2,$R$3:$AW$3,0)-1)*4</f>
        <v>493.15199999999999</v>
      </c>
      <c r="H147" s="75">
        <f ca="1">SUM(OFFSET(R147,0,MATCH($G$2,$R$3:$AW$3,0)-4),OFFSET(R147,0,MATCH($G$2,$R$3:$AW$3,0)-3),OFFSET(R147,0,MATCH($G$2,$R$3:$AW$3,0)-2),OFFSET(R147,0,MATCH($G$2,$R$3:$AW$3,0)-1))</f>
        <v>647.03599999999994</v>
      </c>
      <c r="J147" s="244">
        <f t="shared" ref="J147" si="444">J129</f>
        <v>346.99900000000002</v>
      </c>
      <c r="K147" s="244">
        <f t="shared" ref="K147" si="445">K129</f>
        <v>511.81299999999999</v>
      </c>
      <c r="L147" s="244">
        <f t="shared" ref="L147" si="446">L129</f>
        <v>444.94</v>
      </c>
      <c r="M147" s="244">
        <f t="shared" ref="M147" si="447">M129</f>
        <v>321.57600000000002</v>
      </c>
      <c r="N147" s="244">
        <f t="shared" ref="N147:O147" si="448">N129</f>
        <v>294.12799999999999</v>
      </c>
      <c r="O147" s="244">
        <f t="shared" si="448"/>
        <v>540.22799999999995</v>
      </c>
      <c r="R147" s="244">
        <f t="shared" ref="R147:AN147" si="449">R129</f>
        <v>18.734000000000009</v>
      </c>
      <c r="S147" s="244">
        <f t="shared" si="449"/>
        <v>135.02099999999999</v>
      </c>
      <c r="T147" s="244">
        <f t="shared" si="449"/>
        <v>118.54899999999999</v>
      </c>
      <c r="U147" s="244">
        <f t="shared" si="449"/>
        <v>74.695000000000036</v>
      </c>
      <c r="V147" s="244">
        <f t="shared" si="449"/>
        <v>38.529000000000011</v>
      </c>
      <c r="W147" s="244">
        <f t="shared" si="449"/>
        <v>149.66800000000001</v>
      </c>
      <c r="X147" s="244">
        <f t="shared" si="449"/>
        <v>199.40199999999999</v>
      </c>
      <c r="Y147" s="244">
        <f t="shared" si="449"/>
        <v>124.214</v>
      </c>
      <c r="Z147" s="244">
        <f t="shared" si="449"/>
        <v>71.504000000000048</v>
      </c>
      <c r="AA147" s="244">
        <f t="shared" si="449"/>
        <v>170.637</v>
      </c>
      <c r="AB147" s="244">
        <f t="shared" si="449"/>
        <v>117.62199999999996</v>
      </c>
      <c r="AC147" s="244">
        <f t="shared" si="449"/>
        <v>85.176999999999964</v>
      </c>
      <c r="AD147" s="244">
        <f t="shared" si="449"/>
        <v>102.55799999999999</v>
      </c>
      <c r="AE147" s="244">
        <f t="shared" si="449"/>
        <v>95.26</v>
      </c>
      <c r="AF147" s="244">
        <f t="shared" si="449"/>
        <v>82.543999999999954</v>
      </c>
      <c r="AG147" s="244">
        <f t="shared" si="449"/>
        <v>41.213999999999984</v>
      </c>
      <c r="AH147" s="244">
        <f t="shared" si="449"/>
        <v>32.222000000000001</v>
      </c>
      <c r="AI147" s="244">
        <f t="shared" si="449"/>
        <v>63.422000000000004</v>
      </c>
      <c r="AJ147" s="244">
        <f t="shared" si="449"/>
        <v>65.540999999999997</v>
      </c>
      <c r="AK147" s="244">
        <f t="shared" si="449"/>
        <v>132.94299999999998</v>
      </c>
      <c r="AL147" s="244">
        <f t="shared" si="449"/>
        <v>16.48</v>
      </c>
      <c r="AM147" s="244">
        <f t="shared" si="449"/>
        <v>211.46900000000002</v>
      </c>
      <c r="AN147" s="244">
        <f t="shared" si="449"/>
        <v>96.277999999999949</v>
      </c>
      <c r="AO147" s="244">
        <f t="shared" ref="AO147:AP147" si="450">AO129</f>
        <v>216.00099999999998</v>
      </c>
      <c r="AP147" s="244">
        <f t="shared" si="450"/>
        <v>123.288</v>
      </c>
    </row>
    <row r="148" spans="2:49">
      <c r="B148" s="25" t="s">
        <v>163</v>
      </c>
      <c r="G148" s="139">
        <f ca="1">OFFSET(R148,0,MATCH($G$2,$R$3:$AW$3,0)-1)*4</f>
        <v>86.043999999999997</v>
      </c>
      <c r="H148" s="75">
        <f ca="1">SUM(OFFSET(R148,0,MATCH($G$2,$R$3:$AW$3,0)-4),OFFSET(R148,0,MATCH($G$2,$R$3:$AW$3,0)-3),OFFSET(R148,0,MATCH($G$2,$R$3:$AW$3,0)-2),OFFSET(R148,0,MATCH($G$2,$R$3:$AW$3,0)-1))</f>
        <v>50.534999999999997</v>
      </c>
      <c r="J148" s="244">
        <f t="shared" ref="J148" si="451">-J122</f>
        <v>40.771999999999998</v>
      </c>
      <c r="K148" s="244">
        <f t="shared" ref="K148" si="452">-K122</f>
        <v>55.765999999999998</v>
      </c>
      <c r="L148" s="244">
        <f t="shared" ref="L148" si="453">-L122</f>
        <v>48.720999999999997</v>
      </c>
      <c r="M148" s="244">
        <f t="shared" ref="M148" si="454">-M122</f>
        <v>40.878</v>
      </c>
      <c r="N148" s="244">
        <f t="shared" ref="N148:O148" si="455">-N122</f>
        <v>42.816000000000003</v>
      </c>
      <c r="O148" s="244">
        <f t="shared" si="455"/>
        <v>49.317</v>
      </c>
      <c r="R148" s="244">
        <f t="shared" ref="R148:AN148" si="456">-R122</f>
        <v>0</v>
      </c>
      <c r="S148" s="244">
        <f t="shared" si="456"/>
        <v>0</v>
      </c>
      <c r="T148" s="244">
        <f t="shared" si="456"/>
        <v>0</v>
      </c>
      <c r="U148" s="244">
        <f t="shared" si="456"/>
        <v>0</v>
      </c>
      <c r="V148" s="244">
        <f t="shared" si="456"/>
        <v>0</v>
      </c>
      <c r="W148" s="244">
        <f t="shared" si="456"/>
        <v>0</v>
      </c>
      <c r="X148" s="244">
        <f t="shared" si="456"/>
        <v>0</v>
      </c>
      <c r="Y148" s="244">
        <f t="shared" si="456"/>
        <v>0</v>
      </c>
      <c r="Z148" s="244">
        <f t="shared" si="456"/>
        <v>0</v>
      </c>
      <c r="AA148" s="244">
        <f t="shared" si="456"/>
        <v>0</v>
      </c>
      <c r="AB148" s="244">
        <f t="shared" si="456"/>
        <v>0</v>
      </c>
      <c r="AC148" s="244">
        <f t="shared" si="456"/>
        <v>0</v>
      </c>
      <c r="AD148" s="244">
        <f t="shared" si="456"/>
        <v>0</v>
      </c>
      <c r="AE148" s="244">
        <f t="shared" si="456"/>
        <v>0</v>
      </c>
      <c r="AF148" s="244">
        <f t="shared" si="456"/>
        <v>0</v>
      </c>
      <c r="AG148" s="244">
        <f t="shared" si="456"/>
        <v>0</v>
      </c>
      <c r="AH148" s="244">
        <f t="shared" si="456"/>
        <v>18.021999999999998</v>
      </c>
      <c r="AI148" s="244">
        <f t="shared" si="456"/>
        <v>2.1390000000000029</v>
      </c>
      <c r="AJ148" s="244">
        <f t="shared" si="456"/>
        <v>19.592999999999996</v>
      </c>
      <c r="AK148" s="244">
        <f t="shared" si="456"/>
        <v>3.0620000000000047</v>
      </c>
      <c r="AL148" s="244">
        <f t="shared" si="456"/>
        <v>20.292999999999999</v>
      </c>
      <c r="AM148" s="244">
        <f t="shared" si="456"/>
        <v>4.2600000000000016</v>
      </c>
      <c r="AN148" s="244">
        <f t="shared" si="456"/>
        <v>20.723000000000006</v>
      </c>
      <c r="AO148" s="244">
        <f t="shared" ref="AO148:AP148" si="457">-AO122</f>
        <v>4.0409999999999897</v>
      </c>
      <c r="AP148" s="244">
        <f t="shared" si="457"/>
        <v>21.510999999999999</v>
      </c>
    </row>
    <row r="149" spans="2:49">
      <c r="B149" s="26" t="s">
        <v>164</v>
      </c>
      <c r="C149" s="26"/>
      <c r="D149" s="26"/>
      <c r="E149" s="26"/>
      <c r="F149" s="26"/>
      <c r="G149" s="140">
        <f ca="1">OFFSET(R149,0,MATCH($G$2,$R$3:$AW$3,0)-1)*4</f>
        <v>-314.53999999999996</v>
      </c>
      <c r="H149" s="128">
        <f ca="1">SUM(OFFSET(R149,0,MATCH($G$2,$R$3:$AW$3,0)-4),OFFSET(R149,0,MATCH($G$2,$R$3:$AW$3,0)-3),OFFSET(R149,0,MATCH($G$2,$R$3:$AW$3,0)-2),OFFSET(R149,0,MATCH($G$2,$R$3:$AW$3,0)-1))</f>
        <v>-389.04900000000004</v>
      </c>
      <c r="I149" s="26"/>
      <c r="J149" s="243">
        <f t="shared" ref="J149:O149" si="458">J131+J133</f>
        <v>-248.46899999999999</v>
      </c>
      <c r="K149" s="243">
        <f t="shared" si="458"/>
        <v>-190.50700000000001</v>
      </c>
      <c r="L149" s="243">
        <f t="shared" si="458"/>
        <v>-130.875</v>
      </c>
      <c r="M149" s="243">
        <f t="shared" si="458"/>
        <v>-46.673000000000002</v>
      </c>
      <c r="N149" s="243">
        <f t="shared" si="458"/>
        <v>-135.70099999999999</v>
      </c>
      <c r="O149" s="243">
        <f t="shared" si="458"/>
        <v>-375.58199999999999</v>
      </c>
      <c r="P149" s="26"/>
      <c r="Q149" s="26"/>
      <c r="R149" s="243">
        <f>R131+R133</f>
        <v>-28.78</v>
      </c>
      <c r="S149" s="243">
        <f t="shared" ref="S149:AN149" si="459">S131+S133</f>
        <v>-98.923000000000002</v>
      </c>
      <c r="T149" s="243">
        <f t="shared" si="459"/>
        <v>-76.243000000000009</v>
      </c>
      <c r="U149" s="243">
        <f t="shared" si="459"/>
        <v>-44.522999999999982</v>
      </c>
      <c r="V149" s="243">
        <f t="shared" si="459"/>
        <v>-47.745000000000005</v>
      </c>
      <c r="W149" s="243">
        <f t="shared" si="459"/>
        <v>-56.158999999999999</v>
      </c>
      <c r="X149" s="243">
        <f t="shared" si="459"/>
        <v>-45.674000000000007</v>
      </c>
      <c r="Y149" s="243">
        <f t="shared" si="459"/>
        <v>-40.928999999999981</v>
      </c>
      <c r="Z149" s="243">
        <f t="shared" si="459"/>
        <v>-45.231999999999999</v>
      </c>
      <c r="AA149" s="243">
        <f t="shared" si="459"/>
        <v>-42.68</v>
      </c>
      <c r="AB149" s="243">
        <f t="shared" si="459"/>
        <v>-34.921000000000021</v>
      </c>
      <c r="AC149" s="243">
        <f t="shared" si="459"/>
        <v>-8.0419999999999945</v>
      </c>
      <c r="AD149" s="243">
        <f t="shared" si="459"/>
        <v>-9.298</v>
      </c>
      <c r="AE149" s="243">
        <f t="shared" si="459"/>
        <v>-12.339999999999998</v>
      </c>
      <c r="AF149" s="243">
        <f t="shared" si="459"/>
        <v>-11.167000000000009</v>
      </c>
      <c r="AG149" s="243">
        <f t="shared" si="459"/>
        <v>-13.867999999999995</v>
      </c>
      <c r="AH149" s="243">
        <f t="shared" si="459"/>
        <v>-20.795000000000002</v>
      </c>
      <c r="AI149" s="243">
        <f t="shared" si="459"/>
        <v>-34.952999999999996</v>
      </c>
      <c r="AJ149" s="243">
        <f t="shared" si="459"/>
        <v>-31.611000000000004</v>
      </c>
      <c r="AK149" s="243">
        <f t="shared" si="459"/>
        <v>-48.341999999999992</v>
      </c>
      <c r="AL149" s="243">
        <f t="shared" si="459"/>
        <v>-65.167999999999992</v>
      </c>
      <c r="AM149" s="243">
        <f t="shared" si="459"/>
        <v>-85.548000000000002</v>
      </c>
      <c r="AN149" s="243">
        <f t="shared" si="459"/>
        <v>-102.40100000000004</v>
      </c>
      <c r="AO149" s="243">
        <f t="shared" ref="AO149:AP149" si="460">AO131+AO133</f>
        <v>-122.465</v>
      </c>
      <c r="AP149" s="243">
        <f t="shared" si="460"/>
        <v>-78.634999999999991</v>
      </c>
      <c r="AQ149" s="26"/>
      <c r="AR149" s="26"/>
      <c r="AS149" s="26"/>
      <c r="AT149" s="26"/>
      <c r="AU149" s="26"/>
      <c r="AV149" s="26"/>
      <c r="AW149" s="26"/>
    </row>
    <row r="150" spans="2:49">
      <c r="B150" s="1" t="s">
        <v>134</v>
      </c>
      <c r="G150" s="141">
        <f ca="1">OFFSET(R150,0,MATCH($G$2,$R$3:$AW$3,0)-1)*4</f>
        <v>264.65600000000006</v>
      </c>
      <c r="H150" s="74">
        <f ca="1">SUM(OFFSET(R150,0,MATCH($G$2,$R$3:$AW$3,0)-4),OFFSET(R150,0,MATCH($G$2,$R$3:$AW$3,0)-3),OFFSET(R150,0,MATCH($G$2,$R$3:$AW$3,0)-2),OFFSET(R150,0,MATCH($G$2,$R$3:$AW$3,0)-1))</f>
        <v>308.52199999999993</v>
      </c>
      <c r="J150" s="7">
        <f t="shared" ref="J150:O150" si="461">SUM(J147:J149)</f>
        <v>139.30200000000002</v>
      </c>
      <c r="K150" s="7">
        <f t="shared" si="461"/>
        <v>377.07199999999995</v>
      </c>
      <c r="L150" s="7">
        <f t="shared" si="461"/>
        <v>362.786</v>
      </c>
      <c r="M150" s="7">
        <f t="shared" si="461"/>
        <v>315.78100000000001</v>
      </c>
      <c r="N150" s="7">
        <f t="shared" si="461"/>
        <v>201.24299999999997</v>
      </c>
      <c r="O150" s="7">
        <f t="shared" si="461"/>
        <v>213.96299999999997</v>
      </c>
      <c r="R150" s="7">
        <f>SUM(R147:R149)</f>
        <v>-10.045999999999992</v>
      </c>
      <c r="S150" s="7">
        <f t="shared" ref="S150:AN150" si="462">SUM(S147:S149)</f>
        <v>36.097999999999985</v>
      </c>
      <c r="T150" s="7">
        <f t="shared" si="462"/>
        <v>42.305999999999983</v>
      </c>
      <c r="U150" s="7">
        <f t="shared" si="462"/>
        <v>30.172000000000054</v>
      </c>
      <c r="V150" s="7">
        <f t="shared" si="462"/>
        <v>-9.215999999999994</v>
      </c>
      <c r="W150" s="7">
        <f t="shared" si="462"/>
        <v>93.509000000000015</v>
      </c>
      <c r="X150" s="7">
        <f t="shared" si="462"/>
        <v>153.72799999999998</v>
      </c>
      <c r="Y150" s="7">
        <f t="shared" si="462"/>
        <v>83.285000000000025</v>
      </c>
      <c r="Z150" s="7">
        <f t="shared" si="462"/>
        <v>26.272000000000048</v>
      </c>
      <c r="AA150" s="7">
        <f t="shared" si="462"/>
        <v>127.95699999999999</v>
      </c>
      <c r="AB150" s="7">
        <f t="shared" si="462"/>
        <v>82.700999999999937</v>
      </c>
      <c r="AC150" s="7">
        <f t="shared" si="462"/>
        <v>77.134999999999962</v>
      </c>
      <c r="AD150" s="7">
        <f t="shared" si="462"/>
        <v>93.259999999999991</v>
      </c>
      <c r="AE150" s="7">
        <f t="shared" si="462"/>
        <v>82.92</v>
      </c>
      <c r="AF150" s="7">
        <f t="shared" si="462"/>
        <v>71.376999999999953</v>
      </c>
      <c r="AG150" s="7">
        <f t="shared" si="462"/>
        <v>27.345999999999989</v>
      </c>
      <c r="AH150" s="7">
        <f t="shared" si="462"/>
        <v>29.448999999999998</v>
      </c>
      <c r="AI150" s="7">
        <f t="shared" si="462"/>
        <v>30.608000000000011</v>
      </c>
      <c r="AJ150" s="7">
        <f t="shared" si="462"/>
        <v>53.522999999999982</v>
      </c>
      <c r="AK150" s="7">
        <f t="shared" si="462"/>
        <v>87.663000000000011</v>
      </c>
      <c r="AL150" s="7">
        <f t="shared" si="462"/>
        <v>-28.394999999999996</v>
      </c>
      <c r="AM150" s="7">
        <f t="shared" si="462"/>
        <v>130.18100000000001</v>
      </c>
      <c r="AN150" s="7">
        <f t="shared" si="462"/>
        <v>14.599999999999909</v>
      </c>
      <c r="AO150" s="7">
        <f t="shared" ref="AO150:AP150" si="463">SUM(AO147:AO149)</f>
        <v>97.57699999999997</v>
      </c>
      <c r="AP150" s="7">
        <f t="shared" si="463"/>
        <v>66.164000000000016</v>
      </c>
    </row>
    <row r="157" spans="2:49">
      <c r="AP157" s="256">
        <v>43575</v>
      </c>
      <c r="AQ157" s="25">
        <v>43.575000000000003</v>
      </c>
    </row>
    <row r="158" spans="2:49">
      <c r="AP158" s="25">
        <v>3</v>
      </c>
      <c r="AQ158" s="25">
        <v>-3.0000000000000001E-3</v>
      </c>
    </row>
    <row r="159" spans="2:49">
      <c r="AP159" s="256">
        <v>1509</v>
      </c>
      <c r="AQ159" s="25">
        <v>1.5089999999999999</v>
      </c>
    </row>
    <row r="160" spans="2:49">
      <c r="AP160" s="256">
        <v>5284</v>
      </c>
      <c r="AQ160" s="25">
        <v>-5.2839999999999998</v>
      </c>
    </row>
    <row r="161" spans="42:43">
      <c r="AP161" s="256">
        <v>41787</v>
      </c>
      <c r="AQ161" s="25">
        <v>-41.786999999999999</v>
      </c>
    </row>
    <row r="162" spans="42:43">
      <c r="AP162" s="25">
        <v>24</v>
      </c>
      <c r="AQ162" s="25">
        <v>-2.4E-2</v>
      </c>
    </row>
    <row r="168" spans="42:43">
      <c r="AP168" s="25" t="s">
        <v>211</v>
      </c>
    </row>
  </sheetData>
  <pageMargins left="0.25" right="0.25" top="0.5" bottom="0.5" header="0" footer="0"/>
  <pageSetup scale="2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S30"/>
  <sheetViews>
    <sheetView workbookViewId="0">
      <selection activeCell="E28" sqref="E28:E30"/>
    </sheetView>
  </sheetViews>
  <sheetFormatPr defaultRowHeight="15"/>
  <sheetData>
    <row r="2" spans="5:18">
      <c r="K2" s="303">
        <f>'Marine DCF'!K2</f>
        <v>1</v>
      </c>
      <c r="L2" s="303">
        <f>'Marine DCF'!L2</f>
        <v>2</v>
      </c>
      <c r="M2" s="303">
        <f>'Marine DCF'!M2</f>
        <v>3</v>
      </c>
      <c r="N2" s="303">
        <f>'Marine DCF'!N2</f>
        <v>4</v>
      </c>
      <c r="O2" s="303">
        <f>'Marine DCF'!O2</f>
        <v>5</v>
      </c>
      <c r="P2" s="303">
        <f>'Marine DCF'!P2</f>
        <v>6</v>
      </c>
      <c r="Q2" s="303">
        <f>'Marine DCF'!Q2</f>
        <v>7</v>
      </c>
      <c r="R2" s="303">
        <f>'Marine DCF'!R2</f>
        <v>8</v>
      </c>
    </row>
    <row r="3" spans="5:18">
      <c r="E3" s="123">
        <f>'Marine DCF'!E3</f>
        <v>2018</v>
      </c>
      <c r="F3" s="123">
        <f>'Marine DCF'!F3</f>
        <v>2019</v>
      </c>
      <c r="G3" s="123">
        <f>'Marine DCF'!G3</f>
        <v>2020</v>
      </c>
      <c r="H3" s="123">
        <f>'Marine DCF'!H3</f>
        <v>2021</v>
      </c>
      <c r="I3" s="123">
        <f>'Marine DCF'!I3</f>
        <v>2022</v>
      </c>
      <c r="J3" s="123">
        <f>'Marine DCF'!J3</f>
        <v>2023</v>
      </c>
      <c r="K3" s="123">
        <f>'Marine DCF'!K3</f>
        <v>2024</v>
      </c>
      <c r="L3" s="123">
        <f>'Marine DCF'!L3</f>
        <v>2025</v>
      </c>
      <c r="M3" s="123">
        <f>'Marine DCF'!M3</f>
        <v>2026</v>
      </c>
      <c r="N3" s="123">
        <f>'Marine DCF'!N3</f>
        <v>2027</v>
      </c>
      <c r="O3" s="123">
        <f>'Marine DCF'!O3</f>
        <v>2028</v>
      </c>
      <c r="P3" s="123">
        <f>'Marine DCF'!P3</f>
        <v>2029</v>
      </c>
      <c r="Q3" s="123">
        <f>'Marine DCF'!Q3</f>
        <v>2030</v>
      </c>
    </row>
    <row r="4" spans="5:18">
      <c r="E4" s="15">
        <f>'Marine DCF'!E4</f>
        <v>14501</v>
      </c>
      <c r="F4" s="15">
        <f>'Marine DCF'!F4</f>
        <v>14611</v>
      </c>
      <c r="G4" s="15">
        <f>'Marine DCF'!G4</f>
        <v>13006</v>
      </c>
      <c r="H4" s="15">
        <f>'Marine DCF'!H4</f>
        <v>13696</v>
      </c>
      <c r="I4" s="15">
        <f>'Marine DCF'!I4</f>
        <v>13775</v>
      </c>
      <c r="J4" s="15">
        <f>'Marine DCF'!J4</f>
        <v>13571</v>
      </c>
      <c r="K4" s="15">
        <f>'Marine DCF'!K4</f>
        <v>13842.42</v>
      </c>
      <c r="L4" s="15">
        <f>'Marine DCF'!L4</f>
        <v>14119.268400000001</v>
      </c>
      <c r="M4" s="15">
        <f>'Marine DCF'!M4</f>
        <v>14401.653768000002</v>
      </c>
      <c r="N4" s="15">
        <f>'Marine DCF'!N4</f>
        <v>14689.686843360003</v>
      </c>
      <c r="O4" s="15">
        <f>'Marine DCF'!O4</f>
        <v>14983.480580227204</v>
      </c>
      <c r="P4" s="15">
        <f>'Marine DCF'!P4</f>
        <v>15283.150191831748</v>
      </c>
      <c r="Q4" s="15">
        <f>'Marine DCF'!Q4</f>
        <v>15588.813195668383</v>
      </c>
      <c r="R4" s="6">
        <f>'Marine DCF'!R4</f>
        <v>15588.813195668383</v>
      </c>
    </row>
    <row r="5" spans="5:18">
      <c r="F5" s="9">
        <f>'Marine DCF'!F5</f>
        <v>7.5856837459484794E-3</v>
      </c>
      <c r="G5" s="9">
        <f>'Marine DCF'!G5</f>
        <v>-0.10984874409691325</v>
      </c>
      <c r="H5" s="9">
        <f>'Marine DCF'!H5</f>
        <v>5.3052437336613911E-2</v>
      </c>
      <c r="I5" s="9">
        <f>'Marine DCF'!I5</f>
        <v>5.7681074766355867E-3</v>
      </c>
      <c r="J5" s="9">
        <f>'Marine DCF'!J5</f>
        <v>-1.4809437386569924E-2</v>
      </c>
      <c r="K5" s="9">
        <f>'Marine DCF'!K5</f>
        <v>0.02</v>
      </c>
      <c r="L5" s="9">
        <f>'Marine DCF'!L5</f>
        <v>0.02</v>
      </c>
      <c r="M5" s="9">
        <f>'Marine DCF'!M5</f>
        <v>0.02</v>
      </c>
      <c r="N5" s="9">
        <f>'Marine DCF'!N5</f>
        <v>0.02</v>
      </c>
      <c r="O5" s="9">
        <f>'Marine DCF'!O5</f>
        <v>0.02</v>
      </c>
      <c r="P5" s="9">
        <f>'Marine DCF'!P5</f>
        <v>0.02</v>
      </c>
      <c r="Q5" s="9">
        <f>'Marine DCF'!Q5</f>
        <v>0.02</v>
      </c>
    </row>
    <row r="6" spans="5:18">
      <c r="E6" s="297">
        <f>'Marine DCF'!E6</f>
        <v>7.7083856285773384</v>
      </c>
      <c r="F6" s="297">
        <f>'Marine DCF'!F6</f>
        <v>8.3688180138252015</v>
      </c>
      <c r="G6" s="297">
        <f>'Marine DCF'!G6</f>
        <v>8.4279870828848225</v>
      </c>
      <c r="H6" s="297">
        <f>'Marine DCF'!H6</f>
        <v>7.3369450934579428</v>
      </c>
      <c r="I6" s="297">
        <f>'Marine DCF'!I6</f>
        <v>9.2789981851179668</v>
      </c>
      <c r="J6" s="297">
        <f>'Marine DCF'!J6</f>
        <v>10.440181268882174</v>
      </c>
      <c r="K6" s="15">
        <f>'Marine DCF'!K6</f>
        <v>11.170993957703928</v>
      </c>
      <c r="L6" s="15">
        <f>'Marine DCF'!L6</f>
        <v>11.952963534743203</v>
      </c>
      <c r="M6" s="15">
        <f>'Marine DCF'!M6</f>
        <v>12.550611711480364</v>
      </c>
      <c r="N6" s="15">
        <f>'Marine DCF'!N6</f>
        <v>13.052636179939579</v>
      </c>
      <c r="O6" s="15">
        <f>'Marine DCF'!O6</f>
        <v>13.444215265337768</v>
      </c>
      <c r="P6" s="15">
        <f>'Marine DCF'!P6</f>
        <v>13.444215265337768</v>
      </c>
      <c r="Q6" s="15">
        <f>'Marine DCF'!Q6</f>
        <v>13.444215265337768</v>
      </c>
      <c r="R6" s="6">
        <f>'Marine DCF'!R6</f>
        <v>13.444215265337768</v>
      </c>
    </row>
    <row r="7" spans="5:18">
      <c r="F7" s="188">
        <f>'Marine DCF'!F7</f>
        <v>8.5677133588054843E-2</v>
      </c>
      <c r="G7" s="188">
        <f>'Marine DCF'!G7</f>
        <v>7.070182307928663E-3</v>
      </c>
      <c r="H7" s="188">
        <f>'Marine DCF'!H7</f>
        <v>-0.12945463474220542</v>
      </c>
      <c r="I7" s="188">
        <f>'Marine DCF'!I7</f>
        <v>0.2646950559016279</v>
      </c>
      <c r="J7" s="188">
        <f>'Marine DCF'!J7</f>
        <v>0.12514099696953918</v>
      </c>
      <c r="K7" s="188">
        <f>'Marine DCF'!K7</f>
        <v>7.0000000000000007E-2</v>
      </c>
      <c r="L7" s="188">
        <f>'Marine DCF'!L7</f>
        <v>7.0000000000000007E-2</v>
      </c>
      <c r="M7" s="188">
        <f>'Marine DCF'!M7</f>
        <v>0.05</v>
      </c>
      <c r="N7" s="188">
        <f>'Marine DCF'!N7</f>
        <v>0.04</v>
      </c>
      <c r="O7" s="188">
        <f>'Marine DCF'!O7</f>
        <v>0.03</v>
      </c>
      <c r="P7" s="188">
        <f>'Marine DCF'!P7</f>
        <v>0</v>
      </c>
      <c r="Q7" s="188">
        <f>'Marine DCF'!Q7</f>
        <v>0</v>
      </c>
    </row>
    <row r="8" spans="5:18">
      <c r="E8" s="34">
        <f>'Marine DCF'!$E$8</f>
        <v>1117.7929999999999</v>
      </c>
      <c r="F8" s="34">
        <f>'Marine DCF'!F8</f>
        <v>1222.7680000000003</v>
      </c>
      <c r="G8" s="34">
        <f>'Marine DCF'!G8</f>
        <v>1096.144</v>
      </c>
      <c r="H8" s="34">
        <f>'Marine DCF'!H8</f>
        <v>1004.8679999999999</v>
      </c>
      <c r="I8" s="34">
        <f>'Marine DCF'!I8</f>
        <v>1278.182</v>
      </c>
      <c r="J8" s="34">
        <f>'Marine DCF'!J8</f>
        <v>1416.8369999999998</v>
      </c>
      <c r="K8" s="34">
        <f>'Marine DCF'!K8</f>
        <v>1546.3359018000001</v>
      </c>
      <c r="L8" s="34">
        <f>'Marine DCF'!L8</f>
        <v>1687.6710032245203</v>
      </c>
      <c r="M8" s="34">
        <f>'Marine DCF'!M8</f>
        <v>1807.4956444534612</v>
      </c>
      <c r="N8" s="34">
        <f>'Marine DCF'!N8</f>
        <v>1917.3913796362322</v>
      </c>
      <c r="O8" s="34">
        <f>'Marine DCF'!O8</f>
        <v>2014.4113834458258</v>
      </c>
      <c r="P8" s="34">
        <f>'Marine DCF'!P8</f>
        <v>2054.6996111147423</v>
      </c>
      <c r="Q8" s="34">
        <f>'Marine DCF'!Q8</f>
        <v>2095.793603337037</v>
      </c>
      <c r="R8" s="34">
        <f>'Marine DCF'!R8</f>
        <v>2095.793603337037</v>
      </c>
    </row>
    <row r="9" spans="5:18">
      <c r="F9" s="9">
        <f>'Marine DCF'!F9</f>
        <v>9.391273697366187E-2</v>
      </c>
      <c r="G9" s="9">
        <f>'Marine DCF'!G9</f>
        <v>-0.10355521243604693</v>
      </c>
      <c r="H9" s="9">
        <f>'Marine DCF'!H9</f>
        <v>-8.3270081303186472E-2</v>
      </c>
      <c r="I9" s="9">
        <f>'Marine DCF'!I9</f>
        <v>0.271989952909238</v>
      </c>
      <c r="J9" s="9">
        <f>'Marine DCF'!J9</f>
        <v>0.10847829182385582</v>
      </c>
      <c r="K9" s="9">
        <f>'Marine DCF'!K9</f>
        <v>9.1400000000000148E-2</v>
      </c>
      <c r="L9" s="9">
        <f>'Marine DCF'!L9</f>
        <v>9.1400000000000148E-2</v>
      </c>
      <c r="M9" s="9">
        <f>'Marine DCF'!M9</f>
        <v>7.0999999999999952E-2</v>
      </c>
      <c r="N9" s="9">
        <f>'Marine DCF'!N9</f>
        <v>6.0800000000000187E-2</v>
      </c>
      <c r="O9" s="9">
        <f>'Marine DCF'!O9</f>
        <v>5.06000000000002E-2</v>
      </c>
      <c r="P9" s="9">
        <f>'Marine DCF'!P9</f>
        <v>2.0000000000000018E-2</v>
      </c>
      <c r="Q9" s="9">
        <f>'Marine DCF'!Q9</f>
        <v>2.0000000000000018E-2</v>
      </c>
      <c r="R9" s="9">
        <f>'Marine DCF'!R9</f>
        <v>0</v>
      </c>
    </row>
    <row r="10" spans="5:18">
      <c r="E10" s="34">
        <f>'Marine DCF'!E10</f>
        <v>365.35000000000014</v>
      </c>
      <c r="F10" s="34">
        <f>'Marine DCF'!F10</f>
        <v>364.31399999999985</v>
      </c>
      <c r="G10" s="34">
        <f>'Marine DCF'!G10</f>
        <v>308.12099999999987</v>
      </c>
      <c r="H10" s="34">
        <f>'Marine DCF'!H10</f>
        <v>318.04999999999995</v>
      </c>
      <c r="I10" s="34">
        <f>'Marine DCF'!I10</f>
        <v>338.78500000000008</v>
      </c>
      <c r="J10" s="34">
        <f>'Marine DCF'!J10</f>
        <v>305.10000000000014</v>
      </c>
      <c r="K10" s="34">
        <f>'Marine DCF'!K10</f>
        <v>317.30400000000014</v>
      </c>
      <c r="L10" s="34">
        <f>'Marine DCF'!L10</f>
        <v>317.30400000000014</v>
      </c>
      <c r="M10" s="34">
        <f>'Marine DCF'!M10</f>
        <v>317.30400000000014</v>
      </c>
      <c r="N10" s="34">
        <f>'Marine DCF'!N10</f>
        <v>317.30400000000014</v>
      </c>
      <c r="O10" s="34">
        <f>'Marine DCF'!O10</f>
        <v>317.30400000000014</v>
      </c>
      <c r="P10" s="34">
        <f>'Marine DCF'!P10</f>
        <v>317.30400000000014</v>
      </c>
      <c r="Q10" s="34">
        <f>'Marine DCF'!Q10</f>
        <v>317.30400000000014</v>
      </c>
      <c r="R10" s="196">
        <f>'Marine DCF'!R10</f>
        <v>350</v>
      </c>
    </row>
    <row r="11" spans="5:18">
      <c r="F11" s="188">
        <f>'Marine DCF'!F11</f>
        <v>-2.835637060353835E-3</v>
      </c>
      <c r="G11" s="188">
        <f>'Marine DCF'!G11</f>
        <v>-0.15424331757769394</v>
      </c>
      <c r="H11" s="188">
        <f>'Marine DCF'!H11</f>
        <v>3.2224353419598506E-2</v>
      </c>
      <c r="I11" s="188">
        <f>'Marine DCF'!I11</f>
        <v>6.5194151862915106E-2</v>
      </c>
      <c r="J11" s="188">
        <f>'Marine DCF'!J11</f>
        <v>-9.9428841300529647E-2</v>
      </c>
      <c r="K11" s="188">
        <f>'Marine DCF'!K11</f>
        <v>0.04</v>
      </c>
      <c r="L11" s="188">
        <f>'Marine DCF'!L11</f>
        <v>0</v>
      </c>
      <c r="M11" s="188">
        <f>'Marine DCF'!M11</f>
        <v>0</v>
      </c>
      <c r="N11" s="188">
        <f>'Marine DCF'!N11</f>
        <v>0</v>
      </c>
      <c r="O11" s="188">
        <f>'Marine DCF'!O11</f>
        <v>0</v>
      </c>
      <c r="P11" s="188">
        <f>'Marine DCF'!P11</f>
        <v>0</v>
      </c>
      <c r="Q11" s="188">
        <f>'Marine DCF'!Q11</f>
        <v>0</v>
      </c>
      <c r="R11" s="188">
        <f>'Marine DCF'!R11</f>
        <v>0.10304313844136792</v>
      </c>
    </row>
    <row r="12" spans="5:18">
      <c r="E12" s="7">
        <f>'Marine DCF'!E12</f>
        <v>1483.143</v>
      </c>
      <c r="F12" s="7">
        <f>'Marine DCF'!F12</f>
        <v>1587.0820000000001</v>
      </c>
      <c r="G12" s="7">
        <f>'Marine DCF'!G12</f>
        <v>1404.2649999999999</v>
      </c>
      <c r="H12" s="7">
        <f>'Marine DCF'!H12</f>
        <v>1322.9179999999999</v>
      </c>
      <c r="I12" s="7">
        <f>'Marine DCF'!I12</f>
        <v>1616.9670000000001</v>
      </c>
      <c r="J12" s="7">
        <f>'Marine DCF'!J12</f>
        <v>1721.9369999999999</v>
      </c>
      <c r="K12" s="7">
        <f>'Marine DCF'!K12</f>
        <v>1863.6399018000002</v>
      </c>
      <c r="L12" s="7">
        <f>'Marine DCF'!L12</f>
        <v>2004.9750032245204</v>
      </c>
      <c r="M12" s="7">
        <f>'Marine DCF'!M12</f>
        <v>2124.7996444534615</v>
      </c>
      <c r="N12" s="7">
        <f>'Marine DCF'!N12</f>
        <v>2234.6953796362322</v>
      </c>
      <c r="O12" s="7">
        <f>'Marine DCF'!O12</f>
        <v>2331.7153834458259</v>
      </c>
      <c r="P12" s="7">
        <f>'Marine DCF'!P12</f>
        <v>2372.0036111147424</v>
      </c>
      <c r="Q12" s="7">
        <f>'Marine DCF'!Q12</f>
        <v>2413.0976033370371</v>
      </c>
      <c r="R12" s="7">
        <f>'Marine DCF'!R12</f>
        <v>2445.793603337037</v>
      </c>
    </row>
    <row r="14" spans="5:18">
      <c r="E14" s="34">
        <f>'Marine DCF'!E14</f>
        <v>147.41600000000017</v>
      </c>
      <c r="F14" s="34">
        <f>'Marine DCF'!F14</f>
        <v>215.84200000000013</v>
      </c>
      <c r="G14" s="34">
        <f>'Marine DCF'!G14</f>
        <v>163.65600000000012</v>
      </c>
      <c r="H14" s="34">
        <f>'Marine DCF'!H14</f>
        <v>63.014999999999986</v>
      </c>
      <c r="I14" s="34">
        <f>'Marine DCF'!I14</f>
        <v>136.18399999999997</v>
      </c>
      <c r="J14" s="34">
        <f>'Marine DCF'!J14</f>
        <v>238.93999999999988</v>
      </c>
      <c r="K14" s="34">
        <f>'Marine DCF'!K14</f>
        <v>316.81878330600006</v>
      </c>
      <c r="L14" s="34">
        <f>'Marine DCF'!L14</f>
        <v>360.89550058041368</v>
      </c>
      <c r="M14" s="34">
        <f>'Marine DCF'!M14</f>
        <v>403.71193244615768</v>
      </c>
      <c r="N14" s="34">
        <f>'Marine DCF'!N14</f>
        <v>446.93907592724645</v>
      </c>
      <c r="O14" s="34">
        <f>'Marine DCF'!O14</f>
        <v>466.34307668916517</v>
      </c>
      <c r="P14" s="34">
        <f>'Marine DCF'!P14</f>
        <v>474.4007222229485</v>
      </c>
      <c r="Q14" s="34">
        <f>'Marine DCF'!Q14</f>
        <v>482.61952066740741</v>
      </c>
      <c r="R14" s="34">
        <f>'Marine DCF'!R14</f>
        <v>317.95316843381482</v>
      </c>
    </row>
    <row r="15" spans="5:18">
      <c r="E15" s="9">
        <f>'Marine DCF'!E15</f>
        <v>9.9394326777660788E-2</v>
      </c>
      <c r="F15" s="9">
        <f>'Marine DCF'!F15</f>
        <v>0.13599927413958454</v>
      </c>
      <c r="G15" s="9">
        <f>'Marine DCF'!G15</f>
        <v>0.11654210565669594</v>
      </c>
      <c r="H15" s="9">
        <f>'Marine DCF'!H15</f>
        <v>4.7633337818368177E-2</v>
      </c>
      <c r="I15" s="9">
        <f>'Marine DCF'!I15</f>
        <v>8.4221879605458835E-2</v>
      </c>
      <c r="J15" s="9">
        <f>'Marine DCF'!J15</f>
        <v>0.13876233567197865</v>
      </c>
      <c r="K15" s="9">
        <f>'Marine DCF'!K15</f>
        <v>0.17</v>
      </c>
      <c r="L15" s="9">
        <f>'Marine DCF'!L15</f>
        <v>0.18</v>
      </c>
      <c r="M15" s="9">
        <f>'Marine DCF'!M15</f>
        <v>0.19</v>
      </c>
      <c r="N15" s="9">
        <f>'Marine DCF'!N15</f>
        <v>0.2</v>
      </c>
      <c r="O15" s="9">
        <f>'Marine DCF'!O15</f>
        <v>0.2</v>
      </c>
      <c r="P15" s="9">
        <f>'Marine DCF'!P15</f>
        <v>0.2</v>
      </c>
      <c r="Q15" s="9">
        <f>'Marine DCF'!Q15</f>
        <v>0.2</v>
      </c>
      <c r="R15" s="9">
        <f>'Marine DCF'!R15</f>
        <v>0.13</v>
      </c>
    </row>
    <row r="16" spans="5:18">
      <c r="E16" s="15">
        <f>'Marine DCF'!E16</f>
        <v>182.30699999999999</v>
      </c>
      <c r="F16" s="15">
        <f>'Marine DCF'!F16</f>
        <v>179.74199999999999</v>
      </c>
      <c r="G16" s="15">
        <f>'Marine DCF'!G16</f>
        <v>186.798</v>
      </c>
      <c r="H16" s="15">
        <f>'Marine DCF'!H16</f>
        <v>185.97899999999998</v>
      </c>
      <c r="I16" s="15">
        <f>'Marine DCF'!I16</f>
        <v>177.55099999999999</v>
      </c>
      <c r="J16" s="15">
        <f>'Marine DCF'!J16</f>
        <v>184.22500000000002</v>
      </c>
      <c r="K16" s="6">
        <f>'Marine DCF'!K16</f>
        <v>194.22500000000002</v>
      </c>
      <c r="L16" s="6">
        <f>'Marine DCF'!L16</f>
        <v>204.22500000000002</v>
      </c>
      <c r="M16" s="6">
        <f>'Marine DCF'!M16</f>
        <v>214.22500000000002</v>
      </c>
      <c r="N16" s="6">
        <f>'Marine DCF'!N16</f>
        <v>224.22500000000002</v>
      </c>
      <c r="O16" s="6">
        <f>'Marine DCF'!O16</f>
        <v>234.22500000000002</v>
      </c>
      <c r="P16" s="6">
        <f>'Marine DCF'!P16</f>
        <v>244.22500000000002</v>
      </c>
      <c r="Q16" s="6">
        <f>'Marine DCF'!Q16</f>
        <v>254.22500000000002</v>
      </c>
      <c r="R16" s="6">
        <f>'Marine DCF'!R16</f>
        <v>254.22500000000002</v>
      </c>
    </row>
    <row r="17" spans="5:19">
      <c r="F17" s="299">
        <f>'Marine DCF'!F17</f>
        <v>-2.5649999999999977</v>
      </c>
      <c r="G17" s="299">
        <f>'Marine DCF'!G17</f>
        <v>7.0560000000000116</v>
      </c>
      <c r="H17" s="299">
        <f>'Marine DCF'!H17</f>
        <v>-0.81900000000001683</v>
      </c>
      <c r="I17" s="299">
        <f>'Marine DCF'!I17</f>
        <v>-8.4279999999999973</v>
      </c>
      <c r="J17" s="299">
        <f>'Marine DCF'!J17</f>
        <v>6.674000000000035</v>
      </c>
      <c r="K17" s="299">
        <f>'Marine DCF'!K17</f>
        <v>10</v>
      </c>
      <c r="L17" s="299">
        <f>'Marine DCF'!L17</f>
        <v>10</v>
      </c>
      <c r="M17" s="299">
        <f>'Marine DCF'!M17</f>
        <v>10</v>
      </c>
      <c r="N17" s="299">
        <f>'Marine DCF'!N17</f>
        <v>10</v>
      </c>
      <c r="O17" s="299">
        <f>'Marine DCF'!O17</f>
        <v>10</v>
      </c>
      <c r="P17" s="299">
        <f>'Marine DCF'!P17</f>
        <v>10</v>
      </c>
      <c r="Q17" s="299">
        <f>'Marine DCF'!Q17</f>
        <v>10</v>
      </c>
    </row>
    <row r="18" spans="5:19">
      <c r="E18" s="7">
        <f>'Marine DCF'!E18</f>
        <v>329.72300000000018</v>
      </c>
      <c r="F18" s="7">
        <f>'Marine DCF'!F18</f>
        <v>395.58400000000012</v>
      </c>
      <c r="G18" s="7">
        <f>'Marine DCF'!G18</f>
        <v>350.45400000000012</v>
      </c>
      <c r="H18" s="7">
        <f>'Marine DCF'!H18</f>
        <v>248.99399999999997</v>
      </c>
      <c r="I18" s="7">
        <f>'Marine DCF'!I18</f>
        <v>313.73499999999996</v>
      </c>
      <c r="J18" s="7">
        <f>'Marine DCF'!J18</f>
        <v>423.16499999999991</v>
      </c>
      <c r="K18" s="7">
        <f>'Marine DCF'!K18</f>
        <v>511.04378330600008</v>
      </c>
      <c r="L18" s="7">
        <f>'Marine DCF'!L18</f>
        <v>565.1205005804137</v>
      </c>
      <c r="M18" s="7">
        <f>'Marine DCF'!M18</f>
        <v>617.9369324461577</v>
      </c>
      <c r="N18" s="7">
        <f>'Marine DCF'!N18</f>
        <v>671.16407592724647</v>
      </c>
      <c r="O18" s="7">
        <f>'Marine DCF'!O18</f>
        <v>700.5680766891652</v>
      </c>
      <c r="P18" s="7">
        <f>'Marine DCF'!P18</f>
        <v>718.62572222294853</v>
      </c>
      <c r="Q18" s="7">
        <f>'Marine DCF'!Q18</f>
        <v>736.84452066740744</v>
      </c>
      <c r="R18" s="7">
        <f>'Marine DCF'!R18</f>
        <v>572.17816843381479</v>
      </c>
    </row>
    <row r="19" spans="5:19" ht="15.75" thickBot="1">
      <c r="E19" s="15">
        <f>'Marine DCF'!E19</f>
        <v>0</v>
      </c>
      <c r="F19" s="15">
        <f>'Marine DCF'!F19</f>
        <v>0</v>
      </c>
      <c r="G19" s="15">
        <f>'Marine DCF'!G19</f>
        <v>0</v>
      </c>
      <c r="H19" s="15">
        <f>'Marine DCF'!H19</f>
        <v>0</v>
      </c>
      <c r="I19" s="15">
        <f>'Marine DCF'!I19</f>
        <v>0</v>
      </c>
      <c r="J19" s="15">
        <f>'Marine DCF'!J19</f>
        <v>0</v>
      </c>
      <c r="K19" s="15">
        <f>'Marine DCF'!K19</f>
        <v>0</v>
      </c>
      <c r="L19" s="15">
        <f>'Marine DCF'!L19</f>
        <v>0</v>
      </c>
      <c r="M19" s="15">
        <f>'Marine DCF'!M19</f>
        <v>0</v>
      </c>
      <c r="N19" s="6">
        <f>'Marine DCF'!N19</f>
        <v>-67.116407592724656</v>
      </c>
      <c r="O19" s="6">
        <f>'Marine DCF'!O19</f>
        <v>-70.05680766891652</v>
      </c>
      <c r="P19" s="6">
        <f>'Marine DCF'!P19</f>
        <v>-71.862572222294858</v>
      </c>
      <c r="Q19" s="6">
        <f>'Marine DCF'!Q19</f>
        <v>-73.684452066740747</v>
      </c>
      <c r="R19" s="6">
        <f>'Marine DCF'!R19</f>
        <v>-57.217816843381485</v>
      </c>
      <c r="S19" s="301">
        <f>'Marine DCF'!$S$19</f>
        <v>0.1</v>
      </c>
    </row>
    <row r="20" spans="5:19">
      <c r="E20" s="12">
        <f>'Marine DCF'!E20</f>
        <v>-150</v>
      </c>
      <c r="F20" s="12">
        <f>'Marine DCF'!F20</f>
        <v>-150</v>
      </c>
      <c r="G20" s="12">
        <f>'Marine DCF'!G20</f>
        <v>-150</v>
      </c>
      <c r="H20" s="12">
        <f>'Marine DCF'!H20</f>
        <v>-150</v>
      </c>
      <c r="I20" s="12">
        <f>'Marine DCF'!I20</f>
        <v>-150</v>
      </c>
      <c r="J20" s="12">
        <f>'Marine DCF'!J20</f>
        <v>-240</v>
      </c>
      <c r="K20" s="12">
        <f>'Marine DCF'!K20</f>
        <v>-240</v>
      </c>
      <c r="L20" s="12">
        <f>'Marine DCF'!L20</f>
        <v>-240</v>
      </c>
      <c r="M20" s="302">
        <f>'Marine DCF'!M20</f>
        <v>-200</v>
      </c>
      <c r="N20" s="302">
        <f>'Marine DCF'!N20</f>
        <v>-200</v>
      </c>
      <c r="O20" s="302">
        <f>'Marine DCF'!O20</f>
        <v>-200</v>
      </c>
      <c r="P20" s="302">
        <f>'Marine DCF'!P20</f>
        <v>-200</v>
      </c>
      <c r="Q20" s="302">
        <f>'Marine DCF'!Q20</f>
        <v>-200</v>
      </c>
      <c r="R20" s="302">
        <f>'Marine DCF'!R20</f>
        <v>-150</v>
      </c>
    </row>
    <row r="21" spans="5:19">
      <c r="E21" s="7">
        <f>'Marine DCF'!E21</f>
        <v>179.72300000000018</v>
      </c>
      <c r="F21" s="7">
        <f>'Marine DCF'!F21</f>
        <v>245.58400000000012</v>
      </c>
      <c r="G21" s="7">
        <f>'Marine DCF'!G21</f>
        <v>200.45400000000012</v>
      </c>
      <c r="H21" s="7">
        <f>'Marine DCF'!H21</f>
        <v>98.993999999999971</v>
      </c>
      <c r="I21" s="7">
        <f>'Marine DCF'!I21</f>
        <v>163.73499999999996</v>
      </c>
      <c r="J21" s="7">
        <f>'Marine DCF'!J21</f>
        <v>183.16499999999991</v>
      </c>
      <c r="K21" s="7">
        <f>'Marine DCF'!K21</f>
        <v>271.04378330600008</v>
      </c>
      <c r="L21" s="7">
        <f>'Marine DCF'!L21</f>
        <v>325.1205005804137</v>
      </c>
      <c r="M21" s="7">
        <f>'Marine DCF'!M21</f>
        <v>417.9369324461577</v>
      </c>
      <c r="N21" s="7">
        <f>'Marine DCF'!N21</f>
        <v>404.04766833452186</v>
      </c>
      <c r="O21" s="7">
        <f>'Marine DCF'!O21</f>
        <v>430.51126902024862</v>
      </c>
      <c r="P21" s="7">
        <f>'Marine DCF'!P21</f>
        <v>446.7631500006537</v>
      </c>
      <c r="Q21" s="7">
        <f>'Marine DCF'!Q21</f>
        <v>463.1600686006667</v>
      </c>
      <c r="R21" s="7">
        <f>'Marine DCF'!R21</f>
        <v>364.96035159043333</v>
      </c>
    </row>
    <row r="22" spans="5:19">
      <c r="E22" s="9">
        <f>'Marine DCF'!E22</f>
        <v>0.54507268222113736</v>
      </c>
      <c r="F22" s="9">
        <f>'Marine DCF'!F22</f>
        <v>0.6208137841773177</v>
      </c>
      <c r="G22" s="9">
        <f>'Marine DCF'!G22</f>
        <v>0.57198376962454434</v>
      </c>
      <c r="H22" s="9">
        <f>'Marine DCF'!H22</f>
        <v>0.39757584520108913</v>
      </c>
      <c r="I22" s="9">
        <f>'Marine DCF'!I22</f>
        <v>0.52188949272475171</v>
      </c>
      <c r="J22" s="9">
        <f>'Marine DCF'!J22</f>
        <v>0.43284534401474589</v>
      </c>
      <c r="K22" s="9">
        <f>'Marine DCF'!K22</f>
        <v>0.53037291942499953</v>
      </c>
      <c r="L22" s="9">
        <f>'Marine DCF'!L22</f>
        <v>0.57531181446522439</v>
      </c>
      <c r="M22" s="9">
        <f>'Marine DCF'!M22</f>
        <v>0.67634237492767679</v>
      </c>
      <c r="N22" s="9">
        <f>'Marine DCF'!N22</f>
        <v>0.60201027263908602</v>
      </c>
      <c r="O22" s="9">
        <f>'Marine DCF'!O22</f>
        <v>0.61451739430493924</v>
      </c>
      <c r="P22" s="9">
        <f>'Marine DCF'!P22</f>
        <v>0.62169100852480841</v>
      </c>
      <c r="Q22" s="9">
        <f>'Marine DCF'!Q22</f>
        <v>0.62857231832456717</v>
      </c>
      <c r="R22" s="9">
        <f>'Marine DCF'!R22</f>
        <v>0.63784389500461891</v>
      </c>
    </row>
    <row r="24" spans="5:19">
      <c r="K24" s="9">
        <f>'Marine DCF'!K24</f>
        <v>0.92592592592592582</v>
      </c>
      <c r="L24" s="9">
        <f>'Marine DCF'!L24</f>
        <v>0.85733882030178321</v>
      </c>
      <c r="M24" s="9">
        <f>'Marine DCF'!M24</f>
        <v>0.79383224102016958</v>
      </c>
      <c r="N24" s="9">
        <f>'Marine DCF'!N24</f>
        <v>0.73502985279645328</v>
      </c>
      <c r="O24" s="9">
        <f>'Marine DCF'!O24</f>
        <v>0.68058319703375303</v>
      </c>
      <c r="P24" s="9">
        <f>'Marine DCF'!P24</f>
        <v>0.63016962688310452</v>
      </c>
      <c r="Q24" s="9">
        <f>'Marine DCF'!Q24</f>
        <v>0.58349039526213387</v>
      </c>
      <c r="R24" s="9">
        <f>'Marine DCF'!R24</f>
        <v>0.54026888450197574</v>
      </c>
      <c r="S24" s="307">
        <f>'Marine DCF'!S24</f>
        <v>0.08</v>
      </c>
    </row>
    <row r="26" spans="5:19" ht="15.75" thickBot="1">
      <c r="K26" s="6">
        <f>'Marine DCF'!K25</f>
        <v>250.96646602407412</v>
      </c>
      <c r="L26" s="6">
        <f>'Marine DCF'!L25</f>
        <v>278.73842642353713</v>
      </c>
      <c r="M26" s="6">
        <f>'Marine DCF'!M25</f>
        <v>331.77181168882856</v>
      </c>
      <c r="N26" s="6">
        <f>'Marine DCF'!N25</f>
        <v>296.98709817867376</v>
      </c>
      <c r="O26" s="6">
        <f>'Marine DCF'!O25</f>
        <v>292.99873582885891</v>
      </c>
      <c r="P26" s="6">
        <f>'Marine DCF'!P25</f>
        <v>281.53656754103241</v>
      </c>
      <c r="Q26" s="6">
        <f>'Marine DCF'!Q25</f>
        <v>270.24945149744008</v>
      </c>
      <c r="R26" s="6">
        <f>'Marine DCF'!R25</f>
        <v>3549.1809967418217</v>
      </c>
      <c r="S26" s="301">
        <f>'Marine DCF'!S26</f>
        <v>0.02</v>
      </c>
    </row>
    <row r="28" spans="5:19">
      <c r="E28" s="304">
        <f>'Marine DCF'!E27</f>
        <v>5552.4295539242667</v>
      </c>
    </row>
    <row r="29" spans="5:19">
      <c r="E29" s="305">
        <f ca="1">'Marine DCF'!E28</f>
        <v>11.004864245253719</v>
      </c>
    </row>
    <row r="30" spans="5:19">
      <c r="E30" s="306">
        <f>'Marine DCF'!E29</f>
        <v>4.8815348429668171E-2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29"/>
  <sheetViews>
    <sheetView showGridLines="0" workbookViewId="0"/>
  </sheetViews>
  <sheetFormatPr defaultRowHeight="15"/>
  <cols>
    <col min="1" max="3" width="2.7109375" customWidth="1"/>
    <col min="4" max="4" width="13.7109375" customWidth="1"/>
    <col min="5" max="17" width="11.7109375" customWidth="1"/>
    <col min="18" max="22" width="13.7109375" customWidth="1"/>
  </cols>
  <sheetData>
    <row r="2" spans="1:19">
      <c r="A2" t="s">
        <v>0</v>
      </c>
      <c r="B2" s="192" t="s">
        <v>269</v>
      </c>
      <c r="K2" s="314">
        <v>1</v>
      </c>
      <c r="L2" s="311">
        <f>K2+1</f>
        <v>2</v>
      </c>
      <c r="M2" s="311">
        <f t="shared" ref="M2:R2" si="0">L2+1</f>
        <v>3</v>
      </c>
      <c r="N2" s="311">
        <f t="shared" si="0"/>
        <v>4</v>
      </c>
      <c r="O2" s="311">
        <f t="shared" si="0"/>
        <v>5</v>
      </c>
      <c r="P2" s="311">
        <f t="shared" si="0"/>
        <v>6</v>
      </c>
      <c r="Q2" s="311">
        <f t="shared" si="0"/>
        <v>7</v>
      </c>
      <c r="R2" s="311">
        <f t="shared" si="0"/>
        <v>8</v>
      </c>
    </row>
    <row r="3" spans="1:19">
      <c r="E3" s="123">
        <v>2018</v>
      </c>
      <c r="F3" s="123">
        <f>E3+1</f>
        <v>2019</v>
      </c>
      <c r="G3" s="123">
        <f t="shared" ref="G3:Q3" si="1">F3+1</f>
        <v>2020</v>
      </c>
      <c r="H3" s="123">
        <f t="shared" si="1"/>
        <v>2021</v>
      </c>
      <c r="I3" s="123">
        <f t="shared" si="1"/>
        <v>2022</v>
      </c>
      <c r="J3" s="123">
        <f t="shared" si="1"/>
        <v>2023</v>
      </c>
      <c r="K3" s="123">
        <f t="shared" si="1"/>
        <v>2024</v>
      </c>
      <c r="L3" s="123">
        <f t="shared" si="1"/>
        <v>2025</v>
      </c>
      <c r="M3" s="123">
        <f t="shared" si="1"/>
        <v>2026</v>
      </c>
      <c r="N3" s="123">
        <f t="shared" si="1"/>
        <v>2027</v>
      </c>
      <c r="O3" s="123">
        <f t="shared" si="1"/>
        <v>2028</v>
      </c>
      <c r="P3" s="123">
        <f t="shared" si="1"/>
        <v>2029</v>
      </c>
      <c r="Q3" s="123">
        <f t="shared" si="1"/>
        <v>2030</v>
      </c>
      <c r="R3" s="123" t="s">
        <v>253</v>
      </c>
      <c r="S3" s="298"/>
    </row>
    <row r="4" spans="1:19">
      <c r="B4" t="s">
        <v>251</v>
      </c>
      <c r="E4" s="39">
        <f>'Model Shell'!J112</f>
        <v>14501</v>
      </c>
      <c r="F4" s="39">
        <f>'Model Shell'!K112</f>
        <v>14611</v>
      </c>
      <c r="G4" s="39">
        <f>'Model Shell'!L112</f>
        <v>13006</v>
      </c>
      <c r="H4" s="39">
        <f>'Model Shell'!M112</f>
        <v>13696</v>
      </c>
      <c r="I4" s="39">
        <f>'Model Shell'!N112</f>
        <v>13775</v>
      </c>
      <c r="J4" s="39">
        <f>'Model Shell'!O112</f>
        <v>13571</v>
      </c>
      <c r="K4" s="15">
        <f>J4*(1+K5)</f>
        <v>13842.42</v>
      </c>
      <c r="L4" s="15">
        <f t="shared" ref="L4:Q4" si="2">K4*(1+L5)</f>
        <v>14119.268400000001</v>
      </c>
      <c r="M4" s="15">
        <f t="shared" si="2"/>
        <v>14401.653768000002</v>
      </c>
      <c r="N4" s="15">
        <f t="shared" si="2"/>
        <v>14689.686843360003</v>
      </c>
      <c r="O4" s="15">
        <f t="shared" si="2"/>
        <v>14983.480580227204</v>
      </c>
      <c r="P4" s="15">
        <f t="shared" si="2"/>
        <v>15283.150191831748</v>
      </c>
      <c r="Q4" s="15">
        <f t="shared" si="2"/>
        <v>15588.813195668383</v>
      </c>
      <c r="R4" s="10">
        <f>Q4</f>
        <v>15588.813195668383</v>
      </c>
    </row>
    <row r="5" spans="1:19">
      <c r="C5" s="4" t="s">
        <v>127</v>
      </c>
      <c r="F5" s="9">
        <f t="shared" ref="F5:H5" si="3">F4/E4-1</f>
        <v>7.5856837459484794E-3</v>
      </c>
      <c r="G5" s="9">
        <f t="shared" si="3"/>
        <v>-0.10984874409691325</v>
      </c>
      <c r="H5" s="9">
        <f t="shared" si="3"/>
        <v>5.3052437336613911E-2</v>
      </c>
      <c r="I5" s="9">
        <f>I4/H4-1</f>
        <v>5.7681074766355867E-3</v>
      </c>
      <c r="J5" s="9">
        <f>J4/I4-1</f>
        <v>-1.4809437386569924E-2</v>
      </c>
      <c r="K5" s="197">
        <v>0.02</v>
      </c>
      <c r="L5" s="197">
        <v>0.02</v>
      </c>
      <c r="M5" s="197">
        <v>0.02</v>
      </c>
      <c r="N5" s="197">
        <v>0.02</v>
      </c>
      <c r="O5" s="197">
        <v>0.02</v>
      </c>
      <c r="P5" s="197">
        <v>0.02</v>
      </c>
      <c r="Q5" s="197">
        <v>0.02</v>
      </c>
    </row>
    <row r="6" spans="1:19">
      <c r="B6" t="s">
        <v>252</v>
      </c>
      <c r="E6" s="309">
        <f>'Model Shell'!J113</f>
        <v>7.7083856285773384</v>
      </c>
      <c r="F6" s="309">
        <f>'Model Shell'!K113</f>
        <v>8.3688180138252015</v>
      </c>
      <c r="G6" s="309">
        <f>'Model Shell'!L113</f>
        <v>8.4279870828848225</v>
      </c>
      <c r="H6" s="309">
        <f>'Model Shell'!M113</f>
        <v>7.3369450934579428</v>
      </c>
      <c r="I6" s="309">
        <f>'Model Shell'!N113</f>
        <v>9.2789981851179668</v>
      </c>
      <c r="J6" s="309">
        <f>'Model Shell'!O113</f>
        <v>10.440181268882174</v>
      </c>
      <c r="K6" s="15">
        <f>J6*(1+K7)</f>
        <v>11.170993957703928</v>
      </c>
      <c r="L6" s="15">
        <f t="shared" ref="L6" si="4">K6*(1+L7)</f>
        <v>11.952963534743203</v>
      </c>
      <c r="M6" s="15">
        <f t="shared" ref="M6" si="5">L6*(1+M7)</f>
        <v>12.550611711480364</v>
      </c>
      <c r="N6" s="15">
        <f t="shared" ref="N6" si="6">M6*(1+N7)</f>
        <v>13.052636179939579</v>
      </c>
      <c r="O6" s="15">
        <f t="shared" ref="O6" si="7">N6*(1+O7)</f>
        <v>13.444215265337768</v>
      </c>
      <c r="P6" s="15">
        <f t="shared" ref="P6" si="8">O6*(1+P7)</f>
        <v>13.444215265337768</v>
      </c>
      <c r="Q6" s="15">
        <f t="shared" ref="Q6" si="9">P6*(1+Q7)</f>
        <v>13.444215265337768</v>
      </c>
      <c r="R6" s="10">
        <f>Q6</f>
        <v>13.444215265337768</v>
      </c>
    </row>
    <row r="7" spans="1:19">
      <c r="B7" s="8"/>
      <c r="C7" s="187" t="s">
        <v>127</v>
      </c>
      <c r="D7" s="8"/>
      <c r="E7" s="8"/>
      <c r="F7" s="188">
        <f t="shared" ref="F7:F9" si="10">F6/E6-1</f>
        <v>8.5677133588054843E-2</v>
      </c>
      <c r="G7" s="188">
        <f t="shared" ref="G7" si="11">G6/F6-1</f>
        <v>7.070182307928663E-3</v>
      </c>
      <c r="H7" s="188">
        <f t="shared" ref="H7" si="12">H6/G6-1</f>
        <v>-0.12945463474220542</v>
      </c>
      <c r="I7" s="188">
        <f>I6/H6-1</f>
        <v>0.2646950559016279</v>
      </c>
      <c r="J7" s="188">
        <f>J6/I6-1</f>
        <v>0.12514099696953918</v>
      </c>
      <c r="K7" s="198">
        <v>7.0000000000000007E-2</v>
      </c>
      <c r="L7" s="198">
        <v>7.0000000000000007E-2</v>
      </c>
      <c r="M7" s="198">
        <v>0.05</v>
      </c>
      <c r="N7" s="198">
        <v>0.04</v>
      </c>
      <c r="O7" s="198">
        <v>0.03</v>
      </c>
      <c r="P7" s="198">
        <v>0</v>
      </c>
      <c r="Q7" s="198">
        <v>0</v>
      </c>
      <c r="R7" s="8"/>
    </row>
    <row r="8" spans="1:19">
      <c r="B8" s="1" t="s">
        <v>255</v>
      </c>
      <c r="E8" s="34">
        <f t="shared" ref="E8:R8" si="13">E6*E4/100</f>
        <v>1117.7929999999999</v>
      </c>
      <c r="F8" s="34">
        <f t="shared" si="13"/>
        <v>1222.7680000000003</v>
      </c>
      <c r="G8" s="34">
        <f t="shared" si="13"/>
        <v>1096.144</v>
      </c>
      <c r="H8" s="34">
        <f t="shared" si="13"/>
        <v>1004.8679999999999</v>
      </c>
      <c r="I8" s="34">
        <f t="shared" si="13"/>
        <v>1278.182</v>
      </c>
      <c r="J8" s="34">
        <f t="shared" si="13"/>
        <v>1416.8369999999998</v>
      </c>
      <c r="K8" s="34">
        <f t="shared" si="13"/>
        <v>1546.3359018000001</v>
      </c>
      <c r="L8" s="34">
        <f t="shared" si="13"/>
        <v>1687.6710032245203</v>
      </c>
      <c r="M8" s="34">
        <f t="shared" si="13"/>
        <v>1807.4956444534612</v>
      </c>
      <c r="N8" s="34">
        <f t="shared" si="13"/>
        <v>1917.3913796362322</v>
      </c>
      <c r="O8" s="34">
        <f t="shared" si="13"/>
        <v>2014.4113834458258</v>
      </c>
      <c r="P8" s="34">
        <f t="shared" si="13"/>
        <v>2054.6996111147423</v>
      </c>
      <c r="Q8" s="34">
        <f t="shared" si="13"/>
        <v>2095.793603337037</v>
      </c>
      <c r="R8" s="34">
        <f t="shared" si="13"/>
        <v>2095.793603337037</v>
      </c>
    </row>
    <row r="9" spans="1:19">
      <c r="F9" s="9">
        <f t="shared" si="10"/>
        <v>9.391273697366187E-2</v>
      </c>
      <c r="G9" s="9">
        <f t="shared" ref="G9" si="14">G8/F8-1</f>
        <v>-0.10355521243604693</v>
      </c>
      <c r="H9" s="9">
        <f t="shared" ref="H9" si="15">H8/G8-1</f>
        <v>-8.3270081303186472E-2</v>
      </c>
      <c r="I9" s="9">
        <f t="shared" ref="I9" si="16">I8/H8-1</f>
        <v>0.271989952909238</v>
      </c>
      <c r="J9" s="9">
        <f t="shared" ref="J9" si="17">J8/I8-1</f>
        <v>0.10847829182385582</v>
      </c>
      <c r="K9" s="9">
        <f t="shared" ref="K9" si="18">K8/J8-1</f>
        <v>9.1400000000000148E-2</v>
      </c>
      <c r="L9" s="9">
        <f t="shared" ref="L9" si="19">L8/K8-1</f>
        <v>9.1400000000000148E-2</v>
      </c>
      <c r="M9" s="9">
        <f t="shared" ref="M9" si="20">M8/L8-1</f>
        <v>7.0999999999999952E-2</v>
      </c>
      <c r="N9" s="9">
        <f t="shared" ref="N9" si="21">N8/M8-1</f>
        <v>6.0800000000000187E-2</v>
      </c>
      <c r="O9" s="9">
        <f t="shared" ref="O9" si="22">O8/N8-1</f>
        <v>5.06000000000002E-2</v>
      </c>
      <c r="P9" s="9">
        <f t="shared" ref="P9" si="23">P8/O8-1</f>
        <v>2.0000000000000018E-2</v>
      </c>
      <c r="Q9" s="9">
        <f t="shared" ref="Q9:R11" si="24">Q8/P8-1</f>
        <v>2.0000000000000018E-2</v>
      </c>
      <c r="R9" s="9">
        <f t="shared" si="24"/>
        <v>0</v>
      </c>
    </row>
    <row r="10" spans="1:19">
      <c r="B10" s="1" t="s">
        <v>256</v>
      </c>
      <c r="C10" s="1"/>
      <c r="D10" s="1"/>
      <c r="E10" s="165">
        <f>'Model Shell'!J115</f>
        <v>365.35000000000014</v>
      </c>
      <c r="F10" s="165">
        <f>'Model Shell'!K115</f>
        <v>364.31399999999985</v>
      </c>
      <c r="G10" s="165">
        <f>'Model Shell'!L115</f>
        <v>308.12099999999987</v>
      </c>
      <c r="H10" s="165">
        <f>'Model Shell'!M115</f>
        <v>318.04999999999995</v>
      </c>
      <c r="I10" s="165">
        <f>'Model Shell'!N115</f>
        <v>338.78500000000008</v>
      </c>
      <c r="J10" s="165">
        <f>'Model Shell'!O115</f>
        <v>305.10000000000014</v>
      </c>
      <c r="K10" s="34">
        <f>J10*(1+K11)</f>
        <v>317.30400000000014</v>
      </c>
      <c r="L10" s="34">
        <f t="shared" ref="L10:Q10" si="25">K10*(1+L11)</f>
        <v>317.30400000000014</v>
      </c>
      <c r="M10" s="34">
        <f t="shared" si="25"/>
        <v>317.30400000000014</v>
      </c>
      <c r="N10" s="34">
        <f t="shared" si="25"/>
        <v>317.30400000000014</v>
      </c>
      <c r="O10" s="34">
        <f t="shared" si="25"/>
        <v>317.30400000000014</v>
      </c>
      <c r="P10" s="34">
        <f t="shared" si="25"/>
        <v>317.30400000000014</v>
      </c>
      <c r="Q10" s="34">
        <f t="shared" si="25"/>
        <v>317.30400000000014</v>
      </c>
      <c r="R10" s="313">
        <f>350</f>
        <v>350</v>
      </c>
    </row>
    <row r="11" spans="1:19">
      <c r="C11" s="187" t="s">
        <v>127</v>
      </c>
      <c r="D11" s="8"/>
      <c r="E11" s="8"/>
      <c r="F11" s="188">
        <f t="shared" ref="F11" si="26">F10/E10-1</f>
        <v>-2.835637060353835E-3</v>
      </c>
      <c r="G11" s="188">
        <f t="shared" ref="G11" si="27">G10/F10-1</f>
        <v>-0.15424331757769394</v>
      </c>
      <c r="H11" s="188">
        <f t="shared" ref="H11" si="28">H10/G10-1</f>
        <v>3.2224353419598506E-2</v>
      </c>
      <c r="I11" s="188">
        <f>I10/H10-1</f>
        <v>6.5194151862915106E-2</v>
      </c>
      <c r="J11" s="188">
        <f>J10/I10-1</f>
        <v>-9.9428841300529647E-2</v>
      </c>
      <c r="K11" s="198">
        <v>0.04</v>
      </c>
      <c r="L11" s="198">
        <v>0</v>
      </c>
      <c r="M11" s="198">
        <v>0</v>
      </c>
      <c r="N11" s="198">
        <v>0</v>
      </c>
      <c r="O11" s="198">
        <v>0</v>
      </c>
      <c r="P11" s="198">
        <v>0</v>
      </c>
      <c r="Q11" s="198">
        <v>0</v>
      </c>
      <c r="R11" s="188">
        <f t="shared" si="24"/>
        <v>0.10304313844136792</v>
      </c>
    </row>
    <row r="12" spans="1:19">
      <c r="B12" s="1" t="s">
        <v>257</v>
      </c>
      <c r="E12" s="14">
        <f>E10+E8</f>
        <v>1483.143</v>
      </c>
      <c r="F12" s="14">
        <f t="shared" ref="F12:R12" si="29">F10+F8</f>
        <v>1587.0820000000001</v>
      </c>
      <c r="G12" s="14">
        <f t="shared" si="29"/>
        <v>1404.2649999999999</v>
      </c>
      <c r="H12" s="14">
        <f t="shared" si="29"/>
        <v>1322.9179999999999</v>
      </c>
      <c r="I12" s="14">
        <f t="shared" si="29"/>
        <v>1616.9670000000001</v>
      </c>
      <c r="J12" s="14">
        <f t="shared" si="29"/>
        <v>1721.9369999999999</v>
      </c>
      <c r="K12" s="14">
        <f t="shared" si="29"/>
        <v>1863.6399018000002</v>
      </c>
      <c r="L12" s="14">
        <f t="shared" si="29"/>
        <v>2004.9750032245204</v>
      </c>
      <c r="M12" s="14">
        <f t="shared" si="29"/>
        <v>2124.7996444534615</v>
      </c>
      <c r="N12" s="14">
        <f t="shared" si="29"/>
        <v>2234.6953796362322</v>
      </c>
      <c r="O12" s="14">
        <f t="shared" si="29"/>
        <v>2331.7153834458259</v>
      </c>
      <c r="P12" s="14">
        <f t="shared" si="29"/>
        <v>2372.0036111147424</v>
      </c>
      <c r="Q12" s="14">
        <f t="shared" si="29"/>
        <v>2413.0976033370371</v>
      </c>
      <c r="R12" s="14">
        <f t="shared" si="29"/>
        <v>2445.793603337037</v>
      </c>
    </row>
    <row r="14" spans="1:19">
      <c r="B14" s="1" t="s">
        <v>254</v>
      </c>
      <c r="E14" s="34">
        <f>E12*E15</f>
        <v>147.41600000000017</v>
      </c>
      <c r="F14" s="34">
        <f t="shared" ref="F14:R14" si="30">F12*F15</f>
        <v>215.84200000000013</v>
      </c>
      <c r="G14" s="34">
        <f t="shared" si="30"/>
        <v>163.65600000000012</v>
      </c>
      <c r="H14" s="34">
        <f t="shared" si="30"/>
        <v>63.014999999999986</v>
      </c>
      <c r="I14" s="34">
        <f t="shared" si="30"/>
        <v>136.18399999999997</v>
      </c>
      <c r="J14" s="34">
        <f t="shared" si="30"/>
        <v>238.93999999999988</v>
      </c>
      <c r="K14" s="34">
        <f t="shared" si="30"/>
        <v>316.81878330600006</v>
      </c>
      <c r="L14" s="34">
        <f t="shared" si="30"/>
        <v>360.89550058041368</v>
      </c>
      <c r="M14" s="34">
        <f t="shared" si="30"/>
        <v>403.71193244615768</v>
      </c>
      <c r="N14" s="34">
        <f t="shared" si="30"/>
        <v>446.93907592724645</v>
      </c>
      <c r="O14" s="34">
        <f t="shared" si="30"/>
        <v>466.34307668916517</v>
      </c>
      <c r="P14" s="34">
        <f t="shared" si="30"/>
        <v>474.4007222229485</v>
      </c>
      <c r="Q14" s="34">
        <f t="shared" si="30"/>
        <v>482.61952066740741</v>
      </c>
      <c r="R14" s="34">
        <f t="shared" si="30"/>
        <v>317.95316843381482</v>
      </c>
    </row>
    <row r="15" spans="1:19">
      <c r="C15" s="4" t="s">
        <v>258</v>
      </c>
      <c r="E15" s="310">
        <f>'Model Shell'!J96/'Model Shell'!J91</f>
        <v>9.9394326777660788E-2</v>
      </c>
      <c r="F15" s="310">
        <f>'Model Shell'!K96/'Model Shell'!K91</f>
        <v>0.13599927413958454</v>
      </c>
      <c r="G15" s="310">
        <f>'Model Shell'!L96/'Model Shell'!L91</f>
        <v>0.11654210565669594</v>
      </c>
      <c r="H15" s="310">
        <f>'Model Shell'!M96/'Model Shell'!M91</f>
        <v>4.7633337818368177E-2</v>
      </c>
      <c r="I15" s="310">
        <f>'Model Shell'!N96/'Model Shell'!N91</f>
        <v>8.4221879605458835E-2</v>
      </c>
      <c r="J15" s="310">
        <f>'Model Shell'!O96/'Model Shell'!O91</f>
        <v>0.13876233567197865</v>
      </c>
      <c r="K15" s="197">
        <v>0.17</v>
      </c>
      <c r="L15" s="197">
        <v>0.18</v>
      </c>
      <c r="M15" s="197">
        <v>0.19</v>
      </c>
      <c r="N15" s="197">
        <v>0.2</v>
      </c>
      <c r="O15" s="197">
        <v>0.2</v>
      </c>
      <c r="P15" s="197">
        <v>0.2</v>
      </c>
      <c r="Q15" s="197">
        <v>0.2</v>
      </c>
      <c r="R15" s="197">
        <v>0.13</v>
      </c>
    </row>
    <row r="16" spans="1:19">
      <c r="B16" t="s">
        <v>121</v>
      </c>
      <c r="E16" s="39">
        <f>'Model Shell'!J97</f>
        <v>182.30699999999999</v>
      </c>
      <c r="F16" s="39">
        <f>'Model Shell'!K97</f>
        <v>179.74199999999999</v>
      </c>
      <c r="G16" s="39">
        <f>'Model Shell'!L97</f>
        <v>186.798</v>
      </c>
      <c r="H16" s="39">
        <f>'Model Shell'!M97</f>
        <v>185.97899999999998</v>
      </c>
      <c r="I16" s="39">
        <f>'Model Shell'!N97</f>
        <v>177.55099999999999</v>
      </c>
      <c r="J16" s="39">
        <f>'Model Shell'!O97</f>
        <v>184.22500000000002</v>
      </c>
      <c r="K16" s="10">
        <f>J16+K17</f>
        <v>194.22500000000002</v>
      </c>
      <c r="L16" s="10">
        <f>K16+L17</f>
        <v>204.22500000000002</v>
      </c>
      <c r="M16" s="10">
        <f t="shared" ref="M16:Q16" si="31">L16+M17</f>
        <v>214.22500000000002</v>
      </c>
      <c r="N16" s="10">
        <f t="shared" si="31"/>
        <v>224.22500000000002</v>
      </c>
      <c r="O16" s="10">
        <f t="shared" si="31"/>
        <v>234.22500000000002</v>
      </c>
      <c r="P16" s="10">
        <f t="shared" si="31"/>
        <v>244.22500000000002</v>
      </c>
      <c r="Q16" s="10">
        <f t="shared" si="31"/>
        <v>254.22500000000002</v>
      </c>
      <c r="R16" s="10">
        <f>Q16</f>
        <v>254.22500000000002</v>
      </c>
      <c r="S16" s="298"/>
    </row>
    <row r="17" spans="1:19" ht="15.75" thickBot="1">
      <c r="B17" s="8"/>
      <c r="C17" s="187" t="s">
        <v>259</v>
      </c>
      <c r="D17" s="8"/>
      <c r="E17" s="8"/>
      <c r="F17" s="312">
        <f>F16-E16</f>
        <v>-2.5649999999999977</v>
      </c>
      <c r="G17" s="312">
        <f t="shared" ref="G17:J17" si="32">G16-F16</f>
        <v>7.0560000000000116</v>
      </c>
      <c r="H17" s="312">
        <f t="shared" si="32"/>
        <v>-0.81900000000001683</v>
      </c>
      <c r="I17" s="312">
        <f t="shared" si="32"/>
        <v>-8.4279999999999973</v>
      </c>
      <c r="J17" s="312">
        <f t="shared" si="32"/>
        <v>6.674000000000035</v>
      </c>
      <c r="K17" s="315">
        <v>10</v>
      </c>
      <c r="L17" s="315">
        <v>10</v>
      </c>
      <c r="M17" s="315">
        <v>10</v>
      </c>
      <c r="N17" s="315">
        <v>10</v>
      </c>
      <c r="O17" s="315">
        <v>10</v>
      </c>
      <c r="P17" s="315">
        <v>10</v>
      </c>
      <c r="Q17" s="315">
        <v>10</v>
      </c>
      <c r="R17" s="299"/>
    </row>
    <row r="18" spans="1:19">
      <c r="B18" s="1" t="s">
        <v>48</v>
      </c>
      <c r="E18" s="14">
        <f>E16+E14</f>
        <v>329.72300000000018</v>
      </c>
      <c r="F18" s="14">
        <f t="shared" ref="F18:R18" si="33">F16+F14</f>
        <v>395.58400000000012</v>
      </c>
      <c r="G18" s="14">
        <f t="shared" si="33"/>
        <v>350.45400000000012</v>
      </c>
      <c r="H18" s="14">
        <f t="shared" si="33"/>
        <v>248.99399999999997</v>
      </c>
      <c r="I18" s="14">
        <f t="shared" si="33"/>
        <v>313.73499999999996</v>
      </c>
      <c r="J18" s="14">
        <f t="shared" si="33"/>
        <v>423.16499999999991</v>
      </c>
      <c r="K18" s="14">
        <f t="shared" si="33"/>
        <v>511.04378330600008</v>
      </c>
      <c r="L18" s="14">
        <f t="shared" si="33"/>
        <v>565.1205005804137</v>
      </c>
      <c r="M18" s="14">
        <f t="shared" si="33"/>
        <v>617.9369324461577</v>
      </c>
      <c r="N18" s="14">
        <f t="shared" si="33"/>
        <v>671.16407592724647</v>
      </c>
      <c r="O18" s="14">
        <f t="shared" si="33"/>
        <v>700.5680766891652</v>
      </c>
      <c r="P18" s="14">
        <f t="shared" si="33"/>
        <v>718.62572222294853</v>
      </c>
      <c r="Q18" s="14">
        <f t="shared" si="33"/>
        <v>736.84452066740744</v>
      </c>
      <c r="R18" s="14">
        <f t="shared" si="33"/>
        <v>572.17816843381479</v>
      </c>
      <c r="S18" s="300" t="s">
        <v>262</v>
      </c>
    </row>
    <row r="19" spans="1:19" ht="15.75" thickBot="1">
      <c r="B19" s="36" t="s">
        <v>260</v>
      </c>
      <c r="E19" s="19">
        <v>0</v>
      </c>
      <c r="F19" s="19">
        <v>0</v>
      </c>
      <c r="G19" s="19">
        <v>0</v>
      </c>
      <c r="H19" s="19">
        <v>0</v>
      </c>
      <c r="I19" s="19">
        <v>0</v>
      </c>
      <c r="J19" s="19">
        <v>0</v>
      </c>
      <c r="K19" s="19">
        <v>0</v>
      </c>
      <c r="L19" s="19">
        <v>0</v>
      </c>
      <c r="M19" s="19">
        <v>0</v>
      </c>
      <c r="N19" s="10">
        <f>N18*(-$S$19)</f>
        <v>-67.116407592724656</v>
      </c>
      <c r="O19" s="10">
        <f t="shared" ref="O19:R19" si="34">O18*(-$S$19)</f>
        <v>-70.05680766891652</v>
      </c>
      <c r="P19" s="10">
        <f t="shared" si="34"/>
        <v>-71.862572222294858</v>
      </c>
      <c r="Q19" s="10">
        <f t="shared" si="34"/>
        <v>-73.684452066740747</v>
      </c>
      <c r="R19" s="10">
        <f t="shared" si="34"/>
        <v>-57.217816843381485</v>
      </c>
      <c r="S19" s="316">
        <v>0.1</v>
      </c>
    </row>
    <row r="20" spans="1:19">
      <c r="B20" s="22" t="s">
        <v>261</v>
      </c>
      <c r="C20" s="8"/>
      <c r="D20" s="8"/>
      <c r="E20" s="13">
        <v>-150</v>
      </c>
      <c r="F20" s="13">
        <v>-150</v>
      </c>
      <c r="G20" s="13">
        <v>-150</v>
      </c>
      <c r="H20" s="13">
        <v>-150</v>
      </c>
      <c r="I20" s="13">
        <v>-150</v>
      </c>
      <c r="J20" s="13">
        <v>-240</v>
      </c>
      <c r="K20" s="13">
        <v>-240</v>
      </c>
      <c r="L20" s="13">
        <v>-240</v>
      </c>
      <c r="M20" s="317">
        <v>-200</v>
      </c>
      <c r="N20" s="317">
        <v>-200</v>
      </c>
      <c r="O20" s="317">
        <v>-200</v>
      </c>
      <c r="P20" s="317">
        <v>-200</v>
      </c>
      <c r="Q20" s="317">
        <v>-200</v>
      </c>
      <c r="R20" s="317">
        <v>-150</v>
      </c>
    </row>
    <row r="21" spans="1:19">
      <c r="B21" s="21" t="s">
        <v>134</v>
      </c>
      <c r="E21" s="14">
        <f>SUM(E18:E20)</f>
        <v>179.72300000000018</v>
      </c>
      <c r="F21" s="14">
        <f t="shared" ref="F21:R21" si="35">SUM(F18:F20)</f>
        <v>245.58400000000012</v>
      </c>
      <c r="G21" s="14">
        <f t="shared" si="35"/>
        <v>200.45400000000012</v>
      </c>
      <c r="H21" s="14">
        <f t="shared" si="35"/>
        <v>98.993999999999971</v>
      </c>
      <c r="I21" s="14">
        <f t="shared" si="35"/>
        <v>163.73499999999996</v>
      </c>
      <c r="J21" s="14">
        <f t="shared" si="35"/>
        <v>183.16499999999991</v>
      </c>
      <c r="K21" s="14">
        <f t="shared" si="35"/>
        <v>271.04378330600008</v>
      </c>
      <c r="L21" s="14">
        <f t="shared" si="35"/>
        <v>325.1205005804137</v>
      </c>
      <c r="M21" s="14">
        <f t="shared" si="35"/>
        <v>417.9369324461577</v>
      </c>
      <c r="N21" s="14">
        <f t="shared" si="35"/>
        <v>404.04766833452186</v>
      </c>
      <c r="O21" s="14">
        <f t="shared" si="35"/>
        <v>430.51126902024862</v>
      </c>
      <c r="P21" s="14">
        <f t="shared" si="35"/>
        <v>446.7631500006537</v>
      </c>
      <c r="Q21" s="14">
        <f t="shared" si="35"/>
        <v>463.1600686006667</v>
      </c>
      <c r="R21" s="14">
        <f t="shared" si="35"/>
        <v>364.96035159043333</v>
      </c>
    </row>
    <row r="22" spans="1:19" ht="15.75" thickBot="1">
      <c r="C22" s="4" t="s">
        <v>263</v>
      </c>
      <c r="E22" s="9">
        <f>E21/E18</f>
        <v>0.54507268222113736</v>
      </c>
      <c r="F22" s="9">
        <f t="shared" ref="F22:R22" si="36">F21/F18</f>
        <v>0.6208137841773177</v>
      </c>
      <c r="G22" s="9">
        <f t="shared" si="36"/>
        <v>0.57198376962454434</v>
      </c>
      <c r="H22" s="9">
        <f t="shared" si="36"/>
        <v>0.39757584520108913</v>
      </c>
      <c r="I22" s="9">
        <f t="shared" si="36"/>
        <v>0.52188949272475171</v>
      </c>
      <c r="J22" s="9">
        <f t="shared" si="36"/>
        <v>0.43284534401474589</v>
      </c>
      <c r="K22" s="9">
        <f t="shared" si="36"/>
        <v>0.53037291942499953</v>
      </c>
      <c r="L22" s="9">
        <f t="shared" si="36"/>
        <v>0.57531181446522439</v>
      </c>
      <c r="M22" s="9">
        <f t="shared" si="36"/>
        <v>0.67634237492767679</v>
      </c>
      <c r="N22" s="9">
        <f t="shared" si="36"/>
        <v>0.60201027263908602</v>
      </c>
      <c r="O22" s="9">
        <f t="shared" si="36"/>
        <v>0.61451739430493924</v>
      </c>
      <c r="P22" s="9">
        <f t="shared" si="36"/>
        <v>0.62169100852480841</v>
      </c>
      <c r="Q22" s="9">
        <f t="shared" si="36"/>
        <v>0.62857231832456717</v>
      </c>
      <c r="R22" s="9">
        <f t="shared" si="36"/>
        <v>0.63784389500461891</v>
      </c>
    </row>
    <row r="23" spans="1:19">
      <c r="S23" s="300" t="s">
        <v>264</v>
      </c>
    </row>
    <row r="24" spans="1:19">
      <c r="B24" s="4" t="s">
        <v>172</v>
      </c>
      <c r="K24" s="9">
        <f>1/(1+$S$24)^K2</f>
        <v>0.92592592592592582</v>
      </c>
      <c r="L24" s="9">
        <f t="shared" ref="L24:R24" si="37">1/(1+$S$24)^L2</f>
        <v>0.85733882030178321</v>
      </c>
      <c r="M24" s="9">
        <f t="shared" si="37"/>
        <v>0.79383224102016958</v>
      </c>
      <c r="N24" s="9">
        <f t="shared" si="37"/>
        <v>0.73502985279645328</v>
      </c>
      <c r="O24" s="9">
        <f t="shared" si="37"/>
        <v>0.68058319703375303</v>
      </c>
      <c r="P24" s="9">
        <f t="shared" si="37"/>
        <v>0.63016962688310452</v>
      </c>
      <c r="Q24" s="9">
        <f t="shared" si="37"/>
        <v>0.58349039526213387</v>
      </c>
      <c r="R24" s="9">
        <f t="shared" si="37"/>
        <v>0.54026888450197574</v>
      </c>
      <c r="S24" s="318">
        <v>0.08</v>
      </c>
    </row>
    <row r="25" spans="1:19">
      <c r="B25" s="1" t="s">
        <v>265</v>
      </c>
      <c r="C25" s="1"/>
      <c r="D25" s="1"/>
      <c r="E25" s="1"/>
      <c r="F25" s="1"/>
      <c r="G25" s="1"/>
      <c r="H25" s="1"/>
      <c r="I25" s="1"/>
      <c r="J25" s="1"/>
      <c r="K25" s="14">
        <f t="shared" ref="K25:Q25" si="38">K21*K24</f>
        <v>250.96646602407412</v>
      </c>
      <c r="L25" s="14">
        <f t="shared" si="38"/>
        <v>278.73842642353713</v>
      </c>
      <c r="M25" s="14">
        <f t="shared" si="38"/>
        <v>331.77181168882856</v>
      </c>
      <c r="N25" s="14">
        <f t="shared" si="38"/>
        <v>296.98709817867376</v>
      </c>
      <c r="O25" s="14">
        <f t="shared" si="38"/>
        <v>292.99873582885891</v>
      </c>
      <c r="P25" s="14">
        <f t="shared" si="38"/>
        <v>281.53656754103241</v>
      </c>
      <c r="Q25" s="14">
        <f t="shared" si="38"/>
        <v>270.24945149744008</v>
      </c>
      <c r="R25" s="14">
        <f>(R21/(S24-S26))*Q24</f>
        <v>3549.1809967418217</v>
      </c>
      <c r="S25" s="308" t="s">
        <v>268</v>
      </c>
    </row>
    <row r="26" spans="1:19" ht="15.75" thickBot="1">
      <c r="S26" s="316">
        <v>0.02</v>
      </c>
    </row>
    <row r="27" spans="1:19">
      <c r="A27" t="s">
        <v>0</v>
      </c>
      <c r="B27" s="319" t="s">
        <v>87</v>
      </c>
      <c r="C27" s="320"/>
      <c r="D27" s="320"/>
      <c r="E27" s="321">
        <f>SUM(K25:R25)</f>
        <v>5552.4295539242667</v>
      </c>
    </row>
    <row r="28" spans="1:19">
      <c r="B28" s="322"/>
      <c r="C28" s="41" t="s">
        <v>266</v>
      </c>
      <c r="D28" s="16"/>
      <c r="E28" s="323">
        <f ca="1">E27/(Memo!N102+Memo!N101)</f>
        <v>11.004864245253719</v>
      </c>
    </row>
    <row r="29" spans="1:19" ht="15.75" thickBot="1">
      <c r="B29" s="324"/>
      <c r="C29" s="325" t="s">
        <v>267</v>
      </c>
      <c r="D29" s="326"/>
      <c r="E29" s="327">
        <f>K21/E27</f>
        <v>4.8815348429668171E-2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Memo</vt:lpstr>
      <vt:lpstr>Model Shell</vt:lpstr>
      <vt:lpstr>Marine DCF</vt:lpstr>
      <vt:lpstr>Memo!Print_Area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CDIT</dc:creator>
  <cp:lastModifiedBy>AgentUser</cp:lastModifiedBy>
  <cp:lastPrinted>2024-01-19T10:49:36Z</cp:lastPrinted>
  <dcterms:created xsi:type="dcterms:W3CDTF">2023-08-01T17:48:52Z</dcterms:created>
  <dcterms:modified xsi:type="dcterms:W3CDTF">2024-06-18T04:10:25Z</dcterms:modified>
</cp:coreProperties>
</file>