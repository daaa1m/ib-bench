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3D124FC7-8CE1-4577-B4DB-F2D827C44FBB}" xr6:coauthVersionLast="47" xr6:coauthVersionMax="47" xr10:uidLastSave="{00000000-0000-0000-0000-000000000000}"/>
  <bookViews>
    <workbookView xWindow="-98" yWindow="-98" windowWidth="22875" windowHeight="14431" tabRatio="678" activeTab="1" xr2:uid="{86AD583E-3221-4694-9BB1-CC8A811C0A53}"/>
  </bookViews>
  <sheets>
    <sheet name="1. Business Assessment" sheetId="3" r:id="rId1"/>
    <sheet name="2. Operating Model" sheetId="1" r:id="rId2"/>
  </sheets>
  <definedNames>
    <definedName name="CIQWBGuid" hidden="1">"ad3d7874-e656-4b70-85f6-774c057cde64"</definedName>
    <definedName name="circ">'2. Operating Model'!$R$16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44230.7749305556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'1. Business Assessment'!$B$2:$M$40</definedName>
    <definedName name="_xlnm.Print_Area" localSheetId="1">'2. Operating Model'!$B$2:$S$168</definedName>
    <definedName name="_xlnm.Print_Titles" localSheetId="1">'2. Operating Model'!$2:$19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7" i="1" l="1"/>
  <c r="I87" i="1"/>
  <c r="J67" i="1"/>
  <c r="H61" i="1"/>
  <c r="I61" i="1"/>
  <c r="J61" i="1"/>
  <c r="R11" i="1"/>
  <c r="F13" i="1"/>
  <c r="K134" i="1"/>
  <c r="R61" i="1" l="1"/>
  <c r="Q61" i="1"/>
  <c r="I63" i="1"/>
  <c r="J63" i="1"/>
  <c r="H63" i="1"/>
  <c r="Q59" i="1"/>
  <c r="K12" i="1"/>
  <c r="F12" i="1"/>
  <c r="F14" i="1" l="1"/>
  <c r="R12" i="1" s="1"/>
  <c r="R10" i="1"/>
  <c r="R9" i="1"/>
  <c r="I19" i="1"/>
  <c r="J19" i="1" s="1"/>
  <c r="Q55" i="1"/>
  <c r="J68" i="1"/>
  <c r="J76" i="1" s="1"/>
  <c r="C72" i="1"/>
  <c r="K72" i="1"/>
  <c r="L72" i="1"/>
  <c r="M72" i="1"/>
  <c r="N72" i="1"/>
  <c r="O72" i="1"/>
  <c r="C81" i="1"/>
  <c r="C94" i="1"/>
  <c r="K94" i="1"/>
  <c r="L94" i="1"/>
  <c r="M94" i="1"/>
  <c r="N94" i="1"/>
  <c r="O94" i="1"/>
  <c r="F105" i="1"/>
  <c r="H119" i="1"/>
  <c r="H120" i="1"/>
  <c r="J120" i="1"/>
  <c r="H118" i="1"/>
  <c r="I118" i="1"/>
  <c r="I120" i="1"/>
  <c r="J128" i="1"/>
  <c r="K126" i="1" s="1"/>
  <c r="E147" i="1"/>
  <c r="H81" i="1" l="1"/>
  <c r="K19" i="1"/>
  <c r="H94" i="1"/>
  <c r="R14" i="1"/>
  <c r="K14" i="1" s="1"/>
  <c r="Q71" i="1"/>
  <c r="J72" i="1"/>
  <c r="J69" i="1"/>
  <c r="I81" i="1"/>
  <c r="J119" i="1"/>
  <c r="I116" i="1"/>
  <c r="I119" i="1"/>
  <c r="H116" i="1"/>
  <c r="I94" i="1"/>
  <c r="Q66" i="1"/>
  <c r="J118" i="1"/>
  <c r="J116" i="1"/>
  <c r="I68" i="1"/>
  <c r="I76" i="1" s="1"/>
  <c r="H72" i="1"/>
  <c r="Q57" i="1"/>
  <c r="Q63" i="1"/>
  <c r="Q80" i="1"/>
  <c r="J81" i="1"/>
  <c r="K81" i="1" s="1"/>
  <c r="J64" i="1"/>
  <c r="H68" i="1"/>
  <c r="H76" i="1" s="1"/>
  <c r="J94" i="1"/>
  <c r="I64" i="1"/>
  <c r="I72" i="1"/>
  <c r="I98" i="1" l="1"/>
  <c r="J98" i="1"/>
  <c r="Q68" i="1"/>
  <c r="L19" i="1"/>
  <c r="L81" i="1"/>
  <c r="J85" i="1"/>
  <c r="J77" i="1"/>
  <c r="H69" i="1"/>
  <c r="I69" i="1"/>
  <c r="J151" i="1" l="1"/>
  <c r="J91" i="1"/>
  <c r="K63" i="1"/>
  <c r="K64" i="1" s="1"/>
  <c r="R59" i="1"/>
  <c r="M19" i="1"/>
  <c r="J86" i="1"/>
  <c r="M81" i="1"/>
  <c r="H85" i="1"/>
  <c r="H77" i="1"/>
  <c r="J100" i="1"/>
  <c r="I77" i="1"/>
  <c r="I85" i="1"/>
  <c r="Q76" i="1"/>
  <c r="I86" i="1" l="1"/>
  <c r="I91" i="1"/>
  <c r="K80" i="1"/>
  <c r="K93" i="1"/>
  <c r="K114" i="1"/>
  <c r="H86" i="1"/>
  <c r="H91" i="1"/>
  <c r="H100" i="1" s="1"/>
  <c r="L63" i="1"/>
  <c r="L114" i="1" s="1"/>
  <c r="K68" i="1"/>
  <c r="K69" i="1" s="1"/>
  <c r="K71" i="1"/>
  <c r="N19" i="1"/>
  <c r="Q85" i="1"/>
  <c r="I78" i="1"/>
  <c r="I100" i="1"/>
  <c r="J78" i="1"/>
  <c r="N81" i="1"/>
  <c r="Q91" i="1" l="1"/>
  <c r="L68" i="1"/>
  <c r="L69" i="1" s="1"/>
  <c r="L80" i="1"/>
  <c r="L93" i="1"/>
  <c r="L64" i="1"/>
  <c r="K76" i="1"/>
  <c r="M63" i="1"/>
  <c r="M114" i="1" s="1"/>
  <c r="K113" i="1"/>
  <c r="K115" i="1"/>
  <c r="L71" i="1"/>
  <c r="O19" i="1"/>
  <c r="O81" i="1"/>
  <c r="L76" i="1" l="1"/>
  <c r="L85" i="1" s="1"/>
  <c r="L115" i="1"/>
  <c r="N63" i="1"/>
  <c r="N64" i="1" s="1"/>
  <c r="L113" i="1"/>
  <c r="K77" i="1"/>
  <c r="K78" i="1" s="1"/>
  <c r="K85" i="1"/>
  <c r="K116" i="1"/>
  <c r="K98" i="1" s="1"/>
  <c r="M93" i="1"/>
  <c r="M80" i="1"/>
  <c r="M71" i="1"/>
  <c r="M64" i="1"/>
  <c r="M68" i="1"/>
  <c r="R57" i="1"/>
  <c r="F163" i="1"/>
  <c r="K87" i="1" l="1"/>
  <c r="L87" i="1"/>
  <c r="L116" i="1"/>
  <c r="L98" i="1" s="1"/>
  <c r="M76" i="1"/>
  <c r="M85" i="1" s="1"/>
  <c r="M87" i="1" s="1"/>
  <c r="M69" i="1"/>
  <c r="L151" i="1"/>
  <c r="L91" i="1"/>
  <c r="K151" i="1"/>
  <c r="K9" i="1"/>
  <c r="K91" i="1"/>
  <c r="K86" i="1"/>
  <c r="L14" i="1"/>
  <c r="J152" i="1" s="1"/>
  <c r="F15" i="1"/>
  <c r="L11" i="1"/>
  <c r="O63" i="1"/>
  <c r="O68" i="1" s="1"/>
  <c r="R55" i="1"/>
  <c r="L77" i="1"/>
  <c r="L78" i="1" s="1"/>
  <c r="M113" i="1"/>
  <c r="N80" i="1"/>
  <c r="N114" i="1"/>
  <c r="N68" i="1"/>
  <c r="N69" i="1" s="1"/>
  <c r="N93" i="1"/>
  <c r="M115" i="1"/>
  <c r="N71" i="1"/>
  <c r="L86" i="1"/>
  <c r="O114" i="1" l="1"/>
  <c r="O64" i="1"/>
  <c r="N76" i="1"/>
  <c r="M151" i="1"/>
  <c r="M91" i="1"/>
  <c r="M116" i="1"/>
  <c r="M98" i="1" s="1"/>
  <c r="K13" i="1"/>
  <c r="L13" i="1" s="1"/>
  <c r="K10" i="1"/>
  <c r="O80" i="1"/>
  <c r="R80" i="1" s="1"/>
  <c r="O93" i="1"/>
  <c r="R63" i="1"/>
  <c r="O71" i="1"/>
  <c r="R71" i="1" s="1"/>
  <c r="M77" i="1"/>
  <c r="M78" i="1" s="1"/>
  <c r="N115" i="1"/>
  <c r="N113" i="1"/>
  <c r="R68" i="1"/>
  <c r="O69" i="1"/>
  <c r="J153" i="1"/>
  <c r="M86" i="1"/>
  <c r="R66" i="1"/>
  <c r="O115" i="1"/>
  <c r="O113" i="1"/>
  <c r="J145" i="1" l="1"/>
  <c r="L10" i="1"/>
  <c r="O76" i="1"/>
  <c r="R76" i="1"/>
  <c r="N116" i="1"/>
  <c r="N98" i="1" s="1"/>
  <c r="N85" i="1"/>
  <c r="N77" i="1"/>
  <c r="N78" i="1" s="1"/>
  <c r="O116" i="1"/>
  <c r="N152" i="1"/>
  <c r="O152" i="1"/>
  <c r="M152" i="1"/>
  <c r="M153" i="1" s="1"/>
  <c r="L152" i="1"/>
  <c r="L153" i="1" s="1"/>
  <c r="K153" i="1"/>
  <c r="N86" i="1" l="1"/>
  <c r="N87" i="1"/>
  <c r="N151" i="1"/>
  <c r="N153" i="1" s="1"/>
  <c r="N91" i="1"/>
  <c r="K143" i="1"/>
  <c r="J155" i="1"/>
  <c r="J156" i="1" s="1"/>
  <c r="J159" i="1" s="1"/>
  <c r="J163" i="1" s="1"/>
  <c r="O77" i="1"/>
  <c r="O78" i="1" s="1"/>
  <c r="O85" i="1"/>
  <c r="O87" i="1" s="1"/>
  <c r="O98" i="1"/>
  <c r="R85" i="1" l="1"/>
  <c r="O151" i="1"/>
  <c r="O153" i="1" s="1"/>
  <c r="O91" i="1"/>
  <c r="R91" i="1" s="1"/>
  <c r="O86" i="1"/>
  <c r="K139" i="1"/>
  <c r="K147" i="1"/>
  <c r="K130" i="1" l="1"/>
  <c r="K102" i="1" s="1"/>
  <c r="K99" i="1" s="1"/>
  <c r="K100" i="1" s="1"/>
  <c r="K103" i="1" s="1"/>
  <c r="K105" i="1" l="1"/>
  <c r="K135" i="1" s="1"/>
  <c r="K106" i="1" l="1"/>
  <c r="K136" i="1" s="1"/>
  <c r="K137" i="1" s="1"/>
  <c r="L134" i="1" s="1"/>
  <c r="K107" i="1"/>
  <c r="K145" i="1"/>
  <c r="L143" i="1" s="1"/>
  <c r="L147" i="1" s="1"/>
  <c r="K108" i="1" l="1"/>
  <c r="K127" i="1" s="1"/>
  <c r="K128" i="1" s="1"/>
  <c r="L126" i="1" s="1"/>
  <c r="L139" i="1"/>
  <c r="L130" i="1" s="1"/>
  <c r="L102" i="1" s="1"/>
  <c r="L99" i="1" s="1"/>
  <c r="L100" i="1" s="1"/>
  <c r="L103" i="1" s="1"/>
  <c r="K155" i="1" l="1"/>
  <c r="K156" i="1" s="1"/>
  <c r="K158" i="1" s="1"/>
  <c r="K159" i="1" s="1"/>
  <c r="K163" i="1" s="1"/>
  <c r="L105" i="1"/>
  <c r="L135" i="1" s="1"/>
  <c r="L106" i="1" l="1"/>
  <c r="L136" i="1" l="1"/>
  <c r="L137" i="1" l="1"/>
  <c r="L107" i="1" l="1"/>
  <c r="L108" i="1" s="1"/>
  <c r="L127" i="1" s="1"/>
  <c r="L128" i="1" s="1"/>
  <c r="M126" i="1" s="1"/>
  <c r="L145" i="1"/>
  <c r="M143" i="1" s="1"/>
  <c r="M134" i="1"/>
  <c r="L155" i="1" l="1"/>
  <c r="L156" i="1" s="1"/>
  <c r="M139" i="1"/>
  <c r="M147" i="1"/>
  <c r="M130" i="1" l="1"/>
  <c r="M102" i="1" s="1"/>
  <c r="M99" i="1" s="1"/>
  <c r="M100" i="1" s="1"/>
  <c r="M103" i="1" s="1"/>
  <c r="L158" i="1"/>
  <c r="L159" i="1" s="1"/>
  <c r="L163" i="1" s="1"/>
  <c r="M105" i="1" l="1"/>
  <c r="M135" i="1" s="1"/>
  <c r="M106" i="1" l="1"/>
  <c r="M136" i="1" l="1"/>
  <c r="M145" i="1"/>
  <c r="N143" i="1" s="1"/>
  <c r="N147" i="1" s="1"/>
  <c r="M107" i="1" l="1"/>
  <c r="M108" i="1" s="1"/>
  <c r="M127" i="1" s="1"/>
  <c r="M128" i="1" s="1"/>
  <c r="N126" i="1" s="1"/>
  <c r="M137" i="1"/>
  <c r="N134" i="1" l="1"/>
  <c r="N139" i="1" s="1"/>
  <c r="N130" i="1" s="1"/>
  <c r="N102" i="1" s="1"/>
  <c r="N99" i="1" s="1"/>
  <c r="N100" i="1" s="1"/>
  <c r="N103" i="1" s="1"/>
  <c r="M155" i="1"/>
  <c r="M156" i="1" s="1"/>
  <c r="M158" i="1" s="1"/>
  <c r="M159" i="1" s="1"/>
  <c r="M163" i="1" s="1"/>
  <c r="N105" i="1" l="1"/>
  <c r="N135" i="1" s="1"/>
  <c r="N106" i="1" l="1"/>
  <c r="N136" i="1" l="1"/>
  <c r="N145" i="1"/>
  <c r="O143" i="1" s="1"/>
  <c r="O147" i="1" s="1"/>
  <c r="N107" i="1" l="1"/>
  <c r="N108" i="1" s="1"/>
  <c r="N127" i="1" s="1"/>
  <c r="N128" i="1" s="1"/>
  <c r="O126" i="1" s="1"/>
  <c r="N137" i="1"/>
  <c r="O134" i="1" l="1"/>
  <c r="O139" i="1" s="1"/>
  <c r="O130" i="1" s="1"/>
  <c r="O102" i="1" s="1"/>
  <c r="O99" i="1" s="1"/>
  <c r="O100" i="1" s="1"/>
  <c r="O103" i="1" s="1"/>
  <c r="N155" i="1"/>
  <c r="N156" i="1" s="1"/>
  <c r="N158" i="1" s="1"/>
  <c r="N159" i="1" s="1"/>
  <c r="N163" i="1" s="1"/>
  <c r="O105" i="1" l="1"/>
  <c r="O135" i="1" s="1"/>
  <c r="O106" i="1" l="1"/>
  <c r="O136" i="1" s="1"/>
  <c r="O137" i="1" s="1"/>
  <c r="O107" i="1"/>
  <c r="O145" i="1"/>
  <c r="O108" i="1" l="1"/>
  <c r="O127" i="1" s="1"/>
  <c r="O128" i="1" s="1"/>
  <c r="O155" i="1" s="1"/>
  <c r="O156" i="1" s="1"/>
  <c r="O158" i="1" s="1"/>
  <c r="O159" i="1" s="1"/>
  <c r="O163" i="1" s="1"/>
  <c r="F166" i="1" s="1"/>
  <c r="F167" i="1" l="1"/>
  <c r="F165" i="1"/>
</calcChain>
</file>

<file path=xl/sharedStrings.xml><?xml version="1.0" encoding="utf-8"?>
<sst xmlns="http://schemas.openxmlformats.org/spreadsheetml/2006/main" count="139" uniqueCount="109">
  <si>
    <t>D&amp;A</t>
  </si>
  <si>
    <t>P&amp;L</t>
  </si>
  <si>
    <t>Actuals</t>
  </si>
  <si>
    <t>Capex</t>
  </si>
  <si>
    <t>Change in Cash</t>
  </si>
  <si>
    <t>Gross profit</t>
  </si>
  <si>
    <t>Base Case</t>
  </si>
  <si>
    <t>Downside Case</t>
  </si>
  <si>
    <t>Cash</t>
  </si>
  <si>
    <t>Repayment</t>
  </si>
  <si>
    <t>Draw</t>
  </si>
  <si>
    <t>RCF</t>
  </si>
  <si>
    <t>Total Cash Interest</t>
  </si>
  <si>
    <t>% gross margin</t>
  </si>
  <si>
    <t>% margin</t>
  </si>
  <si>
    <t>Change in working capital</t>
  </si>
  <si>
    <t>Cash interest</t>
  </si>
  <si>
    <t>BoP balance</t>
  </si>
  <si>
    <t>EoP balance</t>
  </si>
  <si>
    <t>Cash &amp; Debt Schedule</t>
  </si>
  <si>
    <t>Cash Flows</t>
  </si>
  <si>
    <t>RCF draw</t>
  </si>
  <si>
    <t>RCF repay</t>
  </si>
  <si>
    <t>Margin</t>
  </si>
  <si>
    <t>Q1: Business Assessment</t>
  </si>
  <si>
    <t>% growth</t>
  </si>
  <si>
    <t>COGS</t>
  </si>
  <si>
    <t>Total revenue</t>
  </si>
  <si>
    <t>Interest expense</t>
  </si>
  <si>
    <t>Debt repayments</t>
  </si>
  <si>
    <t>EoP Balance</t>
  </si>
  <si>
    <t>BoP Balance</t>
  </si>
  <si>
    <t>Returns</t>
  </si>
  <si>
    <t>EBITDA</t>
  </si>
  <si>
    <t>Less: net debt</t>
  </si>
  <si>
    <t xml:space="preserve">Equity value </t>
  </si>
  <si>
    <t>Attributable equity value</t>
  </si>
  <si>
    <t>Net equity cash flows</t>
  </si>
  <si>
    <t>IRR</t>
  </si>
  <si>
    <t>MOIC</t>
  </si>
  <si>
    <t>EV / EBITDA (x)</t>
  </si>
  <si>
    <t>Enterprise value</t>
  </si>
  <si>
    <t>Sources</t>
  </si>
  <si>
    <t>Uses</t>
  </si>
  <si>
    <t>xEBITDA</t>
  </si>
  <si>
    <t>Total Sources</t>
  </si>
  <si>
    <t>Total Uses</t>
  </si>
  <si>
    <t>Acquisition financing</t>
  </si>
  <si>
    <t>Equity</t>
  </si>
  <si>
    <t>Transaction fees</t>
  </si>
  <si>
    <t>Operating case</t>
  </si>
  <si>
    <t>Entry assumptions</t>
  </si>
  <si>
    <t>Diluted TSO (m)</t>
  </si>
  <si>
    <t>Equity purchase price</t>
  </si>
  <si>
    <t>Management incentive plan</t>
  </si>
  <si>
    <t>KPIs</t>
  </si>
  <si>
    <t>Inventories</t>
  </si>
  <si>
    <t>Trade receivables</t>
  </si>
  <si>
    <t>Trade payables</t>
  </si>
  <si>
    <t>DIO</t>
  </si>
  <si>
    <t>DSO</t>
  </si>
  <si>
    <t>DPO</t>
  </si>
  <si>
    <t>Net trade working capital</t>
  </si>
  <si>
    <t>Unlevered FCF</t>
  </si>
  <si>
    <t>Levered FCF</t>
  </si>
  <si>
    <t>(1) = Base Case; (2) = Downside Case</t>
  </si>
  <si>
    <t>CAGR</t>
  </si>
  <si>
    <t>x</t>
  </si>
  <si>
    <t>Enterprise Value ¹</t>
  </si>
  <si>
    <t>Plus: Net debt and debt-like items¹</t>
  </si>
  <si>
    <t>Premium to current share price (%)</t>
  </si>
  <si>
    <t>Repay existing net debt</t>
  </si>
  <si>
    <t>Cash consideration to shareholders</t>
  </si>
  <si>
    <t>Working Capital Schedule</t>
  </si>
  <si>
    <t>Net debt at closing</t>
  </si>
  <si>
    <t>o/w min cash</t>
  </si>
  <si>
    <t>Memo: transaction fees as % of EV</t>
  </si>
  <si>
    <t>o/w acquisition financing</t>
  </si>
  <si>
    <t>Exit date</t>
  </si>
  <si>
    <t>n.a.</t>
  </si>
  <si>
    <t>Q2: Operating Model</t>
  </si>
  <si>
    <t>Undisturbed share price (US$)</t>
  </si>
  <si>
    <t>$m</t>
  </si>
  <si>
    <t>'25-'30</t>
  </si>
  <si>
    <t>'23-'25</t>
  </si>
  <si>
    <t>Rolled operating leases</t>
  </si>
  <si>
    <t>Implied EV / FY25 EBITDA</t>
  </si>
  <si>
    <t>Circularity</t>
  </si>
  <si>
    <t>SOFR</t>
  </si>
  <si>
    <t>Net profit ($m)</t>
  </si>
  <si>
    <t>SG&amp;A</t>
  </si>
  <si>
    <t>Cash taxes</t>
  </si>
  <si>
    <t>Projections</t>
  </si>
  <si>
    <t>&lt;&lt; model out a cash sweep here</t>
  </si>
  <si>
    <t>As of Feb, $m</t>
  </si>
  <si>
    <t>&lt;&lt; link to a revenue build in KPI</t>
  </si>
  <si>
    <t>&lt;&lt; provide an exit multiple</t>
  </si>
  <si>
    <t>&lt;&lt; provide a simple management stock incentive plan</t>
  </si>
  <si>
    <t>&lt;&lt; estimate a reasonable interest rate</t>
  </si>
  <si>
    <t>&lt;&lt; provide the assumptions</t>
  </si>
  <si>
    <t>&lt;&lt; link to a cost build in KPI</t>
  </si>
  <si>
    <t>¹ Excl operating leases</t>
  </si>
  <si>
    <t>Fresh Products</t>
  </si>
  <si>
    <t>Non Perishables</t>
  </si>
  <si>
    <t>Pharmacy</t>
  </si>
  <si>
    <t>Fuel and Others</t>
  </si>
  <si>
    <t>Adj EBIT</t>
  </si>
  <si>
    <t>Adj EBITDA</t>
  </si>
  <si>
    <t>As Of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</si>
</sst>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_);\(#,##0\);\-_);@_)"/>
    <numFmt numFmtId="165" formatCode="_(#,##0.0_);\(#,##0.0\);_(\−_)"/>
    <numFmt numFmtId="166" formatCode="_(#,##0_);\(#,##0\);_(\−_)"/>
    <numFmt numFmtId="167" formatCode="_(0.0%_);\(0.0%\);_(\-_);@_)"/>
    <numFmt numFmtId="168" formatCode="_(0.00%_);\(0.00%\);_(\-_);@_)"/>
    <numFmt numFmtId="169" formatCode="_(0.00%_);\(0.00%\);_(\-_)"/>
    <numFmt numFmtId="170" formatCode="0.0\x"/>
    <numFmt numFmtId="171" formatCode="0.0%"/>
    <numFmt numFmtId="172" formatCode="#,##0;\(#,##0\)"/>
    <numFmt numFmtId="173" formatCode="_(#,##0.0%_);\(#,##0.0%\);_(\−_)"/>
    <numFmt numFmtId="174" formatCode="_(#,##0.00_);\(#,##0.00\);_(\−_)"/>
    <numFmt numFmtId="175" formatCode="_(&quot;L+&quot;0.00%_);\(0.00%\);_(\-_);@_)"/>
  </numFmts>
  <fonts count="29" x14ac:knownFonts="1">
    <font>
      <sz val="10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6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0"/>
      <color rgb="FF0000FF"/>
      <name val="Segoe UI"/>
      <family val="2"/>
      <scheme val="minor"/>
    </font>
    <font>
      <b/>
      <u val="singleAccounting"/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i/>
      <sz val="10"/>
      <color theme="1"/>
      <name val="Segoe UI"/>
      <family val="2"/>
      <scheme val="minor"/>
    </font>
    <font>
      <i/>
      <sz val="10"/>
      <color rgb="FF0000FF"/>
      <name val="Segoe UI"/>
      <family val="2"/>
      <scheme val="minor"/>
    </font>
    <font>
      <b/>
      <u/>
      <sz val="10"/>
      <color theme="1"/>
      <name val="Segoe UI"/>
      <family val="2"/>
      <scheme val="minor"/>
    </font>
    <font>
      <b/>
      <sz val="10"/>
      <name val="Segoe UI"/>
      <family val="2"/>
      <scheme val="minor"/>
    </font>
    <font>
      <i/>
      <sz val="10"/>
      <name val="Segoe UI"/>
      <family val="2"/>
      <scheme val="minor"/>
    </font>
    <font>
      <i/>
      <sz val="10"/>
      <color rgb="FFC00000"/>
      <name val="Segoe UI"/>
      <family val="2"/>
      <scheme val="minor"/>
    </font>
    <font>
      <sz val="10"/>
      <name val="Segoe UI"/>
      <family val="2"/>
      <scheme val="minor"/>
    </font>
    <font>
      <sz val="10"/>
      <color theme="0"/>
      <name val="Segoe UI"/>
      <family val="2"/>
      <scheme val="minor"/>
    </font>
    <font>
      <sz val="8"/>
      <color theme="1"/>
      <name val="Segoe UI"/>
      <family val="2"/>
      <scheme val="minor"/>
    </font>
    <font>
      <b/>
      <i/>
      <sz val="10"/>
      <color theme="1"/>
      <name val="Segoe UI"/>
      <family val="2"/>
      <scheme val="minor"/>
    </font>
    <font>
      <b/>
      <sz val="10"/>
      <color rgb="FF0000FF"/>
      <name val="Segoe UI"/>
      <family val="2"/>
      <scheme val="minor"/>
    </font>
    <font>
      <sz val="10"/>
      <color theme="1"/>
      <name val="Segoe UI"/>
      <family val="2"/>
      <scheme val="minor"/>
    </font>
    <font>
      <b/>
      <sz val="16"/>
      <color rgb="FFFF0000"/>
      <name val="Segoe U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0000FF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2">
    <xf numFmtId="165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12" applyNumberFormat="0" applyAlignment="0" applyProtection="0"/>
    <xf numFmtId="0" fontId="8" fillId="7" borderId="11" applyNumberFormat="0" applyAlignment="0" applyProtection="0"/>
    <xf numFmtId="0" fontId="9" fillId="0" borderId="13" applyNumberFormat="0" applyFill="0" applyAlignment="0" applyProtection="0"/>
    <xf numFmtId="0" fontId="1" fillId="8" borderId="14" applyNumberFormat="0" applyAlignment="0" applyProtection="0"/>
    <xf numFmtId="0" fontId="10" fillId="0" borderId="0" applyNumberFormat="0" applyFill="0" applyBorder="0" applyAlignment="0" applyProtection="0"/>
    <xf numFmtId="0" fontId="3" fillId="9" borderId="15" applyNumberFormat="0" applyFont="0" applyAlignment="0" applyProtection="0"/>
    <xf numFmtId="0" fontId="11" fillId="0" borderId="0" applyNumberFormat="0" applyFill="0" applyBorder="0" applyAlignment="0" applyProtection="0"/>
    <xf numFmtId="9" fontId="27" fillId="0" borderId="0" applyFont="0" applyFill="0" applyBorder="0" applyAlignment="0" applyProtection="0"/>
  </cellStyleXfs>
  <cellXfs count="195">
    <xf numFmtId="165" fontId="0" fillId="0" borderId="0" xfId="0"/>
    <xf numFmtId="165" fontId="2" fillId="0" borderId="0" xfId="0" applyFont="1"/>
    <xf numFmtId="165" fontId="0" fillId="0" borderId="0" xfId="0" applyAlignment="1">
      <alignment horizontal="center"/>
    </xf>
    <xf numFmtId="165" fontId="12" fillId="0" borderId="0" xfId="0" applyFont="1"/>
    <xf numFmtId="165" fontId="0" fillId="2" borderId="0" xfId="0" applyFill="1"/>
    <xf numFmtId="165" fontId="0" fillId="2" borderId="0" xfId="0" applyFill="1" applyAlignment="1">
      <alignment horizontal="center"/>
    </xf>
    <xf numFmtId="165" fontId="0" fillId="0" borderId="2" xfId="0" applyBorder="1"/>
    <xf numFmtId="165" fontId="0" fillId="0" borderId="3" xfId="0" applyBorder="1"/>
    <xf numFmtId="165" fontId="15" fillId="0" borderId="0" xfId="0" applyFont="1"/>
    <xf numFmtId="164" fontId="15" fillId="0" borderId="0" xfId="0" applyNumberFormat="1" applyFont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Font="1"/>
    <xf numFmtId="164" fontId="0" fillId="0" borderId="5" xfId="0" applyNumberForma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5" fontId="12" fillId="3" borderId="1" xfId="0" applyFont="1" applyFill="1" applyBorder="1"/>
    <xf numFmtId="165" fontId="0" fillId="0" borderId="0" xfId="0" applyAlignment="1">
      <alignment horizontal="left" indent="1"/>
    </xf>
    <xf numFmtId="165" fontId="18" fillId="0" borderId="0" xfId="0" applyFont="1"/>
    <xf numFmtId="166" fontId="0" fillId="0" borderId="0" xfId="0" applyNumberFormat="1" applyAlignment="1">
      <alignment horizontal="center"/>
    </xf>
    <xf numFmtId="167" fontId="16" fillId="0" borderId="0" xfId="0" applyNumberFormat="1" applyFont="1"/>
    <xf numFmtId="167" fontId="0" fillId="0" borderId="0" xfId="0" applyNumberFormat="1"/>
    <xf numFmtId="167" fontId="16" fillId="0" borderId="0" xfId="0" applyNumberFormat="1" applyFont="1" applyAlignment="1">
      <alignment horizontal="left" indent="1"/>
    </xf>
    <xf numFmtId="166" fontId="0" fillId="0" borderId="0" xfId="0" applyNumberFormat="1"/>
    <xf numFmtId="166" fontId="12" fillId="3" borderId="1" xfId="0" applyNumberFormat="1" applyFont="1" applyFill="1" applyBorder="1"/>
    <xf numFmtId="166" fontId="12" fillId="0" borderId="0" xfId="0" applyNumberFormat="1" applyFont="1"/>
    <xf numFmtId="166" fontId="12" fillId="0" borderId="1" xfId="0" applyNumberFormat="1" applyFont="1" applyBorder="1"/>
    <xf numFmtId="166" fontId="0" fillId="10" borderId="0" xfId="0" applyNumberFormat="1" applyFill="1" applyAlignment="1">
      <alignment horizontal="center"/>
    </xf>
    <xf numFmtId="166" fontId="0" fillId="10" borderId="5" xfId="0" applyNumberFormat="1" applyFill="1" applyBorder="1" applyAlignment="1">
      <alignment horizontal="center"/>
    </xf>
    <xf numFmtId="166" fontId="12" fillId="10" borderId="1" xfId="0" applyNumberFormat="1" applyFont="1" applyFill="1" applyBorder="1" applyAlignment="1">
      <alignment horizontal="center"/>
    </xf>
    <xf numFmtId="167" fontId="16" fillId="10" borderId="0" xfId="0" applyNumberFormat="1" applyFont="1" applyFill="1" applyAlignment="1">
      <alignment horizontal="center"/>
    </xf>
    <xf numFmtId="167" fontId="16" fillId="10" borderId="5" xfId="0" applyNumberFormat="1" applyFont="1" applyFill="1" applyBorder="1" applyAlignment="1">
      <alignment horizontal="center"/>
    </xf>
    <xf numFmtId="165" fontId="13" fillId="0" borderId="0" xfId="0" applyFont="1" applyAlignment="1">
      <alignment horizontal="center"/>
    </xf>
    <xf numFmtId="165" fontId="0" fillId="10" borderId="0" xfId="0" applyFill="1" applyAlignment="1">
      <alignment horizontal="center"/>
    </xf>
    <xf numFmtId="165" fontId="12" fillId="0" borderId="1" xfId="0" applyFont="1" applyBorder="1"/>
    <xf numFmtId="165" fontId="12" fillId="10" borderId="1" xfId="0" applyFont="1" applyFill="1" applyBorder="1" applyAlignment="1">
      <alignment horizontal="center"/>
    </xf>
    <xf numFmtId="165" fontId="16" fillId="0" borderId="0" xfId="0" applyFont="1" applyAlignment="1">
      <alignment horizontal="left" indent="1"/>
    </xf>
    <xf numFmtId="165" fontId="18" fillId="11" borderId="17" xfId="0" applyFont="1" applyFill="1" applyBorder="1"/>
    <xf numFmtId="165" fontId="12" fillId="11" borderId="17" xfId="0" applyFont="1" applyFill="1" applyBorder="1"/>
    <xf numFmtId="168" fontId="0" fillId="0" borderId="0" xfId="0" applyNumberFormat="1"/>
    <xf numFmtId="165" fontId="14" fillId="0" borderId="0" xfId="0" applyFont="1" applyAlignment="1">
      <alignment horizontal="centerContinuous"/>
    </xf>
    <xf numFmtId="165" fontId="14" fillId="0" borderId="5" xfId="0" applyFont="1" applyBorder="1" applyAlignment="1">
      <alignment horizontal="centerContinuous"/>
    </xf>
    <xf numFmtId="17" fontId="14" fillId="0" borderId="0" xfId="0" applyNumberFormat="1" applyFont="1" applyAlignment="1">
      <alignment horizontal="center"/>
    </xf>
    <xf numFmtId="17" fontId="14" fillId="0" borderId="5" xfId="0" applyNumberFormat="1" applyFont="1" applyBorder="1" applyAlignment="1">
      <alignment horizontal="center"/>
    </xf>
    <xf numFmtId="165" fontId="13" fillId="0" borderId="5" xfId="0" applyFont="1" applyBorder="1" applyAlignment="1">
      <alignment horizontal="center"/>
    </xf>
    <xf numFmtId="167" fontId="16" fillId="0" borderId="0" xfId="0" applyNumberFormat="1" applyFont="1" applyAlignment="1">
      <alignment horizontal="left" indent="3"/>
    </xf>
    <xf numFmtId="166" fontId="0" fillId="0" borderId="0" xfId="0" applyNumberFormat="1" applyAlignment="1">
      <alignment horizontal="left" indent="2"/>
    </xf>
    <xf numFmtId="165" fontId="16" fillId="0" borderId="0" xfId="0" applyFont="1" applyAlignment="1">
      <alignment horizontal="left" indent="3"/>
    </xf>
    <xf numFmtId="166" fontId="0" fillId="0" borderId="0" xfId="0" applyNumberFormat="1" applyAlignment="1">
      <alignment horizontal="left" indent="1"/>
    </xf>
    <xf numFmtId="165" fontId="21" fillId="0" borderId="0" xfId="0" applyFont="1"/>
    <xf numFmtId="169" fontId="18" fillId="0" borderId="0" xfId="0" applyNumberFormat="1" applyFont="1" applyAlignment="1">
      <alignment horizontal="center"/>
    </xf>
    <xf numFmtId="165" fontId="0" fillId="0" borderId="3" xfId="0" applyBorder="1" applyAlignment="1">
      <alignment horizontal="center"/>
    </xf>
    <xf numFmtId="165" fontId="12" fillId="0" borderId="0" xfId="0" applyFont="1" applyAlignment="1">
      <alignment horizontal="center"/>
    </xf>
    <xf numFmtId="165" fontId="12" fillId="0" borderId="5" xfId="0" applyFont="1" applyBorder="1" applyAlignment="1">
      <alignment horizontal="center"/>
    </xf>
    <xf numFmtId="167" fontId="17" fillId="12" borderId="4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  <xf numFmtId="165" fontId="20" fillId="0" borderId="0" xfId="0" applyFont="1" applyAlignment="1">
      <alignment horizontal="left" indent="4"/>
    </xf>
    <xf numFmtId="165" fontId="0" fillId="0" borderId="8" xfId="0" applyBorder="1"/>
    <xf numFmtId="166" fontId="12" fillId="3" borderId="1" xfId="0" applyNumberFormat="1" applyFont="1" applyFill="1" applyBorder="1" applyAlignment="1">
      <alignment horizontal="center"/>
    </xf>
    <xf numFmtId="166" fontId="12" fillId="3" borderId="7" xfId="0" applyNumberFormat="1" applyFont="1" applyFill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9" fontId="18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3" fillId="12" borderId="4" xfId="0" applyNumberFormat="1" applyFont="1" applyFill="1" applyBorder="1" applyAlignment="1">
      <alignment horizontal="center"/>
    </xf>
    <xf numFmtId="170" fontId="22" fillId="0" borderId="19" xfId="0" applyNumberFormat="1" applyFont="1" applyBorder="1" applyAlignment="1">
      <alignment horizontal="center"/>
    </xf>
    <xf numFmtId="165" fontId="0" fillId="3" borderId="1" xfId="0" applyFill="1" applyBorder="1"/>
    <xf numFmtId="166" fontId="0" fillId="10" borderId="9" xfId="0" applyNumberFormat="1" applyFill="1" applyBorder="1" applyAlignment="1">
      <alignment horizontal="center"/>
    </xf>
    <xf numFmtId="170" fontId="13" fillId="12" borderId="21" xfId="0" applyNumberFormat="1" applyFon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5" fontId="12" fillId="0" borderId="8" xfId="0" applyFont="1" applyBorder="1"/>
    <xf numFmtId="166" fontId="12" fillId="10" borderId="8" xfId="0" applyNumberFormat="1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65" fontId="0" fillId="0" borderId="0" xfId="0" applyAlignment="1">
      <alignment vertical="center"/>
    </xf>
    <xf numFmtId="165" fontId="23" fillId="0" borderId="0" xfId="0" applyFont="1"/>
    <xf numFmtId="165" fontId="0" fillId="0" borderId="0" xfId="0" applyAlignment="1">
      <alignment horizontal="left" vertical="center"/>
    </xf>
    <xf numFmtId="166" fontId="2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171" fontId="13" fillId="12" borderId="4" xfId="0" applyNumberFormat="1" applyFon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Continuous" vertical="center"/>
    </xf>
    <xf numFmtId="165" fontId="12" fillId="3" borderId="1" xfId="0" applyFont="1" applyFill="1" applyBorder="1" applyAlignment="1">
      <alignment horizontal="left" vertical="center" indent="1"/>
    </xf>
    <xf numFmtId="165" fontId="14" fillId="3" borderId="1" xfId="0" applyFont="1" applyFill="1" applyBorder="1" applyAlignment="1">
      <alignment horizontal="centerContinuous"/>
    </xf>
    <xf numFmtId="170" fontId="12" fillId="3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/>
    </xf>
    <xf numFmtId="166" fontId="22" fillId="0" borderId="25" xfId="0" applyNumberFormat="1" applyFont="1" applyBorder="1" applyAlignment="1">
      <alignment horizontal="center"/>
    </xf>
    <xf numFmtId="165" fontId="13" fillId="12" borderId="27" xfId="0" applyFont="1" applyFill="1" applyBorder="1" applyAlignment="1">
      <alignment horizontal="center"/>
    </xf>
    <xf numFmtId="165" fontId="0" fillId="10" borderId="10" xfId="0" applyFill="1" applyBorder="1" applyAlignment="1">
      <alignment horizontal="center"/>
    </xf>
    <xf numFmtId="166" fontId="19" fillId="0" borderId="28" xfId="0" applyNumberFormat="1" applyFont="1" applyBorder="1" applyAlignment="1">
      <alignment horizontal="center"/>
    </xf>
    <xf numFmtId="165" fontId="24" fillId="0" borderId="0" xfId="0" applyFont="1"/>
    <xf numFmtId="17" fontId="14" fillId="0" borderId="0" xfId="0" quotePrefix="1" applyNumberFormat="1" applyFont="1" applyAlignment="1">
      <alignment horizontal="center"/>
    </xf>
    <xf numFmtId="173" fontId="12" fillId="3" borderId="1" xfId="0" applyNumberFormat="1" applyFont="1" applyFill="1" applyBorder="1" applyAlignment="1">
      <alignment horizontal="center"/>
    </xf>
    <xf numFmtId="166" fontId="12" fillId="3" borderId="1" xfId="0" applyNumberFormat="1" applyFont="1" applyFill="1" applyBorder="1" applyAlignment="1">
      <alignment horizontal="left" indent="1"/>
    </xf>
    <xf numFmtId="165" fontId="0" fillId="0" borderId="5" xfId="0" applyBorder="1"/>
    <xf numFmtId="173" fontId="17" fillId="12" borderId="6" xfId="0" applyNumberFormat="1" applyFont="1" applyFill="1" applyBorder="1" applyAlignment="1">
      <alignment horizontal="center"/>
    </xf>
    <xf numFmtId="173" fontId="16" fillId="0" borderId="0" xfId="0" applyNumberFormat="1" applyFont="1"/>
    <xf numFmtId="173" fontId="0" fillId="0" borderId="0" xfId="0" applyNumberFormat="1"/>
    <xf numFmtId="173" fontId="16" fillId="10" borderId="0" xfId="0" applyNumberFormat="1" applyFont="1" applyFill="1" applyAlignment="1">
      <alignment horizontal="center"/>
    </xf>
    <xf numFmtId="173" fontId="16" fillId="10" borderId="5" xfId="0" applyNumberFormat="1" applyFont="1" applyFill="1" applyBorder="1" applyAlignment="1">
      <alignment horizontal="center"/>
    </xf>
    <xf numFmtId="165" fontId="12" fillId="3" borderId="1" xfId="0" applyFont="1" applyFill="1" applyBorder="1" applyAlignment="1">
      <alignment horizontal="left" indent="1"/>
    </xf>
    <xf numFmtId="173" fontId="16" fillId="10" borderId="1" xfId="0" applyNumberFormat="1" applyFont="1" applyFill="1" applyBorder="1" applyAlignment="1">
      <alignment horizontal="center"/>
    </xf>
    <xf numFmtId="174" fontId="0" fillId="0" borderId="0" xfId="0" applyNumberFormat="1" applyAlignment="1">
      <alignment horizontal="center"/>
    </xf>
    <xf numFmtId="165" fontId="25" fillId="3" borderId="0" xfId="0" applyFont="1" applyFill="1" applyAlignment="1">
      <alignment horizontal="left" vertical="center" indent="1"/>
    </xf>
    <xf numFmtId="165" fontId="25" fillId="3" borderId="0" xfId="0" applyFont="1" applyFill="1"/>
    <xf numFmtId="170" fontId="25" fillId="3" borderId="0" xfId="0" applyNumberFormat="1" applyFont="1" applyFill="1" applyAlignment="1">
      <alignment horizontal="center" vertical="center"/>
    </xf>
    <xf numFmtId="165" fontId="16" fillId="0" borderId="0" xfId="0" applyFont="1" applyAlignment="1">
      <alignment horizontal="left" vertical="center" indent="1"/>
    </xf>
    <xf numFmtId="171" fontId="17" fillId="12" borderId="4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73" fontId="16" fillId="10" borderId="8" xfId="0" applyNumberFormat="1" applyFont="1" applyFill="1" applyBorder="1" applyAlignment="1">
      <alignment horizontal="center"/>
    </xf>
    <xf numFmtId="166" fontId="16" fillId="0" borderId="0" xfId="0" applyNumberFormat="1" applyFont="1"/>
    <xf numFmtId="166" fontId="17" fillId="12" borderId="6" xfId="0" applyNumberFormat="1" applyFont="1" applyFill="1" applyBorder="1" applyAlignment="1">
      <alignment horizontal="center"/>
    </xf>
    <xf numFmtId="170" fontId="13" fillId="12" borderId="19" xfId="0" applyNumberFormat="1" applyFont="1" applyFill="1" applyBorder="1" applyAlignment="1">
      <alignment horizontal="center" vertical="center"/>
    </xf>
    <xf numFmtId="165" fontId="16" fillId="0" borderId="8" xfId="0" applyFont="1" applyBorder="1" applyAlignment="1">
      <alignment horizontal="left" indent="1"/>
    </xf>
    <xf numFmtId="170" fontId="0" fillId="0" borderId="8" xfId="0" applyNumberFormat="1" applyBorder="1" applyAlignment="1">
      <alignment horizontal="center" vertical="center"/>
    </xf>
    <xf numFmtId="168" fontId="17" fillId="0" borderId="30" xfId="0" applyNumberFormat="1" applyFont="1" applyBorder="1" applyAlignment="1">
      <alignment horizontal="center"/>
    </xf>
    <xf numFmtId="168" fontId="20" fillId="0" borderId="30" xfId="0" applyNumberFormat="1" applyFont="1" applyBorder="1" applyAlignment="1">
      <alignment horizontal="center"/>
    </xf>
    <xf numFmtId="175" fontId="17" fillId="12" borderId="4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left" indent="1"/>
    </xf>
    <xf numFmtId="167" fontId="16" fillId="10" borderId="1" xfId="0" applyNumberFormat="1" applyFont="1" applyFill="1" applyBorder="1" applyAlignment="1">
      <alignment horizontal="center"/>
    </xf>
    <xf numFmtId="167" fontId="16" fillId="10" borderId="7" xfId="0" applyNumberFormat="1" applyFont="1" applyFill="1" applyBorder="1" applyAlignment="1">
      <alignment horizontal="center"/>
    </xf>
    <xf numFmtId="170" fontId="22" fillId="0" borderId="31" xfId="0" applyNumberFormat="1" applyFont="1" applyBorder="1" applyAlignment="1">
      <alignment horizontal="center"/>
    </xf>
    <xf numFmtId="166" fontId="12" fillId="0" borderId="16" xfId="0" applyNumberFormat="1" applyFont="1" applyBorder="1" applyAlignment="1">
      <alignment horizontal="center"/>
    </xf>
    <xf numFmtId="165" fontId="0" fillId="0" borderId="0" xfId="0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5" fontId="0" fillId="0" borderId="8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" fontId="13" fillId="0" borderId="29" xfId="0" applyNumberFormat="1" applyFont="1" applyBorder="1" applyAlignment="1">
      <alignment horizontal="center" vertical="center"/>
    </xf>
    <xf numFmtId="15" fontId="22" fillId="0" borderId="4" xfId="0" applyNumberFormat="1" applyFont="1" applyBorder="1" applyAlignment="1">
      <alignment horizontal="center" vertical="center"/>
    </xf>
    <xf numFmtId="166" fontId="19" fillId="0" borderId="26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22" fillId="0" borderId="18" xfId="0" applyNumberFormat="1" applyFont="1" applyBorder="1" applyAlignment="1">
      <alignment horizontal="center"/>
    </xf>
    <xf numFmtId="165" fontId="0" fillId="0" borderId="20" xfId="0" applyBorder="1" applyAlignment="1">
      <alignment horizontal="center"/>
    </xf>
    <xf numFmtId="165" fontId="12" fillId="0" borderId="1" xfId="0" applyFont="1" applyBorder="1" applyAlignment="1">
      <alignment horizontal="left" indent="1"/>
    </xf>
    <xf numFmtId="166" fontId="13" fillId="0" borderId="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66" fontId="22" fillId="0" borderId="8" xfId="0" applyNumberFormat="1" applyFont="1" applyBorder="1" applyAlignment="1">
      <alignment horizontal="center"/>
    </xf>
    <xf numFmtId="166" fontId="22" fillId="0" borderId="16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left" indent="1"/>
    </xf>
    <xf numFmtId="166" fontId="20" fillId="0" borderId="0" xfId="0" applyNumberFormat="1" applyFont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0" xfId="0" applyAlignment="1">
      <alignment horizontal="left"/>
    </xf>
    <xf numFmtId="167" fontId="16" fillId="0" borderId="0" xfId="0" applyNumberFormat="1" applyFont="1" applyAlignment="1">
      <alignment horizontal="left" indent="2"/>
    </xf>
    <xf numFmtId="167" fontId="16" fillId="0" borderId="0" xfId="0" applyNumberFormat="1" applyFont="1" applyAlignment="1">
      <alignment horizontal="left" indent="4"/>
    </xf>
    <xf numFmtId="173" fontId="0" fillId="0" borderId="0" xfId="0" applyNumberFormat="1" applyAlignment="1">
      <alignment horizontal="center"/>
    </xf>
    <xf numFmtId="173" fontId="16" fillId="0" borderId="0" xfId="0" applyNumberFormat="1" applyFont="1" applyAlignment="1">
      <alignment horizontal="center"/>
    </xf>
    <xf numFmtId="173" fontId="16" fillId="0" borderId="5" xfId="0" applyNumberFormat="1" applyFont="1" applyBorder="1" applyAlignment="1">
      <alignment horizontal="center"/>
    </xf>
    <xf numFmtId="166" fontId="22" fillId="0" borderId="0" xfId="0" applyNumberFormat="1" applyFont="1" applyAlignment="1">
      <alignment horizontal="left" indent="1"/>
    </xf>
    <xf numFmtId="166" fontId="12" fillId="0" borderId="7" xfId="0" applyNumberFormat="1" applyFont="1" applyBorder="1" applyAlignment="1">
      <alignment horizontal="center"/>
    </xf>
    <xf numFmtId="173" fontId="16" fillId="0" borderId="0" xfId="0" applyNumberFormat="1" applyFont="1" applyAlignment="1">
      <alignment horizontal="left" indent="1"/>
    </xf>
    <xf numFmtId="173" fontId="16" fillId="0" borderId="0" xfId="0" applyNumberFormat="1" applyFont="1" applyAlignment="1">
      <alignment horizontal="left" indent="3"/>
    </xf>
    <xf numFmtId="173" fontId="12" fillId="0" borderId="1" xfId="0" applyNumberFormat="1" applyFont="1" applyBorder="1" applyAlignment="1">
      <alignment horizontal="center"/>
    </xf>
    <xf numFmtId="173" fontId="12" fillId="0" borderId="0" xfId="0" applyNumberFormat="1" applyFont="1" applyAlignment="1">
      <alignment horizontal="center"/>
    </xf>
    <xf numFmtId="173" fontId="16" fillId="0" borderId="0" xfId="0" applyNumberFormat="1" applyFont="1" applyAlignment="1">
      <alignment horizontal="left"/>
    </xf>
    <xf numFmtId="173" fontId="16" fillId="0" borderId="0" xfId="0" applyNumberFormat="1" applyFont="1" applyAlignment="1">
      <alignment horizontal="left" indent="4"/>
    </xf>
    <xf numFmtId="165" fontId="15" fillId="13" borderId="2" xfId="0" applyFont="1" applyFill="1" applyBorder="1" applyAlignment="1">
      <alignment vertical="center"/>
    </xf>
    <xf numFmtId="165" fontId="23" fillId="13" borderId="3" xfId="0" applyFont="1" applyFill="1" applyBorder="1"/>
    <xf numFmtId="165" fontId="23" fillId="13" borderId="18" xfId="0" applyFont="1" applyFill="1" applyBorder="1"/>
    <xf numFmtId="165" fontId="15" fillId="13" borderId="2" xfId="0" applyFont="1" applyFill="1" applyBorder="1"/>
    <xf numFmtId="165" fontId="15" fillId="13" borderId="3" xfId="0" applyFont="1" applyFill="1" applyBorder="1"/>
    <xf numFmtId="165" fontId="15" fillId="13" borderId="3" xfId="0" applyFont="1" applyFill="1" applyBorder="1" applyAlignment="1">
      <alignment horizontal="center"/>
    </xf>
    <xf numFmtId="165" fontId="15" fillId="13" borderId="18" xfId="0" applyFont="1" applyFill="1" applyBorder="1" applyAlignment="1">
      <alignment horizontal="center"/>
    </xf>
    <xf numFmtId="165" fontId="15" fillId="13" borderId="9" xfId="0" applyFont="1" applyFill="1" applyBorder="1"/>
    <xf numFmtId="165" fontId="15" fillId="13" borderId="9" xfId="0" applyFont="1" applyFill="1" applyBorder="1" applyAlignment="1">
      <alignment horizontal="center"/>
    </xf>
    <xf numFmtId="165" fontId="15" fillId="13" borderId="0" xfId="0" applyFont="1" applyFill="1"/>
    <xf numFmtId="165" fontId="0" fillId="13" borderId="0" xfId="0" applyFill="1"/>
    <xf numFmtId="165" fontId="0" fillId="13" borderId="0" xfId="0" applyFill="1" applyAlignment="1">
      <alignment horizontal="center"/>
    </xf>
    <xf numFmtId="164" fontId="15" fillId="13" borderId="0" xfId="0" applyNumberFormat="1" applyFont="1" applyFill="1" applyAlignment="1">
      <alignment horizontal="center"/>
    </xf>
    <xf numFmtId="165" fontId="15" fillId="13" borderId="5" xfId="0" applyFont="1" applyFill="1" applyBorder="1"/>
    <xf numFmtId="166" fontId="22" fillId="0" borderId="0" xfId="0" applyNumberFormat="1" applyFont="1" applyAlignment="1">
      <alignment horizontal="center"/>
    </xf>
    <xf numFmtId="166" fontId="22" fillId="0" borderId="5" xfId="0" applyNumberFormat="1" applyFont="1" applyBorder="1" applyAlignment="1">
      <alignment horizontal="center"/>
    </xf>
    <xf numFmtId="166" fontId="26" fillId="0" borderId="26" xfId="0" applyNumberFormat="1" applyFont="1" applyBorder="1" applyAlignment="1">
      <alignment horizontal="center"/>
    </xf>
    <xf numFmtId="166" fontId="13" fillId="12" borderId="32" xfId="0" applyNumberFormat="1" applyFont="1" applyFill="1" applyBorder="1" applyAlignment="1">
      <alignment horizontal="center" vertical="center"/>
    </xf>
    <xf numFmtId="165" fontId="15" fillId="13" borderId="32" xfId="0" applyFont="1" applyFill="1" applyBorder="1"/>
    <xf numFmtId="165" fontId="15" fillId="13" borderId="33" xfId="0" applyFont="1" applyFill="1" applyBorder="1"/>
    <xf numFmtId="165" fontId="23" fillId="13" borderId="34" xfId="0" applyFont="1" applyFill="1" applyBorder="1"/>
    <xf numFmtId="165" fontId="15" fillId="13" borderId="35" xfId="0" applyFont="1" applyFill="1" applyBorder="1"/>
    <xf numFmtId="165" fontId="15" fillId="13" borderId="36" xfId="0" applyFont="1" applyFill="1" applyBorder="1"/>
    <xf numFmtId="171" fontId="15" fillId="13" borderId="37" xfId="0" applyNumberFormat="1" applyFont="1" applyFill="1" applyBorder="1" applyAlignment="1">
      <alignment horizontal="center"/>
    </xf>
    <xf numFmtId="165" fontId="15" fillId="13" borderId="38" xfId="0" applyFont="1" applyFill="1" applyBorder="1"/>
    <xf numFmtId="170" fontId="15" fillId="13" borderId="22" xfId="0" applyNumberFormat="1" applyFont="1" applyFill="1" applyBorder="1" applyAlignment="1">
      <alignment horizontal="center"/>
    </xf>
    <xf numFmtId="165" fontId="15" fillId="13" borderId="39" xfId="0" applyFont="1" applyFill="1" applyBorder="1"/>
    <xf numFmtId="165" fontId="15" fillId="13" borderId="23" xfId="0" applyFont="1" applyFill="1" applyBorder="1"/>
    <xf numFmtId="166" fontId="15" fillId="13" borderId="24" xfId="0" applyNumberFormat="1" applyFont="1" applyFill="1" applyBorder="1" applyAlignment="1">
      <alignment horizontal="center"/>
    </xf>
    <xf numFmtId="172" fontId="13" fillId="0" borderId="0" xfId="0" applyNumberFormat="1" applyFont="1" applyAlignment="1">
      <alignment horizontal="center" vertical="center"/>
    </xf>
    <xf numFmtId="9" fontId="0" fillId="0" borderId="0" xfId="11" applyFont="1" applyAlignment="1">
      <alignment horizontal="center"/>
    </xf>
    <xf numFmtId="9" fontId="13" fillId="0" borderId="0" xfId="11" applyFont="1" applyAlignment="1">
      <alignment horizontal="center"/>
    </xf>
    <xf numFmtId="166" fontId="13" fillId="12" borderId="6" xfId="0" applyNumberFormat="1" applyFont="1" applyFill="1" applyBorder="1" applyAlignment="1">
      <alignment horizontal="center"/>
    </xf>
    <xf numFmtId="165" fontId="28" fillId="0" borderId="0" xfId="0" applyFont="1"/>
  </cellXfs>
  <cellStyles count="12">
    <cellStyle name="Bad" xfId="2" builtinId="27" hidden="1"/>
    <cellStyle name="Calculation" xfId="5" builtinId="22" hidden="1"/>
    <cellStyle name="Check Cell" xfId="7" builtinId="23" hidden="1"/>
    <cellStyle name="Explanatory Text" xfId="10" builtinId="53" hidden="1"/>
    <cellStyle name="Good" xfId="1" builtinId="26" hidden="1"/>
    <cellStyle name="Linked Cell" xfId="6" builtinId="24" hidden="1"/>
    <cellStyle name="Neutral" xfId="3" builtinId="28" hidden="1"/>
    <cellStyle name="Normal" xfId="0" builtinId="0" customBuiltin="1"/>
    <cellStyle name="Note" xfId="9" builtinId="10" hidden="1"/>
    <cellStyle name="Output" xfId="4" builtinId="21" hidden="1"/>
    <cellStyle name="Percent" xfId="11" builtinId="5"/>
    <cellStyle name="Warning Text" xfId="8" builtinId="11" hidden="1"/>
  </cellStyles>
  <dxfs count="0"/>
  <tableStyles count="0" defaultTableStyle="TableStyleMedium2" defaultPivotStyle="PivotStyleLight16"/>
  <colors>
    <mruColors>
      <color rgb="FFFFFFCC"/>
      <color rgb="FF0000FF"/>
      <color rgb="FF007000"/>
      <color rgb="FFFFCCCC"/>
      <color rgb="FFFFFFD2"/>
      <color rgb="FF00007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65AF-E72E-4FAE-9FB1-FA93C7B5EFCD}">
  <dimension ref="C1:L40"/>
  <sheetViews>
    <sheetView showGridLines="0" view="pageBreakPreview" zoomScale="90" zoomScaleNormal="100" zoomScaleSheetLayoutView="90" workbookViewId="0"/>
  </sheetViews>
  <sheetFormatPr defaultRowHeight="15.4" x14ac:dyDescent="0.55000000000000004"/>
  <cols>
    <col min="1" max="3" width="1.73046875" customWidth="1"/>
    <col min="4" max="12" width="9.265625" customWidth="1"/>
    <col min="13" max="13" width="1.73046875" customWidth="1"/>
  </cols>
  <sheetData>
    <row r="1" spans="3:12" ht="9" customHeight="1" x14ac:dyDescent="0.55000000000000004">
      <c r="G1" s="2"/>
      <c r="H1" s="2"/>
      <c r="I1" s="2"/>
      <c r="J1" s="2"/>
      <c r="K1" s="2"/>
      <c r="L1" s="2"/>
    </row>
    <row r="2" spans="3:12" ht="9" customHeight="1" x14ac:dyDescent="0.55000000000000004"/>
    <row r="3" spans="3:12" ht="24" x14ac:dyDescent="0.85">
      <c r="C3" s="1" t="s">
        <v>24</v>
      </c>
      <c r="D3" s="1"/>
      <c r="E3" s="1"/>
      <c r="F3" s="3"/>
      <c r="G3" s="2"/>
      <c r="H3" s="2"/>
      <c r="I3" s="2"/>
      <c r="J3" s="2"/>
      <c r="K3" s="2"/>
      <c r="L3" s="2"/>
    </row>
    <row r="4" spans="3:12" ht="3" customHeight="1" x14ac:dyDescent="0.55000000000000004">
      <c r="G4" s="2"/>
      <c r="H4" s="2"/>
      <c r="I4" s="2"/>
      <c r="J4" s="2"/>
      <c r="K4" s="2"/>
      <c r="L4" s="2"/>
    </row>
    <row r="5" spans="3:12" ht="3" customHeight="1" x14ac:dyDescent="0.55000000000000004">
      <c r="C5" s="4"/>
      <c r="D5" s="4"/>
      <c r="E5" s="4"/>
      <c r="F5" s="4"/>
      <c r="G5" s="5"/>
      <c r="H5" s="5"/>
      <c r="I5" s="5"/>
      <c r="J5" s="5"/>
      <c r="K5" s="5"/>
      <c r="L5" s="5"/>
    </row>
    <row r="6" spans="3:12" ht="14.25" customHeight="1" x14ac:dyDescent="0.55000000000000004">
      <c r="G6" s="2"/>
      <c r="H6" s="2"/>
      <c r="I6" s="2"/>
      <c r="J6" s="2"/>
      <c r="K6" s="2"/>
      <c r="L6" s="2"/>
    </row>
    <row r="7" spans="3:12" ht="14.25" customHeight="1" x14ac:dyDescent="0.55000000000000004">
      <c r="G7" s="2"/>
      <c r="H7" s="2"/>
      <c r="I7" s="2"/>
      <c r="J7" s="2"/>
      <c r="K7" s="2"/>
      <c r="L7" s="2"/>
    </row>
    <row r="8" spans="3:12" ht="14.25" customHeight="1" x14ac:dyDescent="0.55000000000000004">
      <c r="G8" s="2"/>
      <c r="H8" s="2"/>
      <c r="I8" s="2"/>
      <c r="J8" s="2"/>
      <c r="K8" s="2"/>
      <c r="L8" s="2"/>
    </row>
    <row r="9" spans="3:12" ht="14.25" customHeight="1" x14ac:dyDescent="0.55000000000000004">
      <c r="G9" s="2"/>
      <c r="H9" s="2"/>
      <c r="I9" s="2"/>
      <c r="J9" s="2"/>
      <c r="K9" s="2"/>
      <c r="L9" s="2"/>
    </row>
    <row r="10" spans="3:12" ht="14.25" customHeight="1" x14ac:dyDescent="0.55000000000000004">
      <c r="G10" s="2"/>
      <c r="H10" s="2"/>
      <c r="I10" s="2"/>
      <c r="J10" s="2"/>
      <c r="K10" s="2"/>
      <c r="L10" s="2"/>
    </row>
    <row r="11" spans="3:12" ht="14.25" customHeight="1" x14ac:dyDescent="0.55000000000000004">
      <c r="G11" s="2"/>
      <c r="H11" s="2"/>
      <c r="I11" s="2"/>
      <c r="J11" s="2"/>
      <c r="K11" s="2"/>
      <c r="L11" s="2"/>
    </row>
    <row r="12" spans="3:12" ht="14.25" customHeight="1" x14ac:dyDescent="0.55000000000000004">
      <c r="G12" s="2"/>
      <c r="H12" s="2"/>
      <c r="I12" s="2"/>
      <c r="J12" s="2"/>
      <c r="K12" s="2"/>
      <c r="L12" s="2"/>
    </row>
    <row r="13" spans="3:12" ht="14.25" customHeight="1" x14ac:dyDescent="0.55000000000000004">
      <c r="G13" s="2"/>
      <c r="H13" s="2"/>
      <c r="I13" s="2"/>
      <c r="J13" s="2"/>
      <c r="K13" s="2"/>
      <c r="L13" s="2"/>
    </row>
    <row r="14" spans="3:12" ht="14.25" customHeight="1" x14ac:dyDescent="0.55000000000000004">
      <c r="G14" s="2"/>
      <c r="H14" s="2"/>
      <c r="I14" s="2"/>
      <c r="J14" s="2"/>
      <c r="K14" s="2"/>
      <c r="L14" s="2"/>
    </row>
    <row r="15" spans="3:12" ht="14.25" customHeight="1" x14ac:dyDescent="0.55000000000000004">
      <c r="G15" s="2"/>
      <c r="H15" s="2"/>
      <c r="I15" s="2"/>
      <c r="J15" s="2"/>
      <c r="K15" s="2"/>
      <c r="L15" s="2"/>
    </row>
    <row r="16" spans="3:12" ht="14.25" customHeight="1" x14ac:dyDescent="0.55000000000000004">
      <c r="G16" s="2"/>
      <c r="H16" s="2"/>
      <c r="I16" s="2"/>
      <c r="J16" s="2"/>
      <c r="K16" s="2"/>
      <c r="L16" s="2"/>
    </row>
    <row r="17" spans="7:12" ht="14.25" customHeight="1" x14ac:dyDescent="0.55000000000000004">
      <c r="G17" s="2"/>
      <c r="H17" s="2"/>
      <c r="I17" s="2"/>
      <c r="J17" s="2"/>
      <c r="K17" s="2"/>
      <c r="L17" s="2"/>
    </row>
    <row r="18" spans="7:12" ht="14.25" customHeight="1" x14ac:dyDescent="0.55000000000000004">
      <c r="G18" s="2"/>
      <c r="H18" s="2"/>
      <c r="I18" s="2"/>
      <c r="J18" s="2"/>
      <c r="K18" s="2"/>
      <c r="L18" s="2"/>
    </row>
    <row r="19" spans="7:12" ht="14.25" customHeight="1" x14ac:dyDescent="0.55000000000000004">
      <c r="G19" s="2"/>
      <c r="H19" s="2"/>
      <c r="I19" s="2"/>
      <c r="J19" s="2"/>
      <c r="K19" s="2"/>
      <c r="L19" s="2"/>
    </row>
    <row r="20" spans="7:12" ht="14.25" customHeight="1" x14ac:dyDescent="0.55000000000000004">
      <c r="G20" s="2"/>
      <c r="H20" s="2"/>
      <c r="I20" s="2"/>
      <c r="J20" s="2"/>
      <c r="K20" s="2"/>
      <c r="L20" s="2"/>
    </row>
    <row r="21" spans="7:12" ht="14.25" customHeight="1" x14ac:dyDescent="0.55000000000000004">
      <c r="G21" s="2"/>
      <c r="H21" s="2"/>
      <c r="I21" s="2"/>
      <c r="J21" s="2"/>
      <c r="K21" s="2"/>
      <c r="L21" s="2"/>
    </row>
    <row r="22" spans="7:12" ht="14.25" customHeight="1" x14ac:dyDescent="0.55000000000000004">
      <c r="G22" s="2"/>
      <c r="H22" s="2"/>
      <c r="I22" s="2"/>
      <c r="J22" s="2"/>
      <c r="K22" s="2"/>
      <c r="L22" s="2"/>
    </row>
    <row r="23" spans="7:12" ht="14.25" customHeight="1" x14ac:dyDescent="0.55000000000000004">
      <c r="G23" s="2"/>
      <c r="H23" s="2"/>
      <c r="I23" s="2"/>
      <c r="J23" s="2"/>
      <c r="K23" s="2"/>
      <c r="L23" s="2"/>
    </row>
    <row r="24" spans="7:12" ht="14.25" customHeight="1" x14ac:dyDescent="0.55000000000000004">
      <c r="G24" s="2"/>
      <c r="H24" s="2"/>
      <c r="I24" s="2"/>
      <c r="J24" s="2"/>
      <c r="K24" s="2"/>
      <c r="L24" s="2"/>
    </row>
    <row r="25" spans="7:12" ht="14.25" customHeight="1" x14ac:dyDescent="0.55000000000000004">
      <c r="G25" s="2"/>
      <c r="H25" s="2"/>
      <c r="I25" s="2"/>
      <c r="J25" s="2"/>
      <c r="K25" s="2"/>
      <c r="L25" s="2"/>
    </row>
    <row r="26" spans="7:12" ht="14.25" customHeight="1" x14ac:dyDescent="0.55000000000000004">
      <c r="G26" s="2"/>
      <c r="H26" s="2"/>
      <c r="I26" s="2"/>
      <c r="J26" s="2"/>
      <c r="K26" s="2"/>
      <c r="L26" s="2"/>
    </row>
    <row r="27" spans="7:12" ht="14.25" customHeight="1" x14ac:dyDescent="0.55000000000000004">
      <c r="G27" s="2"/>
      <c r="H27" s="2"/>
      <c r="I27" s="2"/>
      <c r="J27" s="2"/>
      <c r="K27" s="2"/>
      <c r="L27" s="2"/>
    </row>
    <row r="28" spans="7:12" ht="14.25" customHeight="1" x14ac:dyDescent="0.55000000000000004">
      <c r="G28" s="2"/>
      <c r="H28" s="2"/>
      <c r="I28" s="2"/>
      <c r="J28" s="2"/>
      <c r="K28" s="2"/>
      <c r="L28" s="2"/>
    </row>
    <row r="29" spans="7:12" ht="14.25" customHeight="1" x14ac:dyDescent="0.55000000000000004">
      <c r="G29" s="2"/>
      <c r="H29" s="2"/>
      <c r="I29" s="2"/>
      <c r="J29" s="2"/>
      <c r="K29" s="2"/>
      <c r="L29" s="2"/>
    </row>
    <row r="30" spans="7:12" ht="14.25" customHeight="1" x14ac:dyDescent="0.55000000000000004">
      <c r="G30" s="2"/>
      <c r="H30" s="2"/>
      <c r="I30" s="2"/>
      <c r="J30" s="2"/>
      <c r="K30" s="2"/>
      <c r="L30" s="2"/>
    </row>
    <row r="31" spans="7:12" ht="14.25" customHeight="1" x14ac:dyDescent="0.55000000000000004">
      <c r="G31" s="2"/>
      <c r="H31" s="2"/>
      <c r="I31" s="2"/>
      <c r="J31" s="2"/>
      <c r="K31" s="2"/>
      <c r="L31" s="2"/>
    </row>
    <row r="32" spans="7:12" ht="14.25" customHeight="1" x14ac:dyDescent="0.55000000000000004">
      <c r="G32" s="2"/>
      <c r="H32" s="2"/>
      <c r="I32" s="2"/>
      <c r="J32" s="2"/>
      <c r="K32" s="2"/>
      <c r="L32" s="2"/>
    </row>
    <row r="33" spans="7:12" ht="14.25" customHeight="1" x14ac:dyDescent="0.55000000000000004">
      <c r="G33" s="2"/>
      <c r="H33" s="2"/>
      <c r="I33" s="2"/>
      <c r="J33" s="2"/>
      <c r="K33" s="2"/>
      <c r="L33" s="2"/>
    </row>
    <row r="34" spans="7:12" ht="14.25" customHeight="1" x14ac:dyDescent="0.55000000000000004">
      <c r="G34" s="2"/>
      <c r="H34" s="2"/>
      <c r="I34" s="2"/>
      <c r="J34" s="2"/>
      <c r="K34" s="2"/>
      <c r="L34" s="2"/>
    </row>
    <row r="35" spans="7:12" ht="14.25" customHeight="1" x14ac:dyDescent="0.55000000000000004">
      <c r="G35" s="2"/>
      <c r="H35" s="2"/>
      <c r="I35" s="2"/>
      <c r="J35" s="2"/>
      <c r="K35" s="2"/>
      <c r="L35" s="2"/>
    </row>
    <row r="36" spans="7:12" ht="14.25" customHeight="1" x14ac:dyDescent="0.55000000000000004">
      <c r="G36" s="2"/>
      <c r="H36" s="2"/>
      <c r="I36" s="2"/>
      <c r="J36" s="2"/>
      <c r="K36" s="2"/>
      <c r="L36" s="2"/>
    </row>
    <row r="37" spans="7:12" ht="14.25" customHeight="1" x14ac:dyDescent="0.55000000000000004">
      <c r="G37" s="2"/>
      <c r="H37" s="2"/>
      <c r="I37" s="2"/>
      <c r="J37" s="2"/>
      <c r="K37" s="2"/>
      <c r="L37" s="2"/>
    </row>
    <row r="38" spans="7:12" ht="14.25" customHeight="1" x14ac:dyDescent="0.55000000000000004">
      <c r="G38" s="2"/>
      <c r="H38" s="2"/>
      <c r="I38" s="2"/>
      <c r="J38" s="2"/>
      <c r="K38" s="2"/>
      <c r="L38" s="2"/>
    </row>
    <row r="39" spans="7:12" ht="14.25" customHeight="1" x14ac:dyDescent="0.55000000000000004">
      <c r="G39" s="2"/>
      <c r="H39" s="2"/>
      <c r="I39" s="2"/>
      <c r="J39" s="2"/>
      <c r="K39" s="2"/>
      <c r="L39" s="2"/>
    </row>
    <row r="40" spans="7:12" ht="3" customHeight="1" x14ac:dyDescent="0.55000000000000004">
      <c r="G40" s="2"/>
      <c r="H40" s="2"/>
      <c r="I40" s="2"/>
      <c r="J40" s="2"/>
      <c r="K40" s="2"/>
      <c r="L40" s="2"/>
    </row>
  </sheetData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3070-E20D-476D-846B-3C941E250C86}">
  <dimension ref="A1:AB168"/>
  <sheetViews>
    <sheetView showGridLines="0" tabSelected="1" view="pageBreakPreview" zoomScale="80" zoomScaleNormal="88" zoomScaleSheetLayoutView="80" workbookViewId="0">
      <selection activeCell="K30" sqref="K30"/>
    </sheetView>
  </sheetViews>
  <sheetFormatPr defaultColWidth="9.1328125" defaultRowHeight="15.4" x14ac:dyDescent="0.55000000000000004"/>
  <cols>
    <col min="1" max="2" width="1.73046875" customWidth="1"/>
    <col min="3" max="6" width="11.73046875" customWidth="1"/>
    <col min="7" max="7" width="2.73046875" customWidth="1"/>
    <col min="8" max="15" width="12.73046875" style="2" customWidth="1"/>
    <col min="16" max="16" width="2.73046875" customWidth="1"/>
    <col min="17" max="17" width="12.73046875" customWidth="1"/>
    <col min="18" max="18" width="12.73046875" style="2" customWidth="1"/>
    <col min="19" max="19" width="1.73046875" customWidth="1"/>
  </cols>
  <sheetData>
    <row r="1" spans="1:21" ht="9" customHeight="1" x14ac:dyDescent="0.55000000000000004">
      <c r="H1"/>
      <c r="I1"/>
      <c r="J1"/>
      <c r="K1"/>
      <c r="L1"/>
      <c r="M1"/>
      <c r="N1"/>
      <c r="O1"/>
      <c r="R1"/>
    </row>
    <row r="2" spans="1:21" ht="9" customHeight="1" x14ac:dyDescent="0.55000000000000004"/>
    <row r="3" spans="1:21" ht="24" x14ac:dyDescent="0.85">
      <c r="C3" s="1" t="s">
        <v>80</v>
      </c>
      <c r="D3" s="1"/>
      <c r="E3" s="1"/>
      <c r="F3" s="194" t="s">
        <v>108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1" ht="3" customHeight="1" x14ac:dyDescent="0.55000000000000004">
      <c r="P4" s="2"/>
      <c r="Q4" s="2"/>
      <c r="U4" s="76"/>
    </row>
    <row r="5" spans="1:21" ht="3" customHeight="1" x14ac:dyDescent="0.55000000000000004">
      <c r="C5" s="171"/>
      <c r="D5" s="171"/>
      <c r="E5" s="171"/>
      <c r="F5" s="171"/>
      <c r="G5" s="171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U5" s="76"/>
    </row>
    <row r="6" spans="1:21" ht="5.0999999999999996" customHeight="1" x14ac:dyDescent="0.55000000000000004">
      <c r="U6" s="76"/>
    </row>
    <row r="7" spans="1:21" x14ac:dyDescent="0.55000000000000004">
      <c r="A7" s="3"/>
      <c r="B7" s="3"/>
      <c r="C7" s="161" t="s">
        <v>51</v>
      </c>
      <c r="D7" s="162"/>
      <c r="E7" s="162"/>
      <c r="F7" s="163"/>
      <c r="G7" s="3"/>
      <c r="H7"/>
      <c r="I7" s="164" t="s">
        <v>42</v>
      </c>
      <c r="J7" s="165"/>
      <c r="K7" s="166" t="s">
        <v>82</v>
      </c>
      <c r="L7" s="167" t="s">
        <v>44</v>
      </c>
      <c r="M7" s="77"/>
      <c r="N7" s="168" t="s">
        <v>43</v>
      </c>
      <c r="O7" s="168"/>
      <c r="P7" s="168"/>
      <c r="Q7" s="168"/>
      <c r="R7" s="169" t="s">
        <v>82</v>
      </c>
    </row>
    <row r="8" spans="1:21" ht="5.0999999999999996" customHeight="1" x14ac:dyDescent="0.55000000000000004">
      <c r="H8"/>
      <c r="I8"/>
      <c r="J8"/>
      <c r="K8"/>
      <c r="L8"/>
      <c r="M8"/>
      <c r="N8"/>
      <c r="O8"/>
      <c r="R8"/>
    </row>
    <row r="9" spans="1:21" ht="17.649999999999999" x14ac:dyDescent="0.85">
      <c r="A9" s="3"/>
      <c r="B9" s="3"/>
      <c r="C9" s="126" t="s">
        <v>81</v>
      </c>
      <c r="F9" s="130">
        <v>17</v>
      </c>
      <c r="G9" s="3"/>
      <c r="H9" s="105"/>
      <c r="I9" s="78" t="s">
        <v>74</v>
      </c>
      <c r="J9" s="40"/>
      <c r="K9" s="79">
        <f>L9*$K$85</f>
        <v>0</v>
      </c>
      <c r="L9" s="115"/>
      <c r="M9" s="40"/>
      <c r="N9" s="78" t="s">
        <v>72</v>
      </c>
      <c r="O9" s="40"/>
      <c r="R9" s="80">
        <f>+F12</f>
        <v>9562.5</v>
      </c>
    </row>
    <row r="10" spans="1:21" ht="17.649999999999999" x14ac:dyDescent="0.85">
      <c r="A10" s="3"/>
      <c r="B10" s="3"/>
      <c r="C10" s="126" t="s">
        <v>70</v>
      </c>
      <c r="F10" s="81"/>
      <c r="H10"/>
      <c r="I10" s="116" t="s">
        <v>77</v>
      </c>
      <c r="J10" s="58"/>
      <c r="K10" s="111">
        <f>+K9+K11</f>
        <v>0</v>
      </c>
      <c r="L10" s="117" t="e">
        <f>K10/$K$85</f>
        <v>#DIV/0!</v>
      </c>
      <c r="M10"/>
      <c r="N10" s="78" t="s">
        <v>71</v>
      </c>
      <c r="O10" s="40"/>
      <c r="R10" s="80">
        <f>+F13</f>
        <v>7855.9</v>
      </c>
    </row>
    <row r="11" spans="1:21" x14ac:dyDescent="0.55000000000000004">
      <c r="A11" s="3"/>
      <c r="B11" s="3"/>
      <c r="C11" s="126" t="s">
        <v>52</v>
      </c>
      <c r="F11" s="127">
        <v>562.5</v>
      </c>
      <c r="H11"/>
      <c r="I11" s="36" t="s">
        <v>75</v>
      </c>
      <c r="J11"/>
      <c r="K11" s="66"/>
      <c r="L11" s="83" t="e">
        <f>K11/$K$85</f>
        <v>#DIV/0!</v>
      </c>
      <c r="M11"/>
      <c r="N11" s="78" t="s">
        <v>85</v>
      </c>
      <c r="R11" s="32">
        <f>730.3+5710.3</f>
        <v>6440.6</v>
      </c>
    </row>
    <row r="12" spans="1:21" ht="17.649999999999999" x14ac:dyDescent="0.85">
      <c r="A12" s="3"/>
      <c r="B12" s="3"/>
      <c r="C12" s="128" t="s">
        <v>53</v>
      </c>
      <c r="D12" s="58"/>
      <c r="E12" s="58"/>
      <c r="F12" s="129">
        <f>+F9*(1+F10)*F11</f>
        <v>9562.5</v>
      </c>
      <c r="H12"/>
      <c r="I12" s="78" t="s">
        <v>85</v>
      </c>
      <c r="K12" s="2">
        <f>+R11</f>
        <v>6440.6</v>
      </c>
      <c r="M12"/>
      <c r="N12" s="78" t="s">
        <v>49</v>
      </c>
      <c r="O12" s="40"/>
      <c r="R12" s="84">
        <f>+R13*F14</f>
        <v>0</v>
      </c>
    </row>
    <row r="13" spans="1:21" ht="17.649999999999999" x14ac:dyDescent="0.85">
      <c r="A13" s="3"/>
      <c r="B13" s="3"/>
      <c r="C13" s="126" t="s">
        <v>69</v>
      </c>
      <c r="F13" s="190">
        <f>+(1186.4+6940.1)-270.6</f>
        <v>7855.9</v>
      </c>
      <c r="G13" s="3"/>
      <c r="H13"/>
      <c r="I13" s="78" t="s">
        <v>48</v>
      </c>
      <c r="J13" s="40"/>
      <c r="K13" s="84">
        <f>+K14-K12-K9</f>
        <v>17418.400000000001</v>
      </c>
      <c r="L13" s="83" t="e">
        <f>K13/$K$85</f>
        <v>#DIV/0!</v>
      </c>
      <c r="M13"/>
      <c r="N13" s="109" t="s">
        <v>76</v>
      </c>
      <c r="O13" s="12"/>
      <c r="P13" s="12"/>
      <c r="Q13" s="12"/>
      <c r="R13" s="110"/>
    </row>
    <row r="14" spans="1:21" ht="17.649999999999999" x14ac:dyDescent="0.85">
      <c r="A14" s="3"/>
      <c r="B14" s="3"/>
      <c r="C14" s="85" t="s">
        <v>68</v>
      </c>
      <c r="D14" s="16"/>
      <c r="E14" s="16"/>
      <c r="F14" s="82">
        <f>+F12+F13</f>
        <v>17418.400000000001</v>
      </c>
      <c r="G14" s="3"/>
      <c r="H14"/>
      <c r="I14" s="85" t="s">
        <v>45</v>
      </c>
      <c r="J14" s="86"/>
      <c r="K14" s="82">
        <f>+R14</f>
        <v>23859</v>
      </c>
      <c r="L14" s="87" t="e">
        <f>K14/$K$85</f>
        <v>#DIV/0!</v>
      </c>
      <c r="M14"/>
      <c r="N14" s="85" t="s">
        <v>46</v>
      </c>
      <c r="O14" s="86"/>
      <c r="P14" s="86"/>
      <c r="Q14" s="86"/>
      <c r="R14" s="82">
        <f>SUM(R9:R12)</f>
        <v>23859</v>
      </c>
    </row>
    <row r="15" spans="1:21" ht="15.75" thickBot="1" x14ac:dyDescent="0.6">
      <c r="A15" s="3"/>
      <c r="B15" s="3"/>
      <c r="C15" s="106" t="s">
        <v>86</v>
      </c>
      <c r="D15" s="107"/>
      <c r="E15" s="107"/>
      <c r="F15" s="108" t="e">
        <f>+F14/$K$85</f>
        <v>#DIV/0!</v>
      </c>
      <c r="G15" s="3"/>
      <c r="H15"/>
      <c r="O15"/>
      <c r="R15"/>
    </row>
    <row r="16" spans="1:21" ht="15.75" thickBot="1" x14ac:dyDescent="0.6">
      <c r="C16" s="36" t="s">
        <v>101</v>
      </c>
      <c r="H16"/>
      <c r="I16" s="180" t="s">
        <v>50</v>
      </c>
      <c r="J16" s="181"/>
      <c r="K16" s="178">
        <v>1</v>
      </c>
      <c r="L16" s="36" t="s">
        <v>65</v>
      </c>
      <c r="M16"/>
      <c r="N16"/>
      <c r="Q16" s="179" t="s">
        <v>87</v>
      </c>
      <c r="R16" s="178">
        <v>0</v>
      </c>
    </row>
    <row r="17" spans="1:19" x14ac:dyDescent="0.55000000000000004">
      <c r="C17" s="36"/>
      <c r="H17"/>
      <c r="I17"/>
      <c r="J17"/>
      <c r="K17"/>
      <c r="L17"/>
      <c r="M17"/>
      <c r="N17"/>
    </row>
    <row r="18" spans="1:19" ht="17.649999999999999" x14ac:dyDescent="0.85">
      <c r="A18" s="3"/>
      <c r="B18" s="3"/>
      <c r="G18" s="3"/>
      <c r="H18" s="40" t="s">
        <v>2</v>
      </c>
      <c r="I18" s="40"/>
      <c r="J18" s="41"/>
      <c r="K18" s="40" t="s">
        <v>92</v>
      </c>
      <c r="L18" s="40"/>
      <c r="M18" s="40"/>
      <c r="N18" s="40"/>
      <c r="O18" s="40"/>
      <c r="Q18" s="40" t="s">
        <v>66</v>
      </c>
      <c r="R18" s="40"/>
    </row>
    <row r="19" spans="1:19" ht="17.649999999999999" x14ac:dyDescent="0.85">
      <c r="A19" s="3"/>
      <c r="B19" s="3"/>
      <c r="C19" s="3" t="s">
        <v>94</v>
      </c>
      <c r="D19" s="3"/>
      <c r="E19" s="3"/>
      <c r="F19" s="3"/>
      <c r="G19" s="3"/>
      <c r="H19" s="42">
        <v>44985</v>
      </c>
      <c r="I19" s="42">
        <f t="shared" ref="I19:O19" si="0">EOMONTH(H19,12)</f>
        <v>45351</v>
      </c>
      <c r="J19" s="43">
        <f>EOMONTH(I19,12)</f>
        <v>45716</v>
      </c>
      <c r="K19" s="42">
        <f t="shared" si="0"/>
        <v>46081</v>
      </c>
      <c r="L19" s="42">
        <f t="shared" si="0"/>
        <v>46446</v>
      </c>
      <c r="M19" s="42">
        <f t="shared" si="0"/>
        <v>46812</v>
      </c>
      <c r="N19" s="42">
        <f>EOMONTH(M19,12)</f>
        <v>47177</v>
      </c>
      <c r="O19" s="42">
        <f t="shared" si="0"/>
        <v>47542</v>
      </c>
      <c r="Q19" s="94" t="s">
        <v>84</v>
      </c>
      <c r="R19" s="94" t="s">
        <v>83</v>
      </c>
    </row>
    <row r="20" spans="1:19" ht="5.0999999999999996" customHeight="1" x14ac:dyDescent="0.85">
      <c r="A20" s="3"/>
      <c r="B20" s="3"/>
      <c r="C20" s="3"/>
      <c r="D20" s="3"/>
      <c r="E20" s="3"/>
      <c r="F20" s="3"/>
      <c r="G20" s="3"/>
      <c r="H20" s="42"/>
      <c r="I20" s="42"/>
      <c r="J20" s="15"/>
      <c r="K20" s="14"/>
      <c r="L20" s="42"/>
      <c r="M20" s="42"/>
      <c r="N20" s="42"/>
      <c r="O20" s="42"/>
      <c r="R20" s="42"/>
    </row>
    <row r="21" spans="1:19" x14ac:dyDescent="0.55000000000000004">
      <c r="B21" t="s">
        <v>67</v>
      </c>
      <c r="C21" s="170" t="s">
        <v>55</v>
      </c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3"/>
      <c r="O21" s="173"/>
      <c r="P21" s="173"/>
      <c r="Q21" s="173"/>
      <c r="R21" s="173"/>
    </row>
    <row r="22" spans="1:19" ht="5.0999999999999996" customHeight="1" x14ac:dyDescent="0.55000000000000004">
      <c r="C22" s="8"/>
      <c r="D22" s="8"/>
      <c r="E22" s="8"/>
      <c r="F22" s="8"/>
      <c r="G22" s="8"/>
      <c r="H22" s="9"/>
      <c r="I22" s="9"/>
      <c r="J22" s="10"/>
      <c r="K22" s="9"/>
      <c r="L22" s="9"/>
      <c r="M22" s="9"/>
      <c r="N22" s="9"/>
      <c r="O22" s="9"/>
      <c r="R22" s="9"/>
    </row>
    <row r="23" spans="1:19" s="23" customFormat="1" x14ac:dyDescent="0.55000000000000004"/>
    <row r="24" spans="1:19" s="21" customFormat="1" x14ac:dyDescent="0.55000000000000004"/>
    <row r="25" spans="1:19" s="21" customFormat="1" x14ac:dyDescent="0.55000000000000004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9" s="21" customFormat="1" x14ac:dyDescent="0.55000000000000004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9" x14ac:dyDescent="0.5500000000000000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9" s="23" customFormat="1" x14ac:dyDescent="0.55000000000000004"/>
    <row r="29" spans="1:19" s="21" customFormat="1" x14ac:dyDescent="0.55000000000000004"/>
    <row r="30" spans="1:19" s="21" customFormat="1" x14ac:dyDescent="0.5500000000000000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1:19" s="21" customFormat="1" x14ac:dyDescent="0.55000000000000004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9" s="21" customFormat="1" x14ac:dyDescent="0.55000000000000004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149"/>
    </row>
    <row r="33" spans="1:26" s="21" customFormat="1" x14ac:dyDescent="0.5500000000000000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149"/>
    </row>
    <row r="34" spans="1:26" s="21" customFormat="1" x14ac:dyDescent="0.5500000000000000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149"/>
    </row>
    <row r="35" spans="1:26" s="21" customFormat="1" x14ac:dyDescent="0.55000000000000004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149"/>
    </row>
    <row r="36" spans="1:26" x14ac:dyDescent="0.5500000000000000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47"/>
    </row>
    <row r="37" spans="1:26" x14ac:dyDescent="0.5500000000000000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48"/>
    </row>
    <row r="38" spans="1:26" x14ac:dyDescent="0.5500000000000000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47"/>
    </row>
    <row r="39" spans="1:26" x14ac:dyDescent="0.5500000000000000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47"/>
    </row>
    <row r="40" spans="1:26" x14ac:dyDescent="0.5500000000000000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47"/>
    </row>
    <row r="41" spans="1:26" x14ac:dyDescent="0.5500000000000000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47"/>
    </row>
    <row r="42" spans="1:26" x14ac:dyDescent="0.5500000000000000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48"/>
    </row>
    <row r="43" spans="1:26" x14ac:dyDescent="0.5500000000000000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47"/>
    </row>
    <row r="44" spans="1:26" x14ac:dyDescent="0.5500000000000000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47"/>
    </row>
    <row r="45" spans="1:26" x14ac:dyDescent="0.5500000000000000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48"/>
      <c r="T45" s="148"/>
      <c r="U45" s="148"/>
      <c r="V45" s="148"/>
      <c r="W45" s="148"/>
      <c r="X45" s="148"/>
      <c r="Y45" s="148"/>
      <c r="Z45" s="148"/>
    </row>
    <row r="46" spans="1:26" x14ac:dyDescent="0.5500000000000000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48"/>
      <c r="T46" s="148"/>
      <c r="U46" s="148"/>
      <c r="V46" s="148"/>
      <c r="W46" s="148"/>
      <c r="X46" s="148"/>
      <c r="Y46" s="148"/>
      <c r="Z46" s="148"/>
    </row>
    <row r="47" spans="1:26" x14ac:dyDescent="0.5500000000000000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49"/>
      <c r="T47" s="148"/>
      <c r="U47" s="148"/>
      <c r="V47" s="148"/>
      <c r="W47" s="148"/>
      <c r="X47" s="148"/>
      <c r="Y47" s="148"/>
      <c r="Z47" s="148"/>
    </row>
    <row r="48" spans="1:26" x14ac:dyDescent="0.5500000000000000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48"/>
      <c r="T48" s="148"/>
      <c r="U48" s="148"/>
      <c r="V48" s="148"/>
      <c r="W48" s="148"/>
      <c r="X48" s="148"/>
      <c r="Y48" s="148"/>
      <c r="Z48" s="148"/>
    </row>
    <row r="49" spans="1:26" x14ac:dyDescent="0.5500000000000000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48"/>
      <c r="T49" s="148"/>
      <c r="U49" s="148"/>
      <c r="V49" s="148"/>
      <c r="W49" s="148"/>
      <c r="X49" s="148"/>
      <c r="Y49" s="148"/>
      <c r="Z49" s="148"/>
    </row>
    <row r="50" spans="1:26" x14ac:dyDescent="0.5500000000000000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48"/>
      <c r="T50" s="148"/>
      <c r="U50" s="148"/>
      <c r="V50" s="148"/>
      <c r="W50" s="148"/>
      <c r="X50" s="148"/>
      <c r="Y50" s="148"/>
      <c r="Z50" s="148"/>
    </row>
    <row r="51" spans="1:26" x14ac:dyDescent="0.5500000000000000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49"/>
      <c r="T51" s="149"/>
    </row>
    <row r="52" spans="1:26" x14ac:dyDescent="0.55000000000000004">
      <c r="A52" s="12"/>
      <c r="B52" s="12"/>
      <c r="C52" s="148"/>
      <c r="D52" s="148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</row>
    <row r="53" spans="1:26" x14ac:dyDescent="0.55000000000000004">
      <c r="B53" t="s">
        <v>67</v>
      </c>
      <c r="C53" s="170" t="s">
        <v>1</v>
      </c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</row>
    <row r="54" spans="1:26" ht="5.0999999999999996" customHeight="1" x14ac:dyDescent="0.55000000000000004">
      <c r="C54" s="8"/>
      <c r="D54" s="8"/>
      <c r="E54" s="8"/>
      <c r="F54" s="8"/>
      <c r="G54" s="8"/>
      <c r="H54" s="9"/>
      <c r="I54" s="9"/>
      <c r="J54" s="10"/>
      <c r="K54" s="9"/>
      <c r="L54" s="9"/>
      <c r="M54" s="9"/>
      <c r="N54" s="9"/>
      <c r="O54" s="9"/>
      <c r="R54" s="9"/>
    </row>
    <row r="55" spans="1:26" s="23" customFormat="1" x14ac:dyDescent="0.55000000000000004">
      <c r="C55" s="23" t="s">
        <v>103</v>
      </c>
      <c r="H55" s="55">
        <v>39142.400000000001</v>
      </c>
      <c r="I55" s="55">
        <v>39977.300000000003</v>
      </c>
      <c r="J55" s="137">
        <v>40102.800000000003</v>
      </c>
      <c r="K55" s="193"/>
      <c r="L55" s="193"/>
      <c r="M55" s="193"/>
      <c r="N55" s="193"/>
      <c r="O55" s="193"/>
      <c r="P55"/>
      <c r="Q55" s="150">
        <f>IFERROR((J55/H55)^0.5-1,"n.a.")</f>
        <v>1.2193683528899157E-2</v>
      </c>
      <c r="R55" s="150">
        <f>IFERROR((O55/J55)^(1/5)-1,"n.a.")</f>
        <v>-1</v>
      </c>
      <c r="T55" s="25" t="s">
        <v>95</v>
      </c>
    </row>
    <row r="56" spans="1:26" s="23" customFormat="1" x14ac:dyDescent="0.55000000000000004">
      <c r="H56" s="32"/>
      <c r="I56" s="32"/>
      <c r="J56" s="15"/>
      <c r="K56" s="192"/>
      <c r="L56" s="2"/>
      <c r="M56" s="2"/>
      <c r="N56" s="2"/>
      <c r="O56" s="2"/>
      <c r="P56"/>
      <c r="Q56"/>
      <c r="R56"/>
    </row>
    <row r="57" spans="1:26" s="23" customFormat="1" x14ac:dyDescent="0.55000000000000004">
      <c r="C57" s="23" t="s">
        <v>102</v>
      </c>
      <c r="H57" s="55">
        <v>25585.4</v>
      </c>
      <c r="I57" s="55">
        <v>25442.7</v>
      </c>
      <c r="J57" s="137">
        <v>25507.3</v>
      </c>
      <c r="K57" s="193"/>
      <c r="L57" s="193"/>
      <c r="M57" s="193"/>
      <c r="N57" s="193"/>
      <c r="O57" s="193"/>
      <c r="P57"/>
      <c r="Q57" s="150">
        <f>IFERROR((J57/H57)^0.5-1,"n.a.")</f>
        <v>-1.5274275882857236E-3</v>
      </c>
      <c r="R57" s="150">
        <f>IFERROR((O57/J57)^(1/5)-1,"n.a.")</f>
        <v>-1</v>
      </c>
      <c r="T57" s="25" t="s">
        <v>95</v>
      </c>
    </row>
    <row r="58" spans="1:26" s="21" customFormat="1" x14ac:dyDescent="0.55000000000000004">
      <c r="A58" s="20"/>
      <c r="B58" s="20"/>
      <c r="C58" s="23"/>
      <c r="D58" s="148"/>
      <c r="E58" s="149"/>
      <c r="F58" s="149"/>
      <c r="G58" s="149"/>
      <c r="H58" s="149"/>
      <c r="I58" s="149"/>
      <c r="J58" s="15"/>
      <c r="K58" s="192"/>
      <c r="L58" s="149"/>
      <c r="M58" s="149"/>
      <c r="N58" s="149"/>
      <c r="O58" s="149"/>
      <c r="P58" s="149"/>
      <c r="Q58" s="149"/>
      <c r="R58" s="149"/>
      <c r="S58" s="149"/>
    </row>
    <row r="59" spans="1:26" s="21" customFormat="1" x14ac:dyDescent="0.55000000000000004">
      <c r="A59" s="20"/>
      <c r="B59" s="20"/>
      <c r="C59" s="23" t="s">
        <v>104</v>
      </c>
      <c r="D59" s="23"/>
      <c r="E59" s="23"/>
      <c r="F59" s="23"/>
      <c r="G59" s="23"/>
      <c r="H59" s="55">
        <v>6769.3</v>
      </c>
      <c r="I59" s="55">
        <v>8240</v>
      </c>
      <c r="J59" s="137">
        <v>9597.2000000000007</v>
      </c>
      <c r="K59" s="193"/>
      <c r="L59" s="193"/>
      <c r="M59" s="193"/>
      <c r="N59" s="193"/>
      <c r="O59" s="193"/>
      <c r="P59"/>
      <c r="Q59" s="150">
        <f>IFERROR((J59/H59)^0.5-1,"n.a.")</f>
        <v>0.19069462166611606</v>
      </c>
      <c r="R59" s="150">
        <f>IFERROR((O59/J59)^(1/5)-1,"n.a.")</f>
        <v>-1</v>
      </c>
      <c r="S59" s="149"/>
      <c r="T59" s="25" t="s">
        <v>95</v>
      </c>
    </row>
    <row r="60" spans="1:26" x14ac:dyDescent="0.55000000000000004">
      <c r="J60" s="137"/>
      <c r="K60" s="192"/>
    </row>
    <row r="61" spans="1:26" s="21" customFormat="1" x14ac:dyDescent="0.55000000000000004">
      <c r="A61" s="20"/>
      <c r="B61" s="20"/>
      <c r="C61" s="23" t="s">
        <v>105</v>
      </c>
      <c r="D61" s="23"/>
      <c r="E61" s="23"/>
      <c r="F61" s="23"/>
      <c r="G61" s="23"/>
      <c r="H61" s="55">
        <f>4857.6+1295</f>
        <v>6152.6</v>
      </c>
      <c r="I61" s="55">
        <f>4396.7+1181</f>
        <v>5577.7</v>
      </c>
      <c r="J61" s="137">
        <f>3980.6+1203</f>
        <v>5183.6000000000004</v>
      </c>
      <c r="K61" s="193"/>
      <c r="L61" s="193"/>
      <c r="M61" s="193"/>
      <c r="N61" s="193"/>
      <c r="O61" s="193"/>
      <c r="P61"/>
      <c r="Q61" s="150">
        <f>IFERROR((J61/H61)^0.5-1,"n.a.")</f>
        <v>-8.2118957933275727E-2</v>
      </c>
      <c r="R61" s="150">
        <f>IFERROR((O61/J61)^(1/5)-1,"n.a.")</f>
        <v>-1</v>
      </c>
      <c r="S61" s="149"/>
    </row>
    <row r="62" spans="1:26" s="23" customFormat="1" x14ac:dyDescent="0.55000000000000004">
      <c r="C62" s="22"/>
      <c r="D62" s="148"/>
      <c r="E62" s="149"/>
      <c r="F62" s="149"/>
      <c r="G62" s="149"/>
      <c r="H62" s="149"/>
      <c r="I62" s="149"/>
      <c r="J62" s="15"/>
      <c r="K62" s="192"/>
      <c r="L62" s="149"/>
      <c r="M62" s="149"/>
      <c r="N62" s="149"/>
      <c r="O62" s="149"/>
      <c r="P62" s="149"/>
      <c r="Q62" s="149"/>
      <c r="R62" s="149"/>
      <c r="S62" s="149"/>
    </row>
    <row r="63" spans="1:26" s="23" customFormat="1" x14ac:dyDescent="0.55000000000000004">
      <c r="A63" s="25"/>
      <c r="B63" s="25"/>
      <c r="C63" s="96" t="s">
        <v>27</v>
      </c>
      <c r="D63" s="24"/>
      <c r="E63" s="24"/>
      <c r="F63" s="24"/>
      <c r="G63"/>
      <c r="H63" s="59">
        <f>H55+H57+H59+H61</f>
        <v>77649.700000000012</v>
      </c>
      <c r="I63" s="59">
        <f t="shared" ref="I63:O63" si="1">I55+I57+I59+I61</f>
        <v>79237.7</v>
      </c>
      <c r="J63" s="59">
        <f t="shared" si="1"/>
        <v>80390.900000000009</v>
      </c>
      <c r="K63" s="59">
        <f>K55+K57+K59+K61</f>
        <v>0</v>
      </c>
      <c r="L63" s="59">
        <f t="shared" si="1"/>
        <v>0</v>
      </c>
      <c r="M63" s="59">
        <f t="shared" si="1"/>
        <v>0</v>
      </c>
      <c r="N63" s="59">
        <f t="shared" si="1"/>
        <v>0</v>
      </c>
      <c r="O63" s="59">
        <f t="shared" si="1"/>
        <v>0</v>
      </c>
      <c r="P63"/>
      <c r="Q63" s="95">
        <f>IFERROR((J63/H63)^0.5-1,"n.a.")</f>
        <v>1.7497976669215154E-2</v>
      </c>
      <c r="R63" s="95">
        <f>IFERROR((O63/J63)^(1/5)-1,"n.a.")</f>
        <v>-1</v>
      </c>
    </row>
    <row r="64" spans="1:26" s="20" customFormat="1" x14ac:dyDescent="0.55000000000000004">
      <c r="C64" s="22" t="s">
        <v>25</v>
      </c>
      <c r="D64" s="22"/>
      <c r="E64" s="45"/>
      <c r="F64" s="45"/>
      <c r="G64" s="22"/>
      <c r="H64" s="151"/>
      <c r="I64" s="151">
        <f t="shared" ref="I64" si="2">IFERROR(I63/H63-1,"n.a.")</f>
        <v>2.0450819513790686E-2</v>
      </c>
      <c r="J64" s="152">
        <f>IFERROR(J63/I63-1,"n.a.")</f>
        <v>1.4553678362698719E-2</v>
      </c>
      <c r="K64" s="151">
        <f t="shared" ref="K64" si="3">IFERROR(K63/J63-1,"n.a.")</f>
        <v>-1</v>
      </c>
      <c r="L64" s="151" t="str">
        <f t="shared" ref="L64" si="4">IFERROR(L63/K63-1,"n.a.")</f>
        <v>n.a.</v>
      </c>
      <c r="M64" s="151" t="str">
        <f t="shared" ref="M64" si="5">IFERROR(M63/L63-1,"n.a.")</f>
        <v>n.a.</v>
      </c>
      <c r="N64" s="151" t="str">
        <f>IFERROR(N63/M63-1,"n.a.")</f>
        <v>n.a.</v>
      </c>
      <c r="O64" s="151" t="str">
        <f t="shared" ref="O64" si="6">IFERROR(O63/N63-1,"n.a.")</f>
        <v>n.a.</v>
      </c>
      <c r="P64"/>
      <c r="Q64" s="30"/>
      <c r="R64" s="30"/>
    </row>
    <row r="65" spans="1:28" x14ac:dyDescent="0.55000000000000004">
      <c r="A65" s="12"/>
      <c r="B65" s="12"/>
      <c r="C65" s="47"/>
      <c r="D65" s="47"/>
      <c r="E65" s="47"/>
      <c r="F65" s="47"/>
      <c r="G65" s="12"/>
      <c r="H65"/>
      <c r="I65" s="14"/>
      <c r="J65" s="15"/>
      <c r="K65" s="14"/>
      <c r="L65" s="14"/>
      <c r="M65" s="14"/>
      <c r="N65" s="14"/>
      <c r="O65" s="14"/>
      <c r="R65"/>
    </row>
    <row r="66" spans="1:28" s="23" customFormat="1" x14ac:dyDescent="0.55000000000000004">
      <c r="C66" s="153" t="s">
        <v>26</v>
      </c>
      <c r="D66" s="46"/>
      <c r="E66" s="46"/>
      <c r="F66" s="46"/>
      <c r="H66" s="55">
        <v>-55894.1</v>
      </c>
      <c r="I66" s="55">
        <v>-57192</v>
      </c>
      <c r="J66" s="137">
        <v>-58135.3</v>
      </c>
      <c r="K66" s="193"/>
      <c r="L66" s="193"/>
      <c r="M66" s="193"/>
      <c r="N66" s="193"/>
      <c r="O66" s="193"/>
      <c r="P66"/>
      <c r="Q66" s="150">
        <f>IFERROR((J66/H66)^0.5-1,"n.a.")</f>
        <v>1.9851584959976742E-2</v>
      </c>
      <c r="R66" s="150">
        <f>IFERROR((O66/J66)^(1/5)-1,"n.a.")</f>
        <v>-1</v>
      </c>
      <c r="T66" s="25" t="s">
        <v>100</v>
      </c>
      <c r="W66"/>
      <c r="X66"/>
      <c r="Y66"/>
      <c r="Z66"/>
      <c r="AA66"/>
      <c r="AB66"/>
    </row>
    <row r="67" spans="1:28" s="23" customFormat="1" x14ac:dyDescent="0.55000000000000004">
      <c r="H67" s="32"/>
      <c r="I67" s="32"/>
      <c r="J67" s="44">
        <f>+J66/J63</f>
        <v>-0.72315772058777794</v>
      </c>
      <c r="K67" s="2"/>
      <c r="L67" s="2"/>
      <c r="M67" s="2"/>
      <c r="N67" s="2"/>
      <c r="O67" s="2"/>
      <c r="P67"/>
      <c r="Q67"/>
      <c r="R67"/>
      <c r="W67"/>
      <c r="X67"/>
      <c r="Y67"/>
      <c r="Z67"/>
      <c r="AA67"/>
      <c r="AB67"/>
    </row>
    <row r="68" spans="1:28" s="23" customFormat="1" x14ac:dyDescent="0.55000000000000004">
      <c r="A68" s="25"/>
      <c r="B68" s="25"/>
      <c r="C68" s="96" t="s">
        <v>5</v>
      </c>
      <c r="D68" s="24"/>
      <c r="E68" s="24"/>
      <c r="F68" s="24"/>
      <c r="G68"/>
      <c r="H68" s="59">
        <f t="shared" ref="H68:O68" si="7">+H63+H66</f>
        <v>21755.600000000013</v>
      </c>
      <c r="I68" s="59">
        <f t="shared" si="7"/>
        <v>22045.699999999997</v>
      </c>
      <c r="J68" s="60">
        <f t="shared" si="7"/>
        <v>22255.600000000006</v>
      </c>
      <c r="K68" s="59">
        <f t="shared" si="7"/>
        <v>0</v>
      </c>
      <c r="L68" s="59">
        <f t="shared" si="7"/>
        <v>0</v>
      </c>
      <c r="M68" s="59">
        <f t="shared" si="7"/>
        <v>0</v>
      </c>
      <c r="N68" s="59">
        <f t="shared" si="7"/>
        <v>0</v>
      </c>
      <c r="O68" s="59">
        <f t="shared" si="7"/>
        <v>0</v>
      </c>
      <c r="P68"/>
      <c r="Q68" s="95">
        <f>IFERROR((J68/H68)^0.5-1,"n.a.")</f>
        <v>1.1426017260300902E-2</v>
      </c>
      <c r="R68" s="95">
        <f>IFERROR((O68/J68)^(1/5)-1,"n.a.")</f>
        <v>-1</v>
      </c>
      <c r="W68"/>
      <c r="X68"/>
      <c r="Y68"/>
      <c r="Z68"/>
      <c r="AA68"/>
      <c r="AB68"/>
    </row>
    <row r="69" spans="1:28" s="20" customFormat="1" x14ac:dyDescent="0.55000000000000004">
      <c r="C69" s="22" t="s">
        <v>13</v>
      </c>
      <c r="D69" s="22"/>
      <c r="E69" s="45"/>
      <c r="F69" s="45"/>
      <c r="G69" s="22"/>
      <c r="H69" s="151">
        <f t="shared" ref="H69:O69" si="8">+H68/H63</f>
        <v>0.28017622733893383</v>
      </c>
      <c r="I69" s="151">
        <f t="shared" si="8"/>
        <v>0.27822236132548012</v>
      </c>
      <c r="J69" s="152">
        <f t="shared" si="8"/>
        <v>0.27684227941222206</v>
      </c>
      <c r="K69" s="151" t="e">
        <f t="shared" si="8"/>
        <v>#DIV/0!</v>
      </c>
      <c r="L69" s="151" t="e">
        <f t="shared" si="8"/>
        <v>#DIV/0!</v>
      </c>
      <c r="M69" s="151" t="e">
        <f t="shared" si="8"/>
        <v>#DIV/0!</v>
      </c>
      <c r="N69" s="151" t="e">
        <f t="shared" si="8"/>
        <v>#DIV/0!</v>
      </c>
      <c r="O69" s="151" t="e">
        <f t="shared" si="8"/>
        <v>#DIV/0!</v>
      </c>
      <c r="P69"/>
      <c r="Q69" s="30"/>
      <c r="R69" s="30"/>
      <c r="W69"/>
      <c r="X69"/>
      <c r="Y69"/>
      <c r="Z69"/>
      <c r="AA69"/>
      <c r="AB69"/>
    </row>
    <row r="70" spans="1:28" x14ac:dyDescent="0.55000000000000004">
      <c r="A70" s="12"/>
      <c r="B70" s="12"/>
      <c r="C70" s="57"/>
      <c r="D70" s="47"/>
      <c r="E70" s="47"/>
      <c r="F70" s="47"/>
      <c r="G70" s="12"/>
      <c r="H70" s="14"/>
      <c r="I70" s="14"/>
      <c r="J70" s="15"/>
      <c r="K70" s="14"/>
      <c r="L70" s="14"/>
      <c r="M70" s="14"/>
      <c r="N70" s="14"/>
      <c r="O70" s="14"/>
      <c r="R70"/>
    </row>
    <row r="71" spans="1:28" s="23" customFormat="1" x14ac:dyDescent="0.55000000000000004">
      <c r="C71" s="48" t="s">
        <v>90</v>
      </c>
      <c r="D71" s="46"/>
      <c r="E71" s="46"/>
      <c r="F71" s="46"/>
      <c r="G71"/>
      <c r="H71" s="55">
        <v>-19596</v>
      </c>
      <c r="I71" s="55">
        <v>-19932.900000000001</v>
      </c>
      <c r="J71" s="137">
        <v>-20613.7</v>
      </c>
      <c r="K71" s="19">
        <f>K72*K$63</f>
        <v>0</v>
      </c>
      <c r="L71" s="19">
        <f>L72*L$63</f>
        <v>0</v>
      </c>
      <c r="M71" s="19">
        <f>M72*M$63</f>
        <v>0</v>
      </c>
      <c r="N71" s="19">
        <f>N72*N$63</f>
        <v>0</v>
      </c>
      <c r="O71" s="19">
        <f>O72*O$63</f>
        <v>0</v>
      </c>
      <c r="P71"/>
      <c r="Q71" s="150">
        <f>IFERROR((J71/H71)^0.5-1,"n.a.")</f>
        <v>2.5638371053452236E-2</v>
      </c>
      <c r="R71" s="150">
        <f>IFERROR((O71/J71)^(1/5)-1,"n.a.")</f>
        <v>-1</v>
      </c>
    </row>
    <row r="72" spans="1:28" s="21" customFormat="1" x14ac:dyDescent="0.55000000000000004">
      <c r="A72" s="20"/>
      <c r="B72" s="20"/>
      <c r="C72" s="22" t="str">
        <f>+"% of revenues: "&amp;CHOOSE($K$16,C73,C74)</f>
        <v>% of revenues: Base Case</v>
      </c>
      <c r="D72" s="45"/>
      <c r="E72" s="45"/>
      <c r="F72" s="45"/>
      <c r="G72"/>
      <c r="H72" s="151">
        <f>H71/H$63</f>
        <v>-0.25236414306816379</v>
      </c>
      <c r="I72" s="151">
        <f>I71/I$63</f>
        <v>-0.25155828601789304</v>
      </c>
      <c r="J72" s="152">
        <f>J71/J$63</f>
        <v>-0.25641832595480335</v>
      </c>
      <c r="K72" s="151">
        <f>+CHOOSE($K$16,K73,K74)</f>
        <v>0</v>
      </c>
      <c r="L72" s="151">
        <f>+CHOOSE($K$16,L73,L74)</f>
        <v>0</v>
      </c>
      <c r="M72" s="151">
        <f>+CHOOSE($K$16,M73,M74)</f>
        <v>0</v>
      </c>
      <c r="N72" s="151">
        <f>+CHOOSE($K$16,N73,N74)</f>
        <v>0</v>
      </c>
      <c r="O72" s="151">
        <f>+CHOOSE($K$16,O73,O74)</f>
        <v>0</v>
      </c>
      <c r="P72"/>
      <c r="Q72" s="30"/>
      <c r="R72" s="30"/>
    </row>
    <row r="73" spans="1:28" s="21" customFormat="1" x14ac:dyDescent="0.55000000000000004">
      <c r="A73" s="20"/>
      <c r="B73" s="20"/>
      <c r="C73" s="148" t="s">
        <v>6</v>
      </c>
      <c r="D73" s="149"/>
      <c r="E73" s="149"/>
      <c r="F73" s="149"/>
      <c r="G73"/>
      <c r="H73" s="30"/>
      <c r="I73" s="30"/>
      <c r="J73" s="31"/>
      <c r="K73" s="98"/>
      <c r="L73" s="98"/>
      <c r="M73" s="98"/>
      <c r="N73" s="98"/>
      <c r="O73" s="98"/>
      <c r="P73"/>
      <c r="Q73" s="30"/>
      <c r="R73" s="30"/>
      <c r="T73" s="25" t="s">
        <v>99</v>
      </c>
    </row>
    <row r="74" spans="1:28" s="21" customFormat="1" x14ac:dyDescent="0.55000000000000004">
      <c r="A74" s="20"/>
      <c r="B74" s="20"/>
      <c r="C74" s="148" t="s">
        <v>7</v>
      </c>
      <c r="D74" s="149"/>
      <c r="E74" s="149"/>
      <c r="F74" s="149"/>
      <c r="G74"/>
      <c r="H74" s="30"/>
      <c r="I74" s="30"/>
      <c r="J74" s="31"/>
      <c r="K74" s="98"/>
      <c r="L74" s="98"/>
      <c r="M74" s="98"/>
      <c r="N74" s="98"/>
      <c r="O74" s="98"/>
      <c r="P74"/>
      <c r="Q74" s="30"/>
      <c r="R74" s="30"/>
      <c r="T74" s="25" t="s">
        <v>99</v>
      </c>
    </row>
    <row r="75" spans="1:28" x14ac:dyDescent="0.55000000000000004">
      <c r="C75" s="17"/>
      <c r="H75" s="11"/>
      <c r="I75" s="11"/>
      <c r="J75" s="13"/>
      <c r="K75" s="11"/>
      <c r="L75" s="11"/>
      <c r="M75" s="11"/>
      <c r="N75" s="11"/>
      <c r="O75" s="11"/>
      <c r="R75"/>
    </row>
    <row r="76" spans="1:28" s="23" customFormat="1" x14ac:dyDescent="0.55000000000000004">
      <c r="A76" s="25"/>
      <c r="B76" s="25"/>
      <c r="C76" s="96" t="s">
        <v>106</v>
      </c>
      <c r="D76" s="24"/>
      <c r="E76" s="24"/>
      <c r="F76" s="24"/>
      <c r="G76"/>
      <c r="H76" s="59">
        <f>+H68+H71</f>
        <v>2159.6000000000131</v>
      </c>
      <c r="I76" s="59">
        <f t="shared" ref="I76:O76" si="9">+I68+I71</f>
        <v>2112.7999999999956</v>
      </c>
      <c r="J76" s="59">
        <f t="shared" si="9"/>
        <v>1641.9000000000051</v>
      </c>
      <c r="K76" s="59">
        <f t="shared" si="9"/>
        <v>0</v>
      </c>
      <c r="L76" s="59">
        <f t="shared" si="9"/>
        <v>0</v>
      </c>
      <c r="M76" s="59">
        <f t="shared" si="9"/>
        <v>0</v>
      </c>
      <c r="N76" s="59">
        <f t="shared" si="9"/>
        <v>0</v>
      </c>
      <c r="O76" s="59">
        <f t="shared" si="9"/>
        <v>0</v>
      </c>
      <c r="P76"/>
      <c r="Q76" s="95">
        <f>IFERROR((J76/H76)^0.5-1,"n.a.")</f>
        <v>-0.12805981774981645</v>
      </c>
      <c r="R76" s="95">
        <f>IFERROR((O76/J76)^(1/5)-1,"n.a.")</f>
        <v>-1</v>
      </c>
    </row>
    <row r="77" spans="1:28" s="21" customFormat="1" x14ac:dyDescent="0.55000000000000004">
      <c r="A77" s="20"/>
      <c r="B77" s="20"/>
      <c r="C77" s="22" t="s">
        <v>14</v>
      </c>
      <c r="D77" s="45"/>
      <c r="E77" s="45"/>
      <c r="F77" s="45"/>
      <c r="G77"/>
      <c r="H77" s="151">
        <f t="shared" ref="H77:M77" si="10">H76/H$63</f>
        <v>2.7812084270770046E-2</v>
      </c>
      <c r="I77" s="151">
        <f t="shared" si="10"/>
        <v>2.6664075307587118E-2</v>
      </c>
      <c r="J77" s="152">
        <f t="shared" si="10"/>
        <v>2.042395345741875E-2</v>
      </c>
      <c r="K77" s="151" t="e">
        <f t="shared" si="10"/>
        <v>#DIV/0!</v>
      </c>
      <c r="L77" s="151" t="e">
        <f t="shared" si="10"/>
        <v>#DIV/0!</v>
      </c>
      <c r="M77" s="151" t="e">
        <f t="shared" si="10"/>
        <v>#DIV/0!</v>
      </c>
      <c r="N77" s="151" t="e">
        <f>N76/N$63</f>
        <v>#DIV/0!</v>
      </c>
      <c r="O77" s="151" t="e">
        <f>O76/O$63</f>
        <v>#DIV/0!</v>
      </c>
      <c r="P77"/>
      <c r="Q77" s="30"/>
      <c r="R77" s="30"/>
    </row>
    <row r="78" spans="1:28" s="21" customFormat="1" x14ac:dyDescent="0.55000000000000004">
      <c r="A78" s="20"/>
      <c r="B78" s="20"/>
      <c r="C78" s="22" t="s">
        <v>25</v>
      </c>
      <c r="D78" s="45"/>
      <c r="E78" s="45"/>
      <c r="F78" s="45"/>
      <c r="G78"/>
      <c r="H78" s="151"/>
      <c r="I78" s="151">
        <f t="shared" ref="I78" si="11">IFERROR(I77/H77-1,"n.a.")</f>
        <v>-4.1277343762022967E-2</v>
      </c>
      <c r="J78" s="152">
        <f>IFERROR(J77/I77-1,"n.a.")</f>
        <v>-0.2340273112112301</v>
      </c>
      <c r="K78" s="151" t="str">
        <f t="shared" ref="K78" si="12">IFERROR(K77/J77-1,"n.a.")</f>
        <v>n.a.</v>
      </c>
      <c r="L78" s="151" t="str">
        <f t="shared" ref="L78" si="13">IFERROR(L77/K77-1,"n.a.")</f>
        <v>n.a.</v>
      </c>
      <c r="M78" s="151" t="str">
        <f t="shared" ref="M78" si="14">IFERROR(M77/L77-1,"n.a.")</f>
        <v>n.a.</v>
      </c>
      <c r="N78" s="151" t="str">
        <f>IFERROR(N77/M77-1,"n.a.")</f>
        <v>n.a.</v>
      </c>
      <c r="O78" s="151" t="str">
        <f t="shared" ref="O78" si="15">IFERROR(O77/N77-1,"n.a.")</f>
        <v>n.a.</v>
      </c>
      <c r="P78"/>
      <c r="Q78" s="30"/>
      <c r="R78" s="30"/>
    </row>
    <row r="79" spans="1:28" x14ac:dyDescent="0.55000000000000004">
      <c r="A79" s="12"/>
      <c r="B79" s="12"/>
      <c r="C79" s="57"/>
      <c r="D79" s="47"/>
      <c r="E79" s="47"/>
      <c r="F79" s="47"/>
      <c r="G79" s="12"/>
      <c r="H79" s="14"/>
      <c r="I79" s="14"/>
      <c r="J79" s="15"/>
      <c r="K79" s="14"/>
      <c r="L79" s="14"/>
      <c r="M79" s="14"/>
      <c r="N79" s="14"/>
      <c r="O79" s="14"/>
      <c r="R79"/>
    </row>
    <row r="80" spans="1:28" s="23" customFormat="1" x14ac:dyDescent="0.55000000000000004">
      <c r="C80" s="48" t="s">
        <v>0</v>
      </c>
      <c r="D80" s="46"/>
      <c r="E80" s="46"/>
      <c r="F80" s="46"/>
      <c r="H80" s="55">
        <v>1807.1</v>
      </c>
      <c r="I80" s="55">
        <v>1779</v>
      </c>
      <c r="J80" s="137">
        <v>1817.9</v>
      </c>
      <c r="K80" s="19">
        <f>K81*K63</f>
        <v>0</v>
      </c>
      <c r="L80" s="19">
        <f>L81*L63</f>
        <v>0</v>
      </c>
      <c r="M80" s="19">
        <f>M81*M63</f>
        <v>0</v>
      </c>
      <c r="N80" s="19">
        <f>N81*N63</f>
        <v>0</v>
      </c>
      <c r="O80" s="19">
        <f>O81*O63</f>
        <v>0</v>
      </c>
      <c r="Q80" s="150">
        <f>IFERROR((J80/H80)^0.5-1,"n.a.")</f>
        <v>2.9837617421384355E-3</v>
      </c>
      <c r="R80" s="150">
        <f>IFERROR((O80/J80)^(1/5)-1,"n.a.")</f>
        <v>-1</v>
      </c>
    </row>
    <row r="81" spans="1:20" s="21" customFormat="1" x14ac:dyDescent="0.55000000000000004">
      <c r="A81" s="20"/>
      <c r="B81" s="20"/>
      <c r="C81" s="22" t="str">
        <f>+"% of revenues: "&amp;CHOOSE($K$16,C82,C83)</f>
        <v>% of revenues: Base Case</v>
      </c>
      <c r="D81" s="45"/>
      <c r="E81" s="45"/>
      <c r="F81" s="45"/>
      <c r="G81"/>
      <c r="H81" s="151">
        <f>H80/H$63</f>
        <v>2.3272465959301835E-2</v>
      </c>
      <c r="I81" s="151">
        <f>I80/I$63</f>
        <v>2.2451434102706162E-2</v>
      </c>
      <c r="J81" s="152">
        <f>J80/J$63</f>
        <v>2.2613255977977604E-2</v>
      </c>
      <c r="K81" s="151">
        <f>+CHOOSE($K$16,K82,K83)</f>
        <v>0</v>
      </c>
      <c r="L81" s="151">
        <f>+CHOOSE($K$16,L82,L83)</f>
        <v>0</v>
      </c>
      <c r="M81" s="151">
        <f>+CHOOSE($K$16,M82,M83)</f>
        <v>0</v>
      </c>
      <c r="N81" s="151">
        <f>+CHOOSE($K$16,N82,N83)</f>
        <v>0</v>
      </c>
      <c r="O81" s="151">
        <f>+CHOOSE($K$16,O82,O83)</f>
        <v>0</v>
      </c>
      <c r="P81"/>
      <c r="Q81" s="30"/>
      <c r="R81" s="30"/>
    </row>
    <row r="82" spans="1:20" s="21" customFormat="1" x14ac:dyDescent="0.55000000000000004">
      <c r="C82" s="22" t="s">
        <v>6</v>
      </c>
      <c r="D82" s="149"/>
      <c r="E82" s="149"/>
      <c r="F82" s="149"/>
      <c r="G82" s="20"/>
      <c r="H82" s="30"/>
      <c r="I82" s="30"/>
      <c r="J82" s="31"/>
      <c r="K82" s="98"/>
      <c r="L82" s="98"/>
      <c r="M82" s="98"/>
      <c r="N82" s="98"/>
      <c r="O82" s="98"/>
      <c r="P82"/>
      <c r="Q82" s="30"/>
      <c r="R82" s="30"/>
      <c r="T82" s="25" t="s">
        <v>99</v>
      </c>
    </row>
    <row r="83" spans="1:20" s="21" customFormat="1" x14ac:dyDescent="0.55000000000000004">
      <c r="C83" s="22" t="s">
        <v>7</v>
      </c>
      <c r="D83" s="149"/>
      <c r="E83" s="149"/>
      <c r="F83" s="149"/>
      <c r="G83" s="20"/>
      <c r="H83" s="30"/>
      <c r="I83" s="30"/>
      <c r="J83" s="31"/>
      <c r="K83" s="98"/>
      <c r="L83" s="98"/>
      <c r="M83" s="98"/>
      <c r="N83" s="98"/>
      <c r="O83" s="98"/>
      <c r="P83"/>
      <c r="Q83" s="30"/>
      <c r="R83" s="30"/>
      <c r="T83" s="25" t="s">
        <v>99</v>
      </c>
    </row>
    <row r="84" spans="1:20" x14ac:dyDescent="0.55000000000000004">
      <c r="A84" s="12"/>
      <c r="B84" s="12"/>
      <c r="C84" s="57"/>
      <c r="D84" s="47"/>
      <c r="E84" s="47"/>
      <c r="F84" s="47"/>
      <c r="G84" s="12"/>
      <c r="H84" s="14"/>
      <c r="I84" s="14"/>
      <c r="J84" s="15"/>
      <c r="K84" s="14"/>
      <c r="L84" s="14"/>
      <c r="M84" s="14"/>
      <c r="N84" s="14"/>
      <c r="O84" s="14"/>
      <c r="R84"/>
    </row>
    <row r="85" spans="1:20" s="23" customFormat="1" x14ac:dyDescent="0.55000000000000004">
      <c r="A85" s="25"/>
      <c r="B85" s="25"/>
      <c r="C85" s="121" t="s">
        <v>107</v>
      </c>
      <c r="D85" s="26"/>
      <c r="E85" s="26"/>
      <c r="F85" s="26"/>
      <c r="G85"/>
      <c r="H85" s="62">
        <f t="shared" ref="H85:O85" si="16">+H76+H80</f>
        <v>3966.700000000013</v>
      </c>
      <c r="I85" s="62">
        <f t="shared" si="16"/>
        <v>3891.7999999999956</v>
      </c>
      <c r="J85" s="154">
        <f t="shared" si="16"/>
        <v>3459.8000000000052</v>
      </c>
      <c r="K85" s="62">
        <f t="shared" si="16"/>
        <v>0</v>
      </c>
      <c r="L85" s="62">
        <f t="shared" si="16"/>
        <v>0</v>
      </c>
      <c r="M85" s="62">
        <f t="shared" si="16"/>
        <v>0</v>
      </c>
      <c r="N85" s="62">
        <f t="shared" si="16"/>
        <v>0</v>
      </c>
      <c r="O85" s="62">
        <f t="shared" si="16"/>
        <v>0</v>
      </c>
      <c r="P85"/>
      <c r="Q85" s="157">
        <f>IFERROR((J85/H85)^0.5-1,"n.a.")</f>
        <v>-6.60775418218984E-2</v>
      </c>
      <c r="R85" s="157">
        <f>IFERROR((O85/J85)^(1/5)-1,"n.a.")</f>
        <v>-1</v>
      </c>
    </row>
    <row r="86" spans="1:20" s="100" customFormat="1" x14ac:dyDescent="0.55000000000000004">
      <c r="A86" s="99"/>
      <c r="B86" s="99"/>
      <c r="C86" s="155" t="s">
        <v>14</v>
      </c>
      <c r="D86" s="156"/>
      <c r="E86" s="156"/>
      <c r="F86" s="156"/>
      <c r="H86" s="151">
        <f t="shared" ref="H86:O86" si="17">H85/H$63</f>
        <v>5.1084550230071878E-2</v>
      </c>
      <c r="I86" s="151">
        <f t="shared" si="17"/>
        <v>4.911550941029328E-2</v>
      </c>
      <c r="J86" s="152">
        <f t="shared" si="17"/>
        <v>4.3037209435396358E-2</v>
      </c>
      <c r="K86" s="151" t="e">
        <f t="shared" si="17"/>
        <v>#DIV/0!</v>
      </c>
      <c r="L86" s="151" t="e">
        <f t="shared" si="17"/>
        <v>#DIV/0!</v>
      </c>
      <c r="M86" s="151" t="e">
        <f t="shared" si="17"/>
        <v>#DIV/0!</v>
      </c>
      <c r="N86" s="151" t="e">
        <f t="shared" si="17"/>
        <v>#DIV/0!</v>
      </c>
      <c r="O86" s="151" t="e">
        <f t="shared" si="17"/>
        <v>#DIV/0!</v>
      </c>
      <c r="Q86" s="101"/>
      <c r="R86" s="101"/>
    </row>
    <row r="87" spans="1:20" s="100" customFormat="1" x14ac:dyDescent="0.55000000000000004">
      <c r="A87" s="99"/>
      <c r="B87" s="99"/>
      <c r="C87" s="155" t="s">
        <v>25</v>
      </c>
      <c r="D87" s="156"/>
      <c r="E87" s="156"/>
      <c r="F87" s="156"/>
      <c r="H87" s="151"/>
      <c r="I87" s="151">
        <f>IFERROR(I85/H85-1,"n.a.")</f>
        <v>-1.8882194267279329E-2</v>
      </c>
      <c r="J87" s="152">
        <f t="shared" ref="J87:O87" si="18">IFERROR(J85/I85-1,"n.a.")</f>
        <v>-0.11100262089521329</v>
      </c>
      <c r="K87" s="151">
        <f t="shared" si="18"/>
        <v>-1</v>
      </c>
      <c r="L87" s="151" t="str">
        <f t="shared" si="18"/>
        <v>n.a.</v>
      </c>
      <c r="M87" s="151" t="str">
        <f t="shared" si="18"/>
        <v>n.a.</v>
      </c>
      <c r="N87" s="151" t="str">
        <f t="shared" si="18"/>
        <v>n.a.</v>
      </c>
      <c r="O87" s="151" t="str">
        <f t="shared" si="18"/>
        <v>n.a.</v>
      </c>
      <c r="Q87" s="101"/>
      <c r="R87" s="101"/>
    </row>
    <row r="88" spans="1:20" x14ac:dyDescent="0.55000000000000004">
      <c r="C88" s="17"/>
      <c r="D88" s="17"/>
      <c r="E88" s="17"/>
      <c r="F88" s="17"/>
      <c r="G88" s="17"/>
      <c r="H88" s="11"/>
      <c r="I88" s="11"/>
      <c r="J88" s="13"/>
      <c r="K88" s="11"/>
      <c r="L88" s="11"/>
      <c r="M88" s="11"/>
      <c r="N88" s="11"/>
      <c r="O88" s="11"/>
      <c r="R88" s="11"/>
    </row>
    <row r="89" spans="1:20" x14ac:dyDescent="0.55000000000000004">
      <c r="C89" s="170" t="s">
        <v>20</v>
      </c>
      <c r="D89" s="170"/>
      <c r="E89" s="170"/>
      <c r="F89" s="170"/>
      <c r="G89" s="170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</row>
    <row r="90" spans="1:20" ht="5.0999999999999996" customHeight="1" x14ac:dyDescent="0.55000000000000004">
      <c r="H90" s="11"/>
      <c r="I90" s="11"/>
      <c r="J90" s="13"/>
      <c r="K90" s="11"/>
      <c r="L90" s="11"/>
      <c r="M90" s="11"/>
      <c r="N90" s="11"/>
      <c r="O90" s="11"/>
      <c r="R90" s="11"/>
    </row>
    <row r="91" spans="1:20" s="3" customFormat="1" x14ac:dyDescent="0.55000000000000004">
      <c r="C91" s="3" t="s">
        <v>33</v>
      </c>
      <c r="G91"/>
      <c r="H91" s="72">
        <f>+H85</f>
        <v>3966.700000000013</v>
      </c>
      <c r="I91" s="72">
        <f t="shared" ref="I91:O91" si="19">+I85</f>
        <v>3891.7999999999956</v>
      </c>
      <c r="J91" s="61">
        <f t="shared" si="19"/>
        <v>3459.8000000000052</v>
      </c>
      <c r="K91" s="72">
        <f t="shared" si="19"/>
        <v>0</v>
      </c>
      <c r="L91" s="72">
        <f t="shared" si="19"/>
        <v>0</v>
      </c>
      <c r="M91" s="72">
        <f t="shared" si="19"/>
        <v>0</v>
      </c>
      <c r="N91" s="72">
        <f t="shared" si="19"/>
        <v>0</v>
      </c>
      <c r="O91" s="72">
        <f t="shared" si="19"/>
        <v>0</v>
      </c>
      <c r="P91"/>
      <c r="Q91" s="158">
        <f>IFERROR((J91/H91)^0.5-1,"n.a.")</f>
        <v>-6.60775418218984E-2</v>
      </c>
      <c r="R91" s="158">
        <f>IFERROR((O91/J91)^(1/5)-1,"n.a.")</f>
        <v>-1</v>
      </c>
    </row>
    <row r="92" spans="1:20" s="3" customFormat="1" x14ac:dyDescent="0.55000000000000004">
      <c r="H92" s="52"/>
      <c r="I92" s="52"/>
      <c r="J92" s="53"/>
      <c r="K92" s="52"/>
      <c r="L92" s="52"/>
      <c r="M92" s="52"/>
      <c r="N92" s="52"/>
      <c r="O92" s="52"/>
      <c r="P92"/>
      <c r="Q92"/>
      <c r="R92"/>
    </row>
    <row r="93" spans="1:20" x14ac:dyDescent="0.55000000000000004">
      <c r="C93" s="147" t="s">
        <v>3</v>
      </c>
      <c r="D93" s="17"/>
      <c r="E93" s="17"/>
      <c r="F93" s="17"/>
      <c r="H93" s="55">
        <v>-2153.9</v>
      </c>
      <c r="I93" s="55">
        <v>-2031.3</v>
      </c>
      <c r="J93" s="137">
        <v>-1931.2</v>
      </c>
      <c r="K93" s="19">
        <f>K94*K63</f>
        <v>0</v>
      </c>
      <c r="L93" s="19">
        <f>L94*L63</f>
        <v>0</v>
      </c>
      <c r="M93" s="19">
        <f>M94*M63</f>
        <v>0</v>
      </c>
      <c r="N93" s="19">
        <f>N94*N63</f>
        <v>0</v>
      </c>
      <c r="O93" s="19">
        <f>O94*O63</f>
        <v>0</v>
      </c>
      <c r="Q93" s="101"/>
      <c r="R93" s="101"/>
    </row>
    <row r="94" spans="1:20" s="100" customFormat="1" x14ac:dyDescent="0.55000000000000004">
      <c r="C94" s="159" t="str">
        <f>+"% of revenues: "&amp;CHOOSE($K$16,C95,C96)</f>
        <v>% of revenues: Base Case</v>
      </c>
      <c r="D94" s="156"/>
      <c r="E94" s="156"/>
      <c r="F94" s="156"/>
      <c r="G94" s="99"/>
      <c r="H94" s="151">
        <f t="shared" ref="H94" si="20">H93/H$63</f>
        <v>-2.7738677676797201E-2</v>
      </c>
      <c r="I94" s="151">
        <f>I93/I$63</f>
        <v>-2.5635524504118622E-2</v>
      </c>
      <c r="J94" s="152">
        <f>J93/J$63</f>
        <v>-2.4022619475587408E-2</v>
      </c>
      <c r="K94" s="151">
        <f>+CHOOSE($K$16,K95,K96)</f>
        <v>0</v>
      </c>
      <c r="L94" s="151">
        <f>+CHOOSE($K$16,L95,L96)</f>
        <v>0</v>
      </c>
      <c r="M94" s="151">
        <f>+CHOOSE($K$16,M95,M96)</f>
        <v>0</v>
      </c>
      <c r="N94" s="151">
        <f>+CHOOSE($K$16,N95,N96)</f>
        <v>0</v>
      </c>
      <c r="O94" s="151">
        <f>+CHOOSE($K$16,O95,O96)</f>
        <v>0</v>
      </c>
      <c r="Q94" s="101"/>
      <c r="R94" s="101"/>
    </row>
    <row r="95" spans="1:20" s="100" customFormat="1" x14ac:dyDescent="0.55000000000000004">
      <c r="C95" s="155" t="s">
        <v>6</v>
      </c>
      <c r="D95" s="160"/>
      <c r="E95" s="160"/>
      <c r="F95" s="160"/>
      <c r="G95" s="99"/>
      <c r="H95" s="101"/>
      <c r="I95" s="101"/>
      <c r="J95" s="102"/>
      <c r="K95" s="98"/>
      <c r="L95" s="98"/>
      <c r="M95" s="98"/>
      <c r="N95" s="98"/>
      <c r="O95" s="98"/>
      <c r="Q95" s="101"/>
      <c r="R95" s="101"/>
      <c r="T95" s="25" t="s">
        <v>99</v>
      </c>
    </row>
    <row r="96" spans="1:20" s="100" customFormat="1" x14ac:dyDescent="0.55000000000000004">
      <c r="C96" s="155" t="s">
        <v>7</v>
      </c>
      <c r="D96" s="160"/>
      <c r="E96" s="160"/>
      <c r="F96" s="160"/>
      <c r="G96" s="99"/>
      <c r="H96" s="101"/>
      <c r="I96" s="101"/>
      <c r="J96" s="102"/>
      <c r="K96" s="98"/>
      <c r="L96" s="98"/>
      <c r="M96" s="98"/>
      <c r="N96" s="98"/>
      <c r="O96" s="98"/>
      <c r="Q96" s="101"/>
      <c r="R96" s="101"/>
      <c r="T96" s="25" t="s">
        <v>99</v>
      </c>
    </row>
    <row r="97" spans="3:20" ht="14.25" customHeight="1" x14ac:dyDescent="0.55000000000000004">
      <c r="I97" s="191"/>
      <c r="J97" s="13"/>
      <c r="K97" s="11"/>
      <c r="L97" s="11"/>
      <c r="M97" s="11"/>
      <c r="N97" s="11"/>
      <c r="O97" s="11"/>
      <c r="Q97" s="2"/>
      <c r="R97"/>
    </row>
    <row r="98" spans="3:20" x14ac:dyDescent="0.55000000000000004">
      <c r="C98" s="147" t="s">
        <v>15</v>
      </c>
      <c r="D98" s="17"/>
      <c r="E98" s="17"/>
      <c r="F98" s="17"/>
      <c r="H98" s="55" t="s">
        <v>79</v>
      </c>
      <c r="I98" s="175">
        <f t="shared" ref="I98:J98" si="21">-(I116-H116)</f>
        <v>-154.89999999999964</v>
      </c>
      <c r="J98" s="176">
        <f t="shared" si="21"/>
        <v>-279.70000000000073</v>
      </c>
      <c r="K98" s="19">
        <f>-(K116-J116)</f>
        <v>1731.1000000000004</v>
      </c>
      <c r="L98" s="19">
        <f t="shared" ref="L98:O98" si="22">-(L116-K116)</f>
        <v>0</v>
      </c>
      <c r="M98" s="19">
        <f t="shared" si="22"/>
        <v>0</v>
      </c>
      <c r="N98" s="19">
        <f t="shared" si="22"/>
        <v>0</v>
      </c>
      <c r="O98" s="19">
        <f t="shared" si="22"/>
        <v>0</v>
      </c>
      <c r="Q98" s="101"/>
      <c r="R98" s="101"/>
    </row>
    <row r="99" spans="3:20" x14ac:dyDescent="0.55000000000000004">
      <c r="C99" s="147" t="s">
        <v>91</v>
      </c>
      <c r="D99" s="17"/>
      <c r="E99" s="17"/>
      <c r="F99" s="54"/>
      <c r="H99" s="55">
        <v>-220.9</v>
      </c>
      <c r="I99" s="55">
        <v>-405.4</v>
      </c>
      <c r="J99" s="137">
        <v>-168.4</v>
      </c>
      <c r="K99" s="19">
        <f>-$F$99*(K76+K102)</f>
        <v>0</v>
      </c>
      <c r="L99" s="19">
        <f>-$F$99*(L76+L102)</f>
        <v>0</v>
      </c>
      <c r="M99" s="19">
        <f>-$F$99*(M76+M102)</f>
        <v>0</v>
      </c>
      <c r="N99" s="19">
        <f>-$F$99*(N76+N102)</f>
        <v>0</v>
      </c>
      <c r="O99" s="19">
        <f>-$F$99*(O76+O102)</f>
        <v>0</v>
      </c>
      <c r="Q99" s="101"/>
      <c r="R99" s="101"/>
      <c r="T99" s="25" t="s">
        <v>99</v>
      </c>
    </row>
    <row r="100" spans="3:20" x14ac:dyDescent="0.55000000000000004">
      <c r="C100" s="103" t="s">
        <v>63</v>
      </c>
      <c r="D100" s="16"/>
      <c r="E100" s="16"/>
      <c r="F100" s="16"/>
      <c r="H100" s="59">
        <f t="shared" ref="H100:O100" si="23">H91+H93+SUM(H98:H99)</f>
        <v>1591.9000000000128</v>
      </c>
      <c r="I100" s="59">
        <f t="shared" si="23"/>
        <v>1300.1999999999962</v>
      </c>
      <c r="J100" s="60">
        <f t="shared" si="23"/>
        <v>1080.5000000000045</v>
      </c>
      <c r="K100" s="59">
        <f t="shared" si="23"/>
        <v>1731.1000000000004</v>
      </c>
      <c r="L100" s="59">
        <f t="shared" si="23"/>
        <v>0</v>
      </c>
      <c r="M100" s="59">
        <f t="shared" si="23"/>
        <v>0</v>
      </c>
      <c r="N100" s="59">
        <f t="shared" si="23"/>
        <v>0</v>
      </c>
      <c r="O100" s="59">
        <f t="shared" si="23"/>
        <v>0</v>
      </c>
      <c r="Q100" s="104"/>
      <c r="R100" s="104"/>
    </row>
    <row r="101" spans="3:20" ht="14.25" customHeight="1" x14ac:dyDescent="0.55000000000000004">
      <c r="H101" s="11"/>
      <c r="I101" s="11"/>
      <c r="J101" s="13"/>
      <c r="K101" s="11"/>
      <c r="L101" s="11"/>
      <c r="M101" s="11"/>
      <c r="N101" s="11"/>
      <c r="O101" s="11"/>
      <c r="Q101" s="11"/>
      <c r="R101"/>
    </row>
    <row r="102" spans="3:20" s="23" customFormat="1" x14ac:dyDescent="0.55000000000000004">
      <c r="C102" s="56" t="s">
        <v>28</v>
      </c>
      <c r="D102" s="48"/>
      <c r="E102" s="48"/>
      <c r="F102" s="48"/>
      <c r="H102" s="30"/>
      <c r="I102" s="30"/>
      <c r="J102" s="31"/>
      <c r="K102" s="19">
        <f t="shared" ref="K102:O102" si="24">K130</f>
        <v>0</v>
      </c>
      <c r="L102" s="19">
        <f>L130</f>
        <v>0</v>
      </c>
      <c r="M102" s="19">
        <f t="shared" si="24"/>
        <v>0</v>
      </c>
      <c r="N102" s="19">
        <f t="shared" si="24"/>
        <v>0</v>
      </c>
      <c r="O102" s="19">
        <f t="shared" si="24"/>
        <v>0</v>
      </c>
      <c r="P102"/>
      <c r="Q102" s="101"/>
      <c r="R102" s="101"/>
      <c r="T102" s="49"/>
    </row>
    <row r="103" spans="3:20" s="23" customFormat="1" x14ac:dyDescent="0.55000000000000004">
      <c r="C103" s="96" t="s">
        <v>64</v>
      </c>
      <c r="D103" s="24"/>
      <c r="E103" s="24"/>
      <c r="F103" s="24"/>
      <c r="G103"/>
      <c r="H103" s="122"/>
      <c r="I103" s="122"/>
      <c r="J103" s="123"/>
      <c r="K103" s="59">
        <f t="shared" ref="K103:O103" si="25">+K100+K102</f>
        <v>1731.1000000000004</v>
      </c>
      <c r="L103" s="59">
        <f t="shared" si="25"/>
        <v>0</v>
      </c>
      <c r="M103" s="59">
        <f t="shared" si="25"/>
        <v>0</v>
      </c>
      <c r="N103" s="59">
        <f t="shared" si="25"/>
        <v>0</v>
      </c>
      <c r="O103" s="59">
        <f t="shared" si="25"/>
        <v>0</v>
      </c>
      <c r="P103"/>
      <c r="Q103" s="104"/>
      <c r="R103" s="104"/>
    </row>
    <row r="104" spans="3:20" ht="8.1" customHeight="1" x14ac:dyDescent="0.55000000000000004">
      <c r="H104" s="11"/>
      <c r="I104" s="11"/>
      <c r="J104" s="13"/>
      <c r="K104" s="11"/>
      <c r="L104" s="11"/>
      <c r="M104" s="11"/>
      <c r="N104" s="11"/>
      <c r="O104" s="11"/>
      <c r="Q104" s="11"/>
      <c r="R104"/>
    </row>
    <row r="105" spans="3:20" s="23" customFormat="1" x14ac:dyDescent="0.55000000000000004">
      <c r="C105" s="56" t="s">
        <v>21</v>
      </c>
      <c r="D105"/>
      <c r="E105"/>
      <c r="F105" s="146">
        <f>+K11</f>
        <v>0</v>
      </c>
      <c r="H105" s="30"/>
      <c r="I105" s="30"/>
      <c r="J105" s="31"/>
      <c r="K105" s="19">
        <f>-MIN(K103+K126-$F$105,0)</f>
        <v>0</v>
      </c>
      <c r="L105" s="19">
        <f>-MIN(L103+L126-$F$105,0)</f>
        <v>0</v>
      </c>
      <c r="M105" s="19">
        <f>-MIN(M103+M126-$F$105,0)</f>
        <v>0</v>
      </c>
      <c r="N105" s="19">
        <f>-MIN(N103+N126-$F$105,0)</f>
        <v>0</v>
      </c>
      <c r="O105" s="19">
        <f>-MIN(O103+O126-$F$105,0)</f>
        <v>0</v>
      </c>
      <c r="P105"/>
      <c r="Q105" s="101"/>
      <c r="R105" s="101"/>
    </row>
    <row r="106" spans="3:20" s="23" customFormat="1" x14ac:dyDescent="0.55000000000000004">
      <c r="C106" s="56" t="s">
        <v>22</v>
      </c>
      <c r="D106" s="48"/>
      <c r="E106" s="48"/>
      <c r="F106" s="48"/>
      <c r="H106" s="30"/>
      <c r="I106" s="30"/>
      <c r="J106" s="31"/>
      <c r="K106" s="19">
        <f>-MAX(MIN(K103+K105+K126-$F$105,K134),0)</f>
        <v>0</v>
      </c>
      <c r="L106" s="19">
        <f>-MAX(MIN(L103+L105+L126-$F$105,L134),0)</f>
        <v>0</v>
      </c>
      <c r="M106" s="19">
        <f>-MAX(MIN(M103+M105+M126-$F$105,M134),0)</f>
        <v>0</v>
      </c>
      <c r="N106" s="19">
        <f>-MAX(MIN(N103+N105+N126-$F$105,N134),0)</f>
        <v>0</v>
      </c>
      <c r="O106" s="19">
        <f>-MAX(MIN(O103+O105+O126-$F$105,O134),0)</f>
        <v>0</v>
      </c>
      <c r="P106"/>
      <c r="Q106" s="101"/>
      <c r="R106" s="101"/>
    </row>
    <row r="107" spans="3:20" s="23" customFormat="1" x14ac:dyDescent="0.55000000000000004">
      <c r="C107" s="56" t="s">
        <v>29</v>
      </c>
      <c r="D107" s="48"/>
      <c r="E107" s="48"/>
      <c r="F107" s="48"/>
      <c r="H107" s="30"/>
      <c r="I107" s="30"/>
      <c r="J107" s="31"/>
      <c r="K107" s="175">
        <f>K144</f>
        <v>0</v>
      </c>
      <c r="L107" s="175">
        <f t="shared" ref="L107:O107" si="26">L144</f>
        <v>0</v>
      </c>
      <c r="M107" s="175">
        <f t="shared" si="26"/>
        <v>0</v>
      </c>
      <c r="N107" s="175">
        <f t="shared" si="26"/>
        <v>0</v>
      </c>
      <c r="O107" s="175">
        <f t="shared" si="26"/>
        <v>0</v>
      </c>
      <c r="P107"/>
      <c r="Q107" s="101"/>
      <c r="R107" s="101"/>
    </row>
    <row r="108" spans="3:20" s="23" customFormat="1" x14ac:dyDescent="0.55000000000000004">
      <c r="C108" s="96" t="s">
        <v>4</v>
      </c>
      <c r="D108" s="24"/>
      <c r="E108" s="24"/>
      <c r="F108" s="24"/>
      <c r="G108"/>
      <c r="H108" s="122"/>
      <c r="I108" s="122"/>
      <c r="J108" s="123"/>
      <c r="K108" s="59">
        <f>K103+SUM(K105:K107)</f>
        <v>1731.1000000000004</v>
      </c>
      <c r="L108" s="59">
        <f>L103+SUM(L105:L107)</f>
        <v>0</v>
      </c>
      <c r="M108" s="59">
        <f>M103+SUM(M105:M107)</f>
        <v>0</v>
      </c>
      <c r="N108" s="59">
        <f>N103+SUM(N105:N107)</f>
        <v>0</v>
      </c>
      <c r="O108" s="59">
        <f>O103+SUM(O105:O107)</f>
        <v>0</v>
      </c>
      <c r="P108"/>
      <c r="Q108" s="104"/>
      <c r="R108" s="104"/>
    </row>
    <row r="109" spans="3:20" x14ac:dyDescent="0.55000000000000004">
      <c r="H109" s="11"/>
      <c r="I109" s="11"/>
      <c r="J109" s="13"/>
      <c r="K109" s="11"/>
      <c r="L109" s="11"/>
      <c r="M109" s="11"/>
      <c r="N109" s="11"/>
      <c r="O109" s="11"/>
      <c r="R109" s="11"/>
    </row>
    <row r="110" spans="3:20" x14ac:dyDescent="0.55000000000000004">
      <c r="H110" s="11"/>
      <c r="I110" s="11"/>
      <c r="J110" s="13"/>
      <c r="K110" s="11"/>
      <c r="L110" s="11"/>
      <c r="M110" s="11"/>
      <c r="N110" s="11"/>
      <c r="O110" s="11"/>
      <c r="R110" s="11"/>
    </row>
    <row r="111" spans="3:20" x14ac:dyDescent="0.55000000000000004">
      <c r="C111" s="170" t="s">
        <v>73</v>
      </c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3"/>
      <c r="O111" s="173"/>
      <c r="P111" s="173"/>
      <c r="Q111" s="173"/>
      <c r="R111" s="173"/>
    </row>
    <row r="112" spans="3:20" ht="8.1" customHeight="1" x14ac:dyDescent="0.55000000000000004">
      <c r="H112" s="11"/>
      <c r="I112" s="11"/>
      <c r="J112" s="13"/>
      <c r="K112" s="11"/>
      <c r="L112" s="11"/>
      <c r="M112" s="11"/>
      <c r="N112" s="11"/>
      <c r="O112" s="11"/>
      <c r="R112" s="11"/>
    </row>
    <row r="113" spans="3:20" s="23" customFormat="1" x14ac:dyDescent="0.55000000000000004">
      <c r="C113" s="56" t="s">
        <v>56</v>
      </c>
      <c r="D113" s="48"/>
      <c r="E113" s="48"/>
      <c r="F113" s="48"/>
      <c r="H113" s="55">
        <v>4782</v>
      </c>
      <c r="I113" s="55">
        <v>4945.2</v>
      </c>
      <c r="J113" s="137">
        <v>4989</v>
      </c>
      <c r="K113" s="19">
        <f>-K118*K66/365</f>
        <v>0</v>
      </c>
      <c r="L113" s="19">
        <f>-L118*L66/365</f>
        <v>0</v>
      </c>
      <c r="M113" s="19">
        <f>-M118*M66/365</f>
        <v>0</v>
      </c>
      <c r="N113" s="19">
        <f>-N118*N66/365</f>
        <v>0</v>
      </c>
      <c r="O113" s="19">
        <f>-O118*O66/365</f>
        <v>0</v>
      </c>
      <c r="P113"/>
      <c r="Q113" s="101"/>
      <c r="R113" s="101"/>
      <c r="T113" s="49"/>
    </row>
    <row r="114" spans="3:20" s="23" customFormat="1" x14ac:dyDescent="0.55000000000000004">
      <c r="C114" s="56" t="s">
        <v>57</v>
      </c>
      <c r="D114" s="48"/>
      <c r="E114" s="48"/>
      <c r="F114" s="48"/>
      <c r="H114" s="55">
        <v>687.6</v>
      </c>
      <c r="I114" s="55">
        <v>724.4</v>
      </c>
      <c r="J114" s="137">
        <v>834.8</v>
      </c>
      <c r="K114" s="19">
        <f>K119*K63/365</f>
        <v>0</v>
      </c>
      <c r="L114" s="19">
        <f>L119*L63/365</f>
        <v>0</v>
      </c>
      <c r="M114" s="19">
        <f>M119*M63/365</f>
        <v>0</v>
      </c>
      <c r="N114" s="19">
        <f>N119*N63/365</f>
        <v>0</v>
      </c>
      <c r="O114" s="19">
        <f>O119*O63/365</f>
        <v>0</v>
      </c>
      <c r="P114"/>
      <c r="Q114" s="101"/>
      <c r="R114" s="101"/>
      <c r="T114" s="49"/>
    </row>
    <row r="115" spans="3:20" s="23" customFormat="1" x14ac:dyDescent="0.55000000000000004">
      <c r="C115" s="56" t="s">
        <v>58</v>
      </c>
      <c r="D115" s="48"/>
      <c r="E115" s="48"/>
      <c r="F115" s="48"/>
      <c r="H115" s="55">
        <v>-4173.1000000000004</v>
      </c>
      <c r="I115" s="55">
        <v>-4218.2</v>
      </c>
      <c r="J115" s="137">
        <v>-4092.7</v>
      </c>
      <c r="K115" s="19">
        <f>+K120*K66/365</f>
        <v>0</v>
      </c>
      <c r="L115" s="19">
        <f>+L120*L66/365</f>
        <v>0</v>
      </c>
      <c r="M115" s="19">
        <f>+M120*M66/365</f>
        <v>0</v>
      </c>
      <c r="N115" s="19">
        <f>+N120*N66/365</f>
        <v>0</v>
      </c>
      <c r="O115" s="19">
        <f>+O120*O66/365</f>
        <v>0</v>
      </c>
      <c r="P115"/>
      <c r="Q115" s="101"/>
      <c r="R115" s="101"/>
      <c r="T115" s="49"/>
    </row>
    <row r="116" spans="3:20" s="23" customFormat="1" x14ac:dyDescent="0.55000000000000004">
      <c r="C116" s="138" t="s">
        <v>62</v>
      </c>
      <c r="D116" s="138"/>
      <c r="E116" s="138"/>
      <c r="F116" s="138"/>
      <c r="H116" s="139">
        <f>SUM(H113:H115)</f>
        <v>1296.5</v>
      </c>
      <c r="I116" s="139">
        <f t="shared" ref="I116:J116" si="27">SUM(I113:I115)</f>
        <v>1451.3999999999996</v>
      </c>
      <c r="J116" s="140">
        <f t="shared" si="27"/>
        <v>1731.1000000000004</v>
      </c>
      <c r="K116" s="139">
        <f t="shared" ref="K116" si="28">SUM(K113:K115)</f>
        <v>0</v>
      </c>
      <c r="L116" s="139">
        <f t="shared" ref="L116" si="29">SUM(L113:L115)</f>
        <v>0</v>
      </c>
      <c r="M116" s="139">
        <f t="shared" ref="M116" si="30">SUM(M113:M115)</f>
        <v>0</v>
      </c>
      <c r="N116" s="139">
        <f t="shared" ref="N116" si="31">SUM(N113:N115)</f>
        <v>0</v>
      </c>
      <c r="O116" s="139">
        <f t="shared" ref="O116" si="32">SUM(O113:O115)</f>
        <v>0</v>
      </c>
      <c r="P116"/>
      <c r="Q116" s="112"/>
      <c r="R116" s="112"/>
      <c r="T116" s="49"/>
    </row>
    <row r="117" spans="3:20" ht="5.0999999999999996" customHeight="1" x14ac:dyDescent="0.55000000000000004">
      <c r="C117" s="93"/>
      <c r="D117" s="93"/>
      <c r="E117" s="93"/>
      <c r="F117" s="93"/>
      <c r="G117" s="23"/>
      <c r="H117" s="141"/>
      <c r="I117" s="141"/>
      <c r="J117" s="142"/>
      <c r="L117"/>
      <c r="M117"/>
      <c r="N117"/>
      <c r="O117"/>
      <c r="R117"/>
    </row>
    <row r="118" spans="3:20" s="113" customFormat="1" x14ac:dyDescent="0.55000000000000004">
      <c r="C118" s="143" t="s">
        <v>59</v>
      </c>
      <c r="D118" s="143"/>
      <c r="E118" s="143"/>
      <c r="F118" s="143"/>
      <c r="H118" s="144">
        <f>-H113/H66*365</f>
        <v>31.227446188417026</v>
      </c>
      <c r="I118" s="144">
        <f>-I113/I66*365</f>
        <v>31.56032312211498</v>
      </c>
      <c r="J118" s="145">
        <f>-J113/J66*365</f>
        <v>31.323223583605827</v>
      </c>
      <c r="K118" s="114"/>
      <c r="L118" s="114"/>
      <c r="M118" s="114"/>
      <c r="N118" s="114"/>
      <c r="O118" s="114"/>
      <c r="P118" s="12"/>
      <c r="Q118" s="101"/>
      <c r="R118" s="101"/>
      <c r="T118" s="25" t="s">
        <v>99</v>
      </c>
    </row>
    <row r="119" spans="3:20" s="113" customFormat="1" x14ac:dyDescent="0.55000000000000004">
      <c r="C119" s="143" t="s">
        <v>60</v>
      </c>
      <c r="D119" s="143"/>
      <c r="E119" s="143"/>
      <c r="F119" s="143"/>
      <c r="H119" s="144">
        <f>+H114/H63*365</f>
        <v>3.2321309676663268</v>
      </c>
      <c r="I119" s="144">
        <f>+I114/I63*365</f>
        <v>3.3368712115571251</v>
      </c>
      <c r="J119" s="145">
        <f>+J114/J63*365</f>
        <v>3.7902548671553613</v>
      </c>
      <c r="K119" s="114"/>
      <c r="L119" s="114"/>
      <c r="M119" s="114"/>
      <c r="N119" s="114"/>
      <c r="O119" s="114"/>
      <c r="P119" s="12"/>
      <c r="Q119" s="101"/>
      <c r="R119" s="101"/>
      <c r="T119" s="25" t="s">
        <v>99</v>
      </c>
    </row>
    <row r="120" spans="3:20" s="113" customFormat="1" x14ac:dyDescent="0.55000000000000004">
      <c r="C120" s="143" t="s">
        <v>61</v>
      </c>
      <c r="D120" s="143"/>
      <c r="E120" s="143"/>
      <c r="F120" s="143"/>
      <c r="H120" s="144">
        <f>+H115/H66*365</f>
        <v>27.251203615408429</v>
      </c>
      <c r="I120" s="144">
        <f>+I115/I66*365</f>
        <v>26.920600783326339</v>
      </c>
      <c r="J120" s="145">
        <f>+J115/J66*365</f>
        <v>25.695842285152047</v>
      </c>
      <c r="K120" s="114"/>
      <c r="L120" s="114"/>
      <c r="M120" s="114"/>
      <c r="N120" s="114"/>
      <c r="O120" s="114"/>
      <c r="P120" s="12"/>
      <c r="Q120" s="101"/>
      <c r="R120" s="101"/>
      <c r="T120" s="25" t="s">
        <v>99</v>
      </c>
    </row>
    <row r="121" spans="3:20" x14ac:dyDescent="0.55000000000000004">
      <c r="H121"/>
      <c r="I121"/>
      <c r="J121" s="13"/>
      <c r="K121" s="11"/>
      <c r="L121"/>
      <c r="M121"/>
      <c r="N121"/>
      <c r="O121"/>
      <c r="R121"/>
    </row>
    <row r="122" spans="3:20" x14ac:dyDescent="0.55000000000000004">
      <c r="C122" s="170" t="s">
        <v>19</v>
      </c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3"/>
      <c r="O122" s="173"/>
      <c r="P122" s="173"/>
      <c r="Q122" s="173"/>
      <c r="R122" s="173"/>
    </row>
    <row r="123" spans="3:20" ht="8.1" customHeight="1" x14ac:dyDescent="0.55000000000000004">
      <c r="H123" s="11"/>
      <c r="I123" s="11"/>
      <c r="J123" s="13"/>
      <c r="K123" s="11"/>
      <c r="L123" s="11"/>
      <c r="M123" s="11"/>
      <c r="N123" s="11"/>
      <c r="O123" s="11"/>
      <c r="R123" s="11"/>
    </row>
    <row r="124" spans="3:20" ht="15.75" thickBot="1" x14ac:dyDescent="0.6">
      <c r="C124" s="38" t="s">
        <v>8</v>
      </c>
      <c r="D124" s="37"/>
      <c r="E124" s="37"/>
      <c r="F124" s="37"/>
      <c r="H124" s="11"/>
      <c r="I124" s="11"/>
      <c r="J124" s="13"/>
      <c r="K124" s="11"/>
      <c r="L124" s="11"/>
      <c r="M124" s="11"/>
      <c r="N124" s="11"/>
      <c r="O124" s="11"/>
      <c r="R124" s="11"/>
    </row>
    <row r="125" spans="3:20" ht="5.0999999999999996" customHeight="1" thickTop="1" x14ac:dyDescent="0.55000000000000004">
      <c r="C125" s="18"/>
      <c r="D125" s="18"/>
      <c r="E125" s="18"/>
      <c r="F125" s="18"/>
      <c r="H125" s="11"/>
      <c r="I125" s="11"/>
      <c r="J125" s="13"/>
      <c r="K125" s="11"/>
      <c r="L125" s="11"/>
      <c r="M125" s="11"/>
      <c r="N125" s="11"/>
      <c r="O125" s="11"/>
      <c r="Q125" s="11"/>
      <c r="R125" s="11"/>
    </row>
    <row r="126" spans="3:20" x14ac:dyDescent="0.55000000000000004">
      <c r="C126" t="s">
        <v>17</v>
      </c>
      <c r="H126" s="33"/>
      <c r="I126" s="33"/>
      <c r="J126" s="33"/>
      <c r="K126" s="89">
        <f>J128</f>
        <v>0</v>
      </c>
      <c r="L126" s="19">
        <f t="shared" ref="L126:O126" si="33">+K128</f>
        <v>1731.1000000000004</v>
      </c>
      <c r="M126" s="19">
        <f t="shared" si="33"/>
        <v>1731.1000000000004</v>
      </c>
      <c r="N126" s="19">
        <f>+M128</f>
        <v>1731.1000000000004</v>
      </c>
      <c r="O126" s="19">
        <f t="shared" si="33"/>
        <v>1731.1000000000004</v>
      </c>
      <c r="Q126" s="33"/>
      <c r="R126" s="33"/>
    </row>
    <row r="127" spans="3:20" x14ac:dyDescent="0.55000000000000004">
      <c r="C127" t="s">
        <v>4</v>
      </c>
      <c r="H127" s="33"/>
      <c r="I127" s="33"/>
      <c r="J127" s="91"/>
      <c r="K127" s="19">
        <f>+K108</f>
        <v>1731.1000000000004</v>
      </c>
      <c r="L127" s="19">
        <f>+L108</f>
        <v>0</v>
      </c>
      <c r="M127" s="19">
        <f>+M108</f>
        <v>0</v>
      </c>
      <c r="N127" s="19">
        <f>+N108</f>
        <v>0</v>
      </c>
      <c r="O127" s="19">
        <f>+O108</f>
        <v>0</v>
      </c>
      <c r="Q127" s="33"/>
      <c r="R127" s="33"/>
    </row>
    <row r="128" spans="3:20" x14ac:dyDescent="0.55000000000000004">
      <c r="C128" s="136" t="s">
        <v>18</v>
      </c>
      <c r="D128" s="34"/>
      <c r="E128" s="34"/>
      <c r="F128" s="34"/>
      <c r="H128" s="35"/>
      <c r="I128" s="35"/>
      <c r="J128" s="92">
        <f>+K11</f>
        <v>0</v>
      </c>
      <c r="K128" s="62">
        <f t="shared" ref="K128:O128" si="34">+K126+K127</f>
        <v>1731.1000000000004</v>
      </c>
      <c r="L128" s="62">
        <f t="shared" si="34"/>
        <v>1731.1000000000004</v>
      </c>
      <c r="M128" s="62">
        <f t="shared" si="34"/>
        <v>1731.1000000000004</v>
      </c>
      <c r="N128" s="62">
        <f t="shared" si="34"/>
        <v>1731.1000000000004</v>
      </c>
      <c r="O128" s="62">
        <f t="shared" si="34"/>
        <v>1731.1000000000004</v>
      </c>
      <c r="Q128" s="35"/>
      <c r="R128" s="35"/>
    </row>
    <row r="129" spans="3:20" ht="5.0999999999999996" customHeight="1" x14ac:dyDescent="0.55000000000000004">
      <c r="H129" s="11"/>
      <c r="I129" s="11"/>
      <c r="J129" s="13"/>
      <c r="K129" s="11"/>
      <c r="L129" s="11"/>
      <c r="M129" s="11"/>
      <c r="N129" s="11"/>
      <c r="O129" s="11"/>
      <c r="Q129" s="11"/>
      <c r="R129" s="11"/>
    </row>
    <row r="130" spans="3:20" x14ac:dyDescent="0.55000000000000004">
      <c r="C130" s="6" t="s">
        <v>12</v>
      </c>
      <c r="D130" s="7"/>
      <c r="E130" s="7"/>
      <c r="F130" s="7"/>
      <c r="G130" s="7"/>
      <c r="H130" s="51"/>
      <c r="I130" s="51"/>
      <c r="J130" s="135"/>
      <c r="K130" s="133">
        <f>+K139+K147</f>
        <v>0</v>
      </c>
      <c r="L130" s="133">
        <f t="shared" ref="L130:O130" si="35">+L139+L147</f>
        <v>0</v>
      </c>
      <c r="M130" s="133">
        <f t="shared" si="35"/>
        <v>0</v>
      </c>
      <c r="N130" s="133">
        <f t="shared" si="35"/>
        <v>0</v>
      </c>
      <c r="O130" s="134">
        <f t="shared" si="35"/>
        <v>0</v>
      </c>
      <c r="Q130" s="51"/>
      <c r="R130" s="51"/>
    </row>
    <row r="131" spans="3:20" x14ac:dyDescent="0.55000000000000004">
      <c r="J131" s="13"/>
      <c r="K131" s="11"/>
      <c r="Q131" s="2"/>
    </row>
    <row r="132" spans="3:20" ht="15.75" thickBot="1" x14ac:dyDescent="0.6">
      <c r="C132" s="38" t="s">
        <v>11</v>
      </c>
      <c r="D132" s="37"/>
      <c r="E132" s="37"/>
      <c r="F132" s="37"/>
      <c r="J132" s="13"/>
      <c r="K132" s="11"/>
      <c r="Q132" s="2"/>
    </row>
    <row r="133" spans="3:20" ht="3" customHeight="1" thickTop="1" x14ac:dyDescent="0.55000000000000004">
      <c r="C133" s="18"/>
      <c r="D133" s="18"/>
      <c r="E133" s="18"/>
      <c r="F133" s="18"/>
      <c r="H133" s="11"/>
      <c r="I133" s="11"/>
      <c r="J133" s="13"/>
      <c r="K133" s="11"/>
      <c r="L133" s="11"/>
      <c r="M133" s="11"/>
      <c r="N133" s="11"/>
      <c r="O133" s="11"/>
      <c r="Q133" s="11"/>
      <c r="R133" s="11"/>
    </row>
    <row r="134" spans="3:20" s="23" customFormat="1" x14ac:dyDescent="0.55000000000000004">
      <c r="C134" s="23" t="s">
        <v>17</v>
      </c>
      <c r="H134" s="27"/>
      <c r="I134" s="27"/>
      <c r="J134" s="28"/>
      <c r="K134" s="89">
        <f>J137</f>
        <v>0</v>
      </c>
      <c r="L134" s="19">
        <f t="shared" ref="L134:O134" si="36">+K137</f>
        <v>0</v>
      </c>
      <c r="M134" s="19">
        <f t="shared" si="36"/>
        <v>0</v>
      </c>
      <c r="N134" s="19">
        <f>+M137</f>
        <v>0</v>
      </c>
      <c r="O134" s="19">
        <f t="shared" si="36"/>
        <v>0</v>
      </c>
      <c r="P134"/>
      <c r="Q134" s="27"/>
      <c r="R134" s="27"/>
    </row>
    <row r="135" spans="3:20" s="23" customFormat="1" x14ac:dyDescent="0.55000000000000004">
      <c r="C135" s="23" t="s">
        <v>10</v>
      </c>
      <c r="G135"/>
      <c r="H135" s="27"/>
      <c r="I135" s="27"/>
      <c r="J135" s="28"/>
      <c r="K135" s="19">
        <f t="shared" ref="K135:O136" si="37">+K105</f>
        <v>0</v>
      </c>
      <c r="L135" s="19">
        <f t="shared" si="37"/>
        <v>0</v>
      </c>
      <c r="M135" s="19">
        <f t="shared" si="37"/>
        <v>0</v>
      </c>
      <c r="N135" s="19">
        <f t="shared" si="37"/>
        <v>0</v>
      </c>
      <c r="O135" s="19">
        <f t="shared" si="37"/>
        <v>0</v>
      </c>
      <c r="P135"/>
      <c r="Q135" s="27"/>
      <c r="R135" s="27"/>
    </row>
    <row r="136" spans="3:20" s="23" customFormat="1" x14ac:dyDescent="0.55000000000000004">
      <c r="C136" s="23" t="s">
        <v>9</v>
      </c>
      <c r="G136"/>
      <c r="H136" s="27"/>
      <c r="I136" s="27"/>
      <c r="J136" s="28"/>
      <c r="K136" s="19">
        <f t="shared" si="37"/>
        <v>0</v>
      </c>
      <c r="L136" s="19">
        <f t="shared" si="37"/>
        <v>0</v>
      </c>
      <c r="M136" s="19">
        <f t="shared" si="37"/>
        <v>0</v>
      </c>
      <c r="N136" s="19">
        <f t="shared" si="37"/>
        <v>0</v>
      </c>
      <c r="O136" s="19">
        <f t="shared" si="37"/>
        <v>0</v>
      </c>
      <c r="P136"/>
      <c r="Q136" s="27"/>
      <c r="R136" s="27"/>
    </row>
    <row r="137" spans="3:20" s="23" customFormat="1" x14ac:dyDescent="0.55000000000000004">
      <c r="C137" s="121" t="s">
        <v>18</v>
      </c>
      <c r="D137" s="26"/>
      <c r="E137" s="26"/>
      <c r="F137" s="26"/>
      <c r="G137"/>
      <c r="H137" s="29"/>
      <c r="I137" s="29"/>
      <c r="J137" s="177">
        <v>0</v>
      </c>
      <c r="K137" s="62">
        <f>SUM(K134:K136)</f>
        <v>0</v>
      </c>
      <c r="L137" s="62">
        <f t="shared" ref="L137:O137" si="38">SUM(L134:L136)</f>
        <v>0</v>
      </c>
      <c r="M137" s="62">
        <f t="shared" si="38"/>
        <v>0</v>
      </c>
      <c r="N137" s="62">
        <f t="shared" si="38"/>
        <v>0</v>
      </c>
      <c r="O137" s="62">
        <f t="shared" si="38"/>
        <v>0</v>
      </c>
      <c r="P137"/>
      <c r="Q137" s="29"/>
      <c r="R137" s="29"/>
    </row>
    <row r="138" spans="3:20" x14ac:dyDescent="0.55000000000000004">
      <c r="E138" s="50" t="s">
        <v>88</v>
      </c>
      <c r="F138" s="50" t="s">
        <v>23</v>
      </c>
      <c r="H138" s="11"/>
      <c r="I138" s="11"/>
      <c r="J138" s="13"/>
      <c r="Q138" s="11"/>
      <c r="R138" s="11"/>
      <c r="T138" s="23"/>
    </row>
    <row r="139" spans="3:20" s="12" customFormat="1" x14ac:dyDescent="0.55000000000000004">
      <c r="C139" s="12" t="s">
        <v>16</v>
      </c>
      <c r="E139" s="118">
        <v>3.5999999999999997E-2</v>
      </c>
      <c r="F139" s="120"/>
      <c r="G139"/>
      <c r="H139" s="27"/>
      <c r="I139" s="27"/>
      <c r="J139" s="28"/>
      <c r="K139" s="65">
        <f>IF(circ=1, AVERAGE(K134,K137), K134)*SUM($E$139:$F$139)*-1</f>
        <v>0</v>
      </c>
      <c r="L139" s="65">
        <f>IF(circ=1, AVERAGE(L134,L137), L134)*SUM($E$139:$F$139)*-1</f>
        <v>0</v>
      </c>
      <c r="M139" s="65">
        <f>IF(circ=1, AVERAGE(M134,M137), M134)*SUM($E$139:$F$139)*-1</f>
        <v>0</v>
      </c>
      <c r="N139" s="65">
        <f>IF(circ=1, AVERAGE(N134,N137), N134)*SUM($E$139:$F$139)*-1</f>
        <v>0</v>
      </c>
      <c r="O139" s="65">
        <f>IF(circ=1, AVERAGE(O134,O137), O134)*SUM($E$139:$F$139)*-1</f>
        <v>0</v>
      </c>
      <c r="P139"/>
      <c r="Q139" s="27"/>
      <c r="R139" s="27"/>
      <c r="T139" s="25" t="s">
        <v>98</v>
      </c>
    </row>
    <row r="140" spans="3:20" x14ac:dyDescent="0.55000000000000004">
      <c r="F140" s="39"/>
      <c r="H140" s="11"/>
      <c r="I140" s="11"/>
      <c r="J140" s="13"/>
      <c r="Q140" s="11"/>
      <c r="R140" s="11"/>
      <c r="T140" s="23"/>
    </row>
    <row r="141" spans="3:20" ht="15.75" thickBot="1" x14ac:dyDescent="0.6">
      <c r="C141" s="38" t="s">
        <v>47</v>
      </c>
      <c r="D141" s="37"/>
      <c r="E141" s="37"/>
      <c r="F141" s="37"/>
      <c r="H141" s="11"/>
      <c r="I141" s="11"/>
      <c r="J141" s="13"/>
      <c r="Q141" s="11"/>
      <c r="R141" s="11"/>
      <c r="T141" s="23"/>
    </row>
    <row r="142" spans="3:20" ht="3" customHeight="1" thickTop="1" x14ac:dyDescent="0.55000000000000004">
      <c r="C142" s="18"/>
      <c r="D142" s="18"/>
      <c r="E142" s="18"/>
      <c r="F142" s="18"/>
      <c r="H142" s="11"/>
      <c r="I142" s="11"/>
      <c r="J142" s="13"/>
      <c r="Q142" s="11"/>
      <c r="R142" s="11"/>
      <c r="T142" s="23"/>
    </row>
    <row r="143" spans="3:20" s="23" customFormat="1" x14ac:dyDescent="0.55000000000000004">
      <c r="C143" s="23" t="s">
        <v>31</v>
      </c>
      <c r="G143"/>
      <c r="H143" s="27"/>
      <c r="I143" s="27"/>
      <c r="J143" s="27"/>
      <c r="K143" s="89">
        <f>J145</f>
        <v>0</v>
      </c>
      <c r="L143" s="19">
        <f>+K145</f>
        <v>0</v>
      </c>
      <c r="M143" s="19">
        <f t="shared" ref="M143:O143" si="39">+L145</f>
        <v>0</v>
      </c>
      <c r="N143" s="19">
        <f t="shared" si="39"/>
        <v>0</v>
      </c>
      <c r="O143" s="19">
        <f t="shared" si="39"/>
        <v>0</v>
      </c>
      <c r="P143"/>
      <c r="Q143" s="27"/>
      <c r="R143" s="27"/>
    </row>
    <row r="144" spans="3:20" s="23" customFormat="1" x14ac:dyDescent="0.55000000000000004">
      <c r="C144" s="23" t="s">
        <v>9</v>
      </c>
      <c r="E144" s="50"/>
      <c r="F144" s="50"/>
      <c r="G144"/>
      <c r="H144" s="27"/>
      <c r="I144" s="27"/>
      <c r="J144" s="28"/>
      <c r="K144" s="90"/>
      <c r="L144" s="90"/>
      <c r="M144" s="90"/>
      <c r="N144" s="90"/>
      <c r="O144" s="90"/>
      <c r="P144"/>
      <c r="Q144" s="27"/>
      <c r="R144" s="27"/>
      <c r="T144" s="25" t="s">
        <v>93</v>
      </c>
    </row>
    <row r="145" spans="3:20" s="25" customFormat="1" x14ac:dyDescent="0.55000000000000004">
      <c r="C145" s="121" t="s">
        <v>30</v>
      </c>
      <c r="D145" s="26"/>
      <c r="E145" s="64"/>
      <c r="F145" s="64"/>
      <c r="G145" s="3"/>
      <c r="H145" s="29"/>
      <c r="I145" s="29"/>
      <c r="J145" s="132">
        <f>+K10</f>
        <v>0</v>
      </c>
      <c r="K145" s="88">
        <f>K143+K144</f>
        <v>0</v>
      </c>
      <c r="L145" s="88">
        <f t="shared" ref="L145:O145" si="40">L143+L144</f>
        <v>0</v>
      </c>
      <c r="M145" s="88">
        <f t="shared" si="40"/>
        <v>0</v>
      </c>
      <c r="N145" s="88">
        <f>N143+N144</f>
        <v>0</v>
      </c>
      <c r="O145" s="88">
        <f t="shared" si="40"/>
        <v>0</v>
      </c>
      <c r="P145" s="3"/>
      <c r="Q145" s="29"/>
      <c r="R145" s="29"/>
      <c r="T145" s="23"/>
    </row>
    <row r="146" spans="3:20" s="23" customFormat="1" x14ac:dyDescent="0.55000000000000004">
      <c r="E146" s="50" t="s">
        <v>88</v>
      </c>
      <c r="F146" s="50" t="s">
        <v>23</v>
      </c>
      <c r="G146"/>
      <c r="H146" s="19"/>
      <c r="I146" s="19"/>
      <c r="J146" s="63"/>
      <c r="K146" s="32"/>
      <c r="L146" s="2"/>
      <c r="M146" s="2"/>
      <c r="N146" s="2"/>
      <c r="O146" s="2"/>
      <c r="P146"/>
      <c r="Q146" s="19"/>
      <c r="R146" s="19"/>
    </row>
    <row r="147" spans="3:20" s="12" customFormat="1" x14ac:dyDescent="0.55000000000000004">
      <c r="C147" s="12" t="s">
        <v>16</v>
      </c>
      <c r="E147" s="119">
        <f>+E139</f>
        <v>3.5999999999999997E-2</v>
      </c>
      <c r="F147" s="120"/>
      <c r="G147"/>
      <c r="H147" s="27"/>
      <c r="I147" s="27"/>
      <c r="J147" s="28"/>
      <c r="K147" s="65">
        <f>IF(circ=1, AVERAGE(K143,K145), K143)*SUM($E$147:$F$147)*-1</f>
        <v>0</v>
      </c>
      <c r="L147" s="65">
        <f>IF(circ=1, AVERAGE(L143,L145), L143)*SUM($E$147:$F$147)*-1</f>
        <v>0</v>
      </c>
      <c r="M147" s="65">
        <f>IF(circ=1, AVERAGE(M143,M145), M143)*SUM($E$147:$F$147)*-1</f>
        <v>0</v>
      </c>
      <c r="N147" s="65">
        <f>IF(circ=1, AVERAGE(N143,N145), N143)*SUM($E$147:$F$147)*-1</f>
        <v>0</v>
      </c>
      <c r="O147" s="65">
        <f>IF(circ=1, AVERAGE(O143,O145), O143)*SUM($E$147:$F$147)*-1</f>
        <v>0</v>
      </c>
      <c r="P147"/>
      <c r="Q147" s="27"/>
      <c r="R147" s="27"/>
      <c r="T147" s="25" t="s">
        <v>98</v>
      </c>
    </row>
    <row r="148" spans="3:20" ht="9" customHeight="1" x14ac:dyDescent="0.55000000000000004">
      <c r="H148" s="11"/>
      <c r="I148" s="11"/>
      <c r="J148" s="97"/>
      <c r="K148"/>
      <c r="L148"/>
      <c r="M148" s="19"/>
      <c r="N148" s="19"/>
      <c r="O148" s="19"/>
      <c r="R148"/>
      <c r="T148" s="23"/>
    </row>
    <row r="149" spans="3:20" x14ac:dyDescent="0.55000000000000004">
      <c r="C149" s="170" t="s">
        <v>32</v>
      </c>
      <c r="D149" s="170"/>
      <c r="E149" s="170"/>
      <c r="F149" s="170"/>
      <c r="G149" s="170"/>
      <c r="H149" s="170"/>
      <c r="I149" s="170"/>
      <c r="J149" s="174"/>
      <c r="K149" s="170"/>
      <c r="L149" s="170"/>
      <c r="M149" s="170"/>
      <c r="N149" s="173"/>
      <c r="O149" s="173"/>
      <c r="P149" s="173"/>
      <c r="Q149" s="173"/>
      <c r="R149" s="170"/>
      <c r="T149" s="23"/>
    </row>
    <row r="150" spans="3:20" ht="8.1" customHeight="1" x14ac:dyDescent="0.55000000000000004">
      <c r="H150" s="11"/>
      <c r="I150" s="11"/>
      <c r="J150" s="13"/>
      <c r="K150" s="11"/>
      <c r="L150" s="11"/>
      <c r="M150" s="11"/>
      <c r="N150" s="11"/>
      <c r="O150" s="11"/>
      <c r="Q150" s="11"/>
      <c r="R150" s="11"/>
      <c r="T150" s="23"/>
    </row>
    <row r="151" spans="3:20" x14ac:dyDescent="0.55000000000000004">
      <c r="C151" t="s">
        <v>33</v>
      </c>
      <c r="H151" s="27"/>
      <c r="I151" s="27"/>
      <c r="J151" s="63">
        <f t="shared" ref="J151:O151" si="41">+J85</f>
        <v>3459.8000000000052</v>
      </c>
      <c r="K151" s="19">
        <f t="shared" si="41"/>
        <v>0</v>
      </c>
      <c r="L151" s="19">
        <f t="shared" si="41"/>
        <v>0</v>
      </c>
      <c r="M151" s="19">
        <f t="shared" si="41"/>
        <v>0</v>
      </c>
      <c r="N151" s="19">
        <f t="shared" si="41"/>
        <v>0</v>
      </c>
      <c r="O151" s="19">
        <f t="shared" si="41"/>
        <v>0</v>
      </c>
      <c r="Q151" s="27"/>
      <c r="R151" s="27"/>
      <c r="T151" s="23"/>
    </row>
    <row r="152" spans="3:20" x14ac:dyDescent="0.55000000000000004">
      <c r="C152" t="s">
        <v>40</v>
      </c>
      <c r="H152" s="69"/>
      <c r="I152" s="69"/>
      <c r="J152" s="124" t="e">
        <f>$L$14</f>
        <v>#DIV/0!</v>
      </c>
      <c r="K152" s="70"/>
      <c r="L152" s="67">
        <f>$K152</f>
        <v>0</v>
      </c>
      <c r="M152" s="67">
        <f t="shared" ref="M152" si="42">$K152</f>
        <v>0</v>
      </c>
      <c r="N152" s="67">
        <f>$K152</f>
        <v>0</v>
      </c>
      <c r="O152" s="67">
        <f>$K152</f>
        <v>0</v>
      </c>
      <c r="Q152" s="69"/>
      <c r="R152" s="69"/>
      <c r="T152" s="25" t="s">
        <v>96</v>
      </c>
    </row>
    <row r="153" spans="3:20" x14ac:dyDescent="0.55000000000000004">
      <c r="C153" s="16" t="s">
        <v>41</v>
      </c>
      <c r="D153" s="68"/>
      <c r="E153" s="68"/>
      <c r="F153" s="68"/>
      <c r="G153" s="68"/>
      <c r="H153" s="71"/>
      <c r="I153" s="71"/>
      <c r="J153" s="60" t="e">
        <f t="shared" ref="J153" si="43">J151*J152</f>
        <v>#DIV/0!</v>
      </c>
      <c r="K153" s="59">
        <f>K151*K152</f>
        <v>0</v>
      </c>
      <c r="L153" s="59">
        <f t="shared" ref="L153:O153" si="44">L151*L152</f>
        <v>0</v>
      </c>
      <c r="M153" s="59">
        <f t="shared" si="44"/>
        <v>0</v>
      </c>
      <c r="N153" s="59">
        <f t="shared" si="44"/>
        <v>0</v>
      </c>
      <c r="O153" s="59">
        <f t="shared" si="44"/>
        <v>0</v>
      </c>
      <c r="Q153" s="71"/>
      <c r="R153" s="71"/>
    </row>
    <row r="154" spans="3:20" ht="5.0999999999999996" customHeight="1" x14ac:dyDescent="0.55000000000000004">
      <c r="C154" s="3"/>
      <c r="H154" s="19"/>
      <c r="I154" s="19"/>
      <c r="J154" s="61"/>
      <c r="K154" s="72"/>
      <c r="L154" s="72"/>
      <c r="M154" s="72"/>
      <c r="N154" s="72"/>
      <c r="O154" s="72"/>
      <c r="Q154" s="19"/>
      <c r="R154" s="19"/>
    </row>
    <row r="155" spans="3:20" x14ac:dyDescent="0.55000000000000004">
      <c r="C155" t="s">
        <v>34</v>
      </c>
      <c r="H155" s="27"/>
      <c r="I155" s="27"/>
      <c r="J155" s="63">
        <f t="shared" ref="J155:O155" si="45">-(J137+J145-J128)</f>
        <v>0</v>
      </c>
      <c r="K155" s="19">
        <f t="shared" si="45"/>
        <v>1731.1000000000004</v>
      </c>
      <c r="L155" s="19">
        <f t="shared" si="45"/>
        <v>1731.1000000000004</v>
      </c>
      <c r="M155" s="19">
        <f t="shared" si="45"/>
        <v>1731.1000000000004</v>
      </c>
      <c r="N155" s="19">
        <f t="shared" si="45"/>
        <v>1731.1000000000004</v>
      </c>
      <c r="O155" s="19">
        <f t="shared" si="45"/>
        <v>1731.1000000000004</v>
      </c>
      <c r="Q155" s="27"/>
      <c r="R155" s="27"/>
    </row>
    <row r="156" spans="3:20" x14ac:dyDescent="0.55000000000000004">
      <c r="C156" s="73" t="s">
        <v>35</v>
      </c>
      <c r="D156" s="73"/>
      <c r="E156" s="73"/>
      <c r="F156" s="73"/>
      <c r="G156" s="73"/>
      <c r="H156" s="74"/>
      <c r="I156" s="74"/>
      <c r="J156" s="125" t="e">
        <f t="shared" ref="J156:O156" si="46">J153+J155</f>
        <v>#DIV/0!</v>
      </c>
      <c r="K156" s="75">
        <f t="shared" si="46"/>
        <v>1731.1000000000004</v>
      </c>
      <c r="L156" s="75">
        <f t="shared" si="46"/>
        <v>1731.1000000000004</v>
      </c>
      <c r="M156" s="75">
        <f t="shared" si="46"/>
        <v>1731.1000000000004</v>
      </c>
      <c r="N156" s="75">
        <f t="shared" si="46"/>
        <v>1731.1000000000004</v>
      </c>
      <c r="O156" s="75">
        <f t="shared" si="46"/>
        <v>1731.1000000000004</v>
      </c>
      <c r="Q156" s="74"/>
      <c r="R156" s="74"/>
    </row>
    <row r="157" spans="3:20" ht="5.0999999999999996" customHeight="1" x14ac:dyDescent="0.55000000000000004">
      <c r="C157" s="3"/>
      <c r="D157" s="3"/>
      <c r="E157" s="3"/>
      <c r="F157" s="3"/>
      <c r="G157" s="3"/>
      <c r="H157" s="72"/>
      <c r="I157" s="72"/>
      <c r="J157" s="53"/>
      <c r="K157" s="52"/>
      <c r="L157" s="52"/>
      <c r="M157" s="52"/>
      <c r="N157" s="52"/>
      <c r="O157" s="52"/>
      <c r="Q157" s="72"/>
      <c r="R157" s="72"/>
    </row>
    <row r="158" spans="3:20" x14ac:dyDescent="0.55000000000000004">
      <c r="C158" t="s">
        <v>54</v>
      </c>
      <c r="E158" s="12"/>
      <c r="F158" s="54"/>
      <c r="H158" s="27"/>
      <c r="I158" s="27"/>
      <c r="J158" s="63">
        <v>0</v>
      </c>
      <c r="K158" s="19">
        <f>-K156*$F158</f>
        <v>0</v>
      </c>
      <c r="L158" s="19">
        <f t="shared" ref="L158:M158" si="47">-L156*$F158</f>
        <v>0</v>
      </c>
      <c r="M158" s="19">
        <f t="shared" si="47"/>
        <v>0</v>
      </c>
      <c r="N158" s="19">
        <f>-N156*$F158</f>
        <v>0</v>
      </c>
      <c r="O158" s="19">
        <f>-O156*$F158</f>
        <v>0</v>
      </c>
      <c r="Q158" s="27"/>
      <c r="R158" s="27"/>
      <c r="T158" s="25" t="s">
        <v>97</v>
      </c>
    </row>
    <row r="159" spans="3:20" x14ac:dyDescent="0.55000000000000004">
      <c r="C159" s="16" t="s">
        <v>36</v>
      </c>
      <c r="D159" s="16"/>
      <c r="E159" s="16"/>
      <c r="F159" s="16"/>
      <c r="G159" s="16"/>
      <c r="H159" s="29"/>
      <c r="I159" s="29"/>
      <c r="J159" s="60" t="e">
        <f t="shared" ref="J159" si="48">J156+J158</f>
        <v>#DIV/0!</v>
      </c>
      <c r="K159" s="59">
        <f>K156+K158</f>
        <v>1731.1000000000004</v>
      </c>
      <c r="L159" s="59">
        <f t="shared" ref="L159:O159" si="49">L156+L158</f>
        <v>1731.1000000000004</v>
      </c>
      <c r="M159" s="59">
        <f t="shared" si="49"/>
        <v>1731.1000000000004</v>
      </c>
      <c r="N159" s="59">
        <f t="shared" si="49"/>
        <v>1731.1000000000004</v>
      </c>
      <c r="O159" s="59">
        <f t="shared" si="49"/>
        <v>1731.1000000000004</v>
      </c>
      <c r="Q159" s="29"/>
      <c r="R159" s="29"/>
    </row>
    <row r="160" spans="3:20" ht="5.0999999999999996" customHeight="1" x14ac:dyDescent="0.55000000000000004">
      <c r="H160" s="19"/>
      <c r="I160" s="19"/>
      <c r="J160" s="63"/>
      <c r="Q160" s="19"/>
      <c r="R160" s="19"/>
    </row>
    <row r="161" spans="3:18" ht="5.0999999999999996" customHeight="1" x14ac:dyDescent="0.55000000000000004">
      <c r="H161" s="19"/>
      <c r="I161" s="19"/>
      <c r="J161" s="63"/>
      <c r="Q161" s="19"/>
      <c r="R161" s="19"/>
    </row>
    <row r="162" spans="3:18" ht="14.25" customHeight="1" x14ac:dyDescent="0.55000000000000004">
      <c r="F162" s="50" t="s">
        <v>78</v>
      </c>
      <c r="H162" s="19"/>
      <c r="I162" s="19"/>
      <c r="J162" s="63"/>
      <c r="Q162" s="19"/>
      <c r="R162" s="19"/>
    </row>
    <row r="163" spans="3:18" x14ac:dyDescent="0.55000000000000004">
      <c r="C163" t="s">
        <v>37</v>
      </c>
      <c r="F163" s="131">
        <f>+O19</f>
        <v>47542</v>
      </c>
      <c r="H163" s="27"/>
      <c r="I163" s="27"/>
      <c r="J163" s="63" t="e">
        <f>-J159</f>
        <v>#DIV/0!</v>
      </c>
      <c r="K163" s="19">
        <f>K$159*(K19=$F$163)</f>
        <v>0</v>
      </c>
      <c r="L163" s="19">
        <f>L$159*(L19=$F$163)</f>
        <v>0</v>
      </c>
      <c r="M163" s="19">
        <f>M$159*(M19=$F$163)</f>
        <v>0</v>
      </c>
      <c r="N163" s="19">
        <f>N$159*(N19=$F$163)</f>
        <v>0</v>
      </c>
      <c r="O163" s="19">
        <f>O$159*(O19=$F$163)</f>
        <v>1731.1000000000004</v>
      </c>
      <c r="Q163" s="27"/>
      <c r="R163" s="27"/>
    </row>
    <row r="164" spans="3:18" ht="15.75" thickBot="1" x14ac:dyDescent="0.6">
      <c r="R164"/>
    </row>
    <row r="165" spans="3:18" x14ac:dyDescent="0.55000000000000004">
      <c r="C165" s="182" t="s">
        <v>38</v>
      </c>
      <c r="D165" s="183"/>
      <c r="E165" s="183"/>
      <c r="F165" s="184" t="str">
        <f>IFERROR(XIRR(J163:O163,J19:O19),"n/a")</f>
        <v>n/a</v>
      </c>
      <c r="O165" s="19"/>
      <c r="R165"/>
    </row>
    <row r="166" spans="3:18" x14ac:dyDescent="0.55000000000000004">
      <c r="C166" s="185" t="s">
        <v>39</v>
      </c>
      <c r="D166" s="170"/>
      <c r="E166" s="170"/>
      <c r="F166" s="186" t="e">
        <f>-SUM(K163:O163)/J163</f>
        <v>#DIV/0!</v>
      </c>
    </row>
    <row r="167" spans="3:18" ht="15.75" thickBot="1" x14ac:dyDescent="0.6">
      <c r="C167" s="187" t="s">
        <v>89</v>
      </c>
      <c r="D167" s="188"/>
      <c r="E167" s="188"/>
      <c r="F167" s="189" t="e">
        <f>SUM(K163:O163)+J163</f>
        <v>#DIV/0!</v>
      </c>
    </row>
    <row r="168" spans="3:18" x14ac:dyDescent="0.55000000000000004">
      <c r="I168"/>
      <c r="J168"/>
      <c r="K168"/>
    </row>
  </sheetData>
  <sortState xmlns:xlrd2="http://schemas.microsoft.com/office/spreadsheetml/2017/richdata2" ref="C3">
    <sortCondition ref="C3"/>
  </sortState>
  <pageMargins left="0.70866141732283472" right="0.70866141732283472" top="0.74803149606299213" bottom="0.74803149606299213" header="0.31496062992125984" footer="0.31496062992125984"/>
  <pageSetup scale="26" orientation="portrait" r:id="rId1"/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1. Business Assessment</vt:lpstr>
      <vt:lpstr>2. Operating Model</vt:lpstr>
      <vt:lpstr>circ</vt:lpstr>
      <vt:lpstr>'1. Business Assessment'!Print_Area</vt:lpstr>
      <vt:lpstr>'2. Operating Model'!Print_Area</vt:lpstr>
      <vt:lpstr>'2. Operating Model'!Print_Titles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2019-11-13T17:33:36Z</dcterms:created>
  <dcterms:modified xsi:type="dcterms:W3CDTF">2025-12-29T19:19:01Z</dcterms:modified>
</cp:coreProperties>
</file>