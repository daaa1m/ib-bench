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data-factory\human-generated\"/>
    </mc:Choice>
  </mc:AlternateContent>
  <xr:revisionPtr revIDLastSave="0" documentId="13_ncr:1_{09BB2886-5F03-4EAC-8F9F-6C720CE16619}" xr6:coauthVersionLast="47" xr6:coauthVersionMax="47" xr10:uidLastSave="{00000000-0000-0000-0000-000000000000}"/>
  <bookViews>
    <workbookView xWindow="-98" yWindow="-98" windowWidth="22875" windowHeight="14431" firstSheet="1" activeTab="3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6" l="1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4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7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5" i="16" s="1"/>
  <c r="K44" i="15"/>
  <c r="K75" i="16" s="1"/>
  <c r="L44" i="15"/>
  <c r="L75" i="16" s="1"/>
  <c r="M44" i="15"/>
  <c r="M75" i="16" s="1"/>
  <c r="N44" i="15"/>
  <c r="N75" i="16" s="1"/>
  <c r="O44" i="15"/>
  <c r="O75" i="16" s="1"/>
  <c r="P44" i="15"/>
  <c r="P75" i="16" s="1"/>
  <c r="Q44" i="15"/>
  <c r="Q75" i="16" s="1"/>
  <c r="R44" i="15"/>
  <c r="R75" i="16" s="1"/>
  <c r="S44" i="15"/>
  <c r="S75" i="16" s="1"/>
  <c r="I63" i="16"/>
  <c r="I77" i="16"/>
  <c r="F41" i="16"/>
  <c r="F42" i="16" s="1"/>
  <c r="G41" i="16"/>
  <c r="G42" i="16" s="1"/>
  <c r="H41" i="16"/>
  <c r="H42" i="16" s="1"/>
  <c r="I41" i="16"/>
  <c r="I42" i="16" s="1"/>
  <c r="E41" i="16"/>
  <c r="E42" i="16" s="1"/>
  <c r="I73" i="16"/>
  <c r="I76" i="16"/>
  <c r="I75" i="16"/>
  <c r="I69" i="16"/>
  <c r="I68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6" i="16"/>
  <c r="I71" i="16" s="1"/>
  <c r="I118" i="16"/>
  <c r="I79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6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1" i="16"/>
  <c r="I65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4" i="16"/>
  <c r="I70" i="16"/>
  <c r="I64" i="20"/>
  <c r="J61" i="20" s="1"/>
  <c r="K62" i="20"/>
  <c r="J68" i="20"/>
  <c r="J50" i="20"/>
  <c r="J44" i="20"/>
  <c r="N33" i="20"/>
  <c r="I78" i="16"/>
  <c r="H101" i="18"/>
  <c r="G101" i="18"/>
  <c r="I101" i="18"/>
  <c r="K82" i="18"/>
  <c r="K28" i="20" s="1"/>
  <c r="I61" i="16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2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K32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6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L32" i="18"/>
  <c r="K18" i="15"/>
  <c r="K53" i="15" s="1"/>
  <c r="N41" i="15" l="1"/>
  <c r="M31" i="19"/>
  <c r="K62" i="16"/>
  <c r="K29" i="20"/>
  <c r="K74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6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4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6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4" i="16"/>
  <c r="N63" i="20"/>
  <c r="O62" i="20"/>
  <c r="M14" i="20"/>
  <c r="M30" i="16" s="1"/>
  <c r="N61" i="20"/>
  <c r="N64" i="20" s="1"/>
  <c r="M65" i="20"/>
  <c r="K51" i="20"/>
  <c r="R33" i="20"/>
  <c r="N45" i="15"/>
  <c r="N76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4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6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4" i="16"/>
  <c r="P63" i="20"/>
  <c r="Q62" i="20"/>
  <c r="L50" i="20"/>
  <c r="L51" i="20" s="1"/>
  <c r="K53" i="20"/>
  <c r="P45" i="15"/>
  <c r="P76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4" i="16"/>
  <c r="R62" i="20"/>
  <c r="Q63" i="20"/>
  <c r="P65" i="20"/>
  <c r="L36" i="20"/>
  <c r="L52" i="20"/>
  <c r="L10" i="20" s="1"/>
  <c r="L26" i="16" s="1"/>
  <c r="Q45" i="15"/>
  <c r="Q76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4" i="16"/>
  <c r="R63" i="20"/>
  <c r="S62" i="20"/>
  <c r="M50" i="20"/>
  <c r="M51" i="20" s="1"/>
  <c r="L53" i="20"/>
  <c r="S82" i="18"/>
  <c r="R45" i="15"/>
  <c r="R76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6" i="16" s="1"/>
  <c r="S28" i="20"/>
  <c r="S62" i="16"/>
  <c r="R62" i="16"/>
  <c r="Q65" i="20"/>
  <c r="R61" i="20"/>
  <c r="R64" i="20" s="1"/>
  <c r="R14" i="20" s="1"/>
  <c r="R30" i="16" s="1"/>
  <c r="R29" i="20"/>
  <c r="R74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4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4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8" i="16" s="1"/>
  <c r="J23" i="18"/>
  <c r="J23" i="16" s="1"/>
  <c r="J42" i="18"/>
  <c r="J46" i="18" s="1"/>
  <c r="J52" i="18"/>
  <c r="J67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9" i="16" l="1"/>
  <c r="J64" i="18"/>
  <c r="J67" i="18" s="1"/>
  <c r="J53" i="18"/>
  <c r="J57" i="16" s="1"/>
  <c r="K26" i="17"/>
  <c r="K93" i="17" s="1"/>
  <c r="K15" i="18"/>
  <c r="K8" i="16" s="1"/>
  <c r="K52" i="18"/>
  <c r="K67" i="16" s="1"/>
  <c r="K26" i="18"/>
  <c r="K13" i="16" s="1"/>
  <c r="K23" i="18"/>
  <c r="K23" i="16" s="1"/>
  <c r="K63" i="18"/>
  <c r="K64" i="18" s="1"/>
  <c r="K58" i="16" s="1"/>
  <c r="K42" i="18"/>
  <c r="K69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J27" i="20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71" i="16"/>
  <c r="J17" i="15"/>
  <c r="J51" i="15" s="1"/>
  <c r="J58" i="16"/>
  <c r="K13" i="15"/>
  <c r="K14" i="15" s="1"/>
  <c r="K15" i="21" s="1"/>
  <c r="K53" i="18"/>
  <c r="K57" i="16" s="1"/>
  <c r="L42" i="18"/>
  <c r="L69" i="16" s="1"/>
  <c r="L52" i="18"/>
  <c r="L67" i="16" s="1"/>
  <c r="L63" i="18"/>
  <c r="L68" i="16" s="1"/>
  <c r="L23" i="18"/>
  <c r="L23" i="16" s="1"/>
  <c r="L104" i="18"/>
  <c r="L20" i="15" s="1"/>
  <c r="L15" i="18"/>
  <c r="L8" i="16" s="1"/>
  <c r="K68" i="16"/>
  <c r="K71" i="16" s="1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J61" i="16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L71" i="16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9" i="16" s="1"/>
  <c r="J33" i="22"/>
  <c r="M52" i="18"/>
  <c r="M67" i="16" s="1"/>
  <c r="M63" i="18"/>
  <c r="M68" i="16" s="1"/>
  <c r="M15" i="18"/>
  <c r="M8" i="16" s="1"/>
  <c r="L14" i="15"/>
  <c r="L15" i="21" s="1"/>
  <c r="M104" i="18"/>
  <c r="M20" i="15" s="1"/>
  <c r="M23" i="18"/>
  <c r="M23" i="16" s="1"/>
  <c r="M42" i="18"/>
  <c r="M69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7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M71" i="16"/>
  <c r="K10" i="16"/>
  <c r="L35" i="18"/>
  <c r="L10" i="16" s="1"/>
  <c r="K61" i="16"/>
  <c r="M20" i="18"/>
  <c r="M22" i="16" s="1"/>
  <c r="M41" i="16" s="1"/>
  <c r="M33" i="18"/>
  <c r="L60" i="16"/>
  <c r="L90" i="17"/>
  <c r="O42" i="18"/>
  <c r="O69" i="16" s="1"/>
  <c r="O104" i="18"/>
  <c r="O20" i="15" s="1"/>
  <c r="O7" i="15"/>
  <c r="O63" i="18"/>
  <c r="O26" i="18"/>
  <c r="O23" i="18"/>
  <c r="O23" i="16" s="1"/>
  <c r="O15" i="18"/>
  <c r="O8" i="16" s="1"/>
  <c r="O52" i="18"/>
  <c r="O67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8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8" i="16"/>
  <c r="M30" i="18"/>
  <c r="M35" i="18" s="1"/>
  <c r="N60" i="16"/>
  <c r="L61" i="16"/>
  <c r="M90" i="17"/>
  <c r="M60" i="16"/>
  <c r="O13" i="16"/>
  <c r="P42" i="18"/>
  <c r="P69" i="16" s="1"/>
  <c r="P104" i="18"/>
  <c r="P20" i="15" s="1"/>
  <c r="P63" i="18"/>
  <c r="P7" i="15"/>
  <c r="P26" i="18"/>
  <c r="P23" i="18"/>
  <c r="P23" i="16" s="1"/>
  <c r="P15" i="18"/>
  <c r="P8" i="16" s="1"/>
  <c r="P52" i="18"/>
  <c r="P67" i="16" s="1"/>
  <c r="S8" i="17"/>
  <c r="S7" i="18" s="1"/>
  <c r="S10" i="18" s="1"/>
  <c r="S37" i="17"/>
  <c r="R37" i="17"/>
  <c r="R8" i="17"/>
  <c r="R7" i="18" s="1"/>
  <c r="R10" i="18" s="1"/>
  <c r="N71" i="16" l="1"/>
  <c r="O14" i="15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O71" i="16"/>
  <c r="P53" i="18"/>
  <c r="P57" i="16" s="1"/>
  <c r="P64" i="18"/>
  <c r="P58" i="16" s="1"/>
  <c r="P68" i="16"/>
  <c r="N61" i="16"/>
  <c r="P41" i="18"/>
  <c r="P46" i="18" s="1"/>
  <c r="Q41" i="18" s="1"/>
  <c r="P13" i="16"/>
  <c r="M61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7" i="16" s="1"/>
  <c r="Q23" i="18"/>
  <c r="Q23" i="16" s="1"/>
  <c r="Q42" i="18"/>
  <c r="Q69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8" i="16" s="1"/>
  <c r="S52" i="18"/>
  <c r="S67" i="16" s="1"/>
  <c r="S42" i="18"/>
  <c r="S69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P71" i="16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9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7" i="16" s="1"/>
  <c r="Q46" i="18" l="1"/>
  <c r="R41" i="18" s="1"/>
  <c r="R46" i="18" s="1"/>
  <c r="S41" i="18" s="1"/>
  <c r="S46" i="18" s="1"/>
  <c r="S14" i="16" s="1"/>
  <c r="Q68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S71" i="16"/>
  <c r="R53" i="18"/>
  <c r="R57" i="16" s="1"/>
  <c r="R64" i="18"/>
  <c r="R58" i="16" s="1"/>
  <c r="R68" i="16"/>
  <c r="N42" i="16"/>
  <c r="O61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Q71" i="16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R71" i="16"/>
  <c r="O42" i="16"/>
  <c r="R14" i="16"/>
  <c r="P10" i="16"/>
  <c r="Q30" i="18"/>
  <c r="P61" i="16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61" i="16"/>
  <c r="Q10" i="16" l="1"/>
  <c r="Q42" i="16" s="1"/>
  <c r="S61" i="16"/>
  <c r="S30" i="18"/>
  <c r="S35" i="18" s="1"/>
  <c r="S10" i="16" s="1"/>
  <c r="R10" i="16"/>
  <c r="R61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3" i="16"/>
  <c r="K63" i="16"/>
  <c r="L63" i="16"/>
  <c r="M63" i="16"/>
  <c r="N63" i="16"/>
  <c r="O63" i="16"/>
  <c r="P63" i="16"/>
  <c r="Q63" i="16"/>
  <c r="R63" i="16"/>
  <c r="S63" i="16"/>
  <c r="J65" i="16"/>
  <c r="K65" i="16"/>
  <c r="L65" i="16"/>
  <c r="M65" i="16"/>
  <c r="N65" i="16"/>
  <c r="O65" i="16"/>
  <c r="P65" i="16"/>
  <c r="Q65" i="16"/>
  <c r="R65" i="16"/>
  <c r="S65" i="16"/>
  <c r="J73" i="16"/>
  <c r="K73" i="16"/>
  <c r="L73" i="16"/>
  <c r="M73" i="16"/>
  <c r="N73" i="16"/>
  <c r="O73" i="16"/>
  <c r="P73" i="16"/>
  <c r="Q73" i="16"/>
  <c r="R73" i="16"/>
  <c r="S73" i="16"/>
  <c r="J77" i="16"/>
  <c r="K77" i="16"/>
  <c r="L77" i="16"/>
  <c r="M77" i="16"/>
  <c r="N77" i="16"/>
  <c r="O77" i="16"/>
  <c r="P77" i="16"/>
  <c r="Q77" i="16"/>
  <c r="R77" i="16"/>
  <c r="S77" i="16"/>
  <c r="J79" i="16"/>
  <c r="K79" i="16"/>
  <c r="L79" i="16"/>
  <c r="M79" i="16"/>
  <c r="N79" i="16"/>
  <c r="O79" i="16"/>
  <c r="P79" i="16"/>
  <c r="Q79" i="16"/>
  <c r="R79" i="16"/>
  <c r="S79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<sst xmlns="http://schemas.openxmlformats.org/spreadsheetml/2006/main" count="616" uniqueCount="365">
  <si>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</si>
  <si>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</si>
  <si>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</si>
  <si>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</si>
  <si>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</si>
  <si>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</si>
  <si>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</si>
  <si>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</si>
  <si>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</si>
  <si>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</si>
  <si>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</si>
  <si>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</si>
  <si>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</si>
  <si>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</si>
  <si>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</si>
  <si>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</si>
  <si>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</si>
  <si>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</si>
  <si>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</si>
  <si>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</si>
  <si>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</si>
  <si>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</si>
  <si>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</si>
  <si>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</si>
  <si>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</si>
  <si>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</si>
  <si>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</si>
  <si>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</si>
  <si>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</si>
  <si>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</si>
  <si>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</si>
  <si>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</si>
  <si>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</si>
  <si>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</si>
  <si>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</si>
  <si>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</si>
  <si>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</si>
  <si>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</si>
  <si>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</si>
  <si>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</si>
  <si>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</si>
  <si>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</si>
  <si>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</si>
  <si>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</si>
  <si>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</si>
  <si>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</si>
  <si>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</si>
  <si>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</si>
  <si>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</si>
  <si>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</si>
  <si>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</si>
  <si>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</si>
  <si>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</si>
  <si>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</si>
  <si>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</si>
  <si>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</si>
  <si>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</si>
  <si>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</si>
  <si>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</si>
  <si>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</si>
  <si>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</si>
  <si>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</si>
  <si>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</si>
  <si>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</si>
  <si>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</si>
  <si>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</si>
  <si>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</si>
  <si>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</si>
  <si>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</si>
  <si>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</si>
  <si>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</si>
  <si>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</si>
  <si>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</si>
  <si>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</si>
  <si>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</si>
  <si>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</si>
  <si>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</si>
  <si>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</si>
  <si>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</si>
  <si>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</si>
  <si>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</si>
  <si>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</si>
  <si>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</si>
  <si>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</si>
  <si>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</si>
  <si>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</si>
  <si>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</si>
  <si>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</si>
  <si>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</si>
  <si>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</si>
  <si>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</si>
  <si>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</si>
  <si>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</si>
  <si>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</si>
  <si>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</si>
  <si>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</si>
  <si>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</si>
  <si>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</si>
  <si>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</si>
  <si>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</si>
  <si>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</si>
  <si>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</si>
  <si>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</si>
  <si>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</si>
  <si>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</si>
  <si>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</si>
  <si>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</si>
  <si>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</si>
  <si>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</si>
  <si>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</si>
  <si>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</si>
  <si>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</si>
  <si>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</si>
  <si>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</si>
  <si>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</si>
  <si>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</si>
  <si>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</si>
  <si>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</si>
  <si>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</si>
  <si>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</si>
  <si>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</si>
  <si>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</si>
  <si>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</si>
  <si>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</si>
  <si>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</si>
  <si>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</si>
  <si>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</si>
  <si>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</si>
  <si>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</si>
  <si>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</si>
  <si>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</si>
  <si>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</si>
  <si>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</si>
  <si>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</si>
  <si>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</si>
  <si>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</si>
  <si>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</si>
  <si>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</si>
  <si>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</si>
  <si>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</si>
  <si>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</si>
  <si>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</si>
  <si>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</si>
  <si>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</si>
  <si>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</si>
  <si>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</si>
  <si>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</si>
  <si>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</si>
  <si>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</si>
  <si>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</si>
  <si>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</si>
  <si>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</si>
  <si>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</si>
  <si>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</si>
  <si>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</si>
  <si>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</si>
  <si>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</si>
  <si>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</si>
  <si>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</si>
  <si>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</si>
  <si>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</si>
  <si>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</si>
  <si>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</si>
  <si>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</si>
  <si>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</si>
  <si>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</si>
  <si>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</si>
  <si>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</si>
  <si>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</si>
  <si>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</si>
  <si>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</si>
  <si>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</si>
  <si>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</si>
  <si>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</si>
  <si>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</si>
  <si>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</si>
  <si>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</si>
  <si>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</si>
  <si>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</si>
  <si>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</si>
  <si>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</si>
  <si>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</si>
  <si>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</si>
  <si>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</si>
  <si>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</si>
  <si>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</si>
  <si>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</si>
  <si>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</si>
  <si>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</si>
  <si>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</si>
  <si>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</si>
  <si>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</si>
  <si>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</si>
  <si>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</si>
  <si>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</si>
  <si>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</si>
  <si>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</si>
  <si>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</si>
  <si>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</si>
  <si>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</si>
  <si>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</si>
  <si>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</si>
  <si>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</si>
  <si>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</si>
  <si>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</si>
  <si>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</si>
  <si>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</si>
  <si>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</si>
  <si>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</si>
  <si>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</si>
  <si>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</si>
  <si>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</si>
  <si>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</si>
  <si>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</si>
  <si>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</si>
  <si>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</si>
  <si>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</si>
  <si>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Adj of finance cost, net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</si>
  <si>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</si>
  <si>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</si>
  <si>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</si>
  <si>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</si>
  <si>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</si>
  <si>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</si>
  <si>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</si>
  <si>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</si>
  <si>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</si>
  <si>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</si>
  <si>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</si>
  <si>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</si>
  <si>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</si>
  <si>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</si>
  <si>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</si>
  <si>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</si>
  <si>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</si>
  <si>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</si>
  <si>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</si>
  <si>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</si>
  <si>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</si>
  <si>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</si>
  <si>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</si>
  <si>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</si>
  <si>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</si>
  <si>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</si>
  <si>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</si>
  <si>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</si>
  <si>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</si>
  <si>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</si>
  <si>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</si>
  <si>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</si>
  <si>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</si>
  <si>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</si>
  <si>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</si>
  <si>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</si>
  <si>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</si>
  <si>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</si>
  <si>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</si>
  <si>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</si>
  <si>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</si>
  <si>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</si>
  <si>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</si>
  <si>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</si>
  <si>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</si>
  <si>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</si>
  <si>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</si>
  <si>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</si>
  <si>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</si>
  <si>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Adj EBITDA (Danial Azmi defined)</t>
  </si>
  <si>
    <t>(-) SBC</t>
  </si>
  <si>
    <t>(-) Derivatives, FX</t>
  </si>
  <si>
    <t>(-) Reorg, dev and other</t>
  </si>
  <si>
    <t>FY2022</t>
  </si>
  <si>
    <t>FY2023</t>
  </si>
  <si>
    <t>Street view</t>
  </si>
  <si>
    <t>Proportionate Adj. EBITDA (DA defined)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</si>
  <si>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</si>
  <si>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</si>
  <si>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</si>
  <si>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</si>
  <si>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</si>
  <si>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</si>
  <si>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</si>
  <si>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</si>
  <si>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</si>
  <si>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</si>
  <si>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</si>
  <si>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</si>
  <si>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</si>
  <si>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</si>
  <si>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</si>
  <si>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</si>
  <si>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</si>
  <si>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</si>
  <si>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</si>
  <si>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</si>
  <si>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</si>
  <si>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</si>
  <si>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</si>
  <si>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</si>
  <si>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</si>
  <si>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</si>
  <si>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</si>
  <si>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</si>
  <si>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</si>
  <si>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</si>
  <si>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</si>
  <si>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</si>
  <si>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</si>
  <si>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</si>
  <si>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</si>
  <si>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</si>
  <si>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</si>
  <si>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</si>
  <si>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</si>
  <si>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</si>
  <si>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</si>
  <si>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</si>
  <si>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</si>
  <si>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</si>
  <si>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</si>
  <si>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</si>
  <si>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</si>
  <si>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</si>
  <si>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</si>
  <si>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</si>
  <si>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</si>
  <si>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</si>
  <si>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</si>
  <si>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</si>
  <si>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</si>
  <si>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</si>
  <si>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</si>
  <si>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</si>
  <si>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</si>
  <si>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</si>
  <si>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</si>
  <si>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</si>
  <si>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</si>
  <si>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</si>
  <si>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</si>
  <si>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</si>
  <si>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</si>
  <si>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</si>
  <si>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</si>
  <si>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</si>
  <si>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</si>
  <si>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</si>
  <si>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</si>
  <si>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</si>
  <si>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</si>
  <si>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</si>
  <si>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</si>
  <si>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</si>
  <si>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</si>
  <si>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</si>
  <si>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</si>
  <si>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</si>
  <si>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</si>
  <si>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</si>
  <si>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</si>
  <si>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</si>
  <si>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</si>
  <si>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</si>
  <si>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Model Drivers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</si>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</sst>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2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2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3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4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5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128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topLeftCell="A8" zoomScale="85" zoomScaleNormal="85" workbookViewId="0">
      <selection activeCell="T21" sqref="T21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359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362</v>
      </c>
      <c r="G15" t="s">
        <v>36</v>
      </c>
      <c r="H15" s="20" t="s">
        <v>354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276</v>
      </c>
      <c r="C17" s="53"/>
      <c r="D17" s="53"/>
      <c r="H17" s="90"/>
      <c r="I17" s="53"/>
      <c r="J17" s="53"/>
      <c r="K17" s="123" t="s">
        <v>315</v>
      </c>
      <c r="L17" s="123" t="s">
        <v>316</v>
      </c>
      <c r="M17" s="123" t="s">
        <v>317</v>
      </c>
      <c r="O17" s="90" t="s">
        <v>353</v>
      </c>
      <c r="P17" s="98" t="s">
        <v>348</v>
      </c>
      <c r="Q17" s="98" t="s">
        <v>344</v>
      </c>
      <c r="R17" s="98" t="s">
        <v>343</v>
      </c>
      <c r="S17" s="98" t="s">
        <v>351</v>
      </c>
      <c r="T17" s="98" t="s">
        <v>352</v>
      </c>
    </row>
    <row r="18" spans="2:20" x14ac:dyDescent="0.45">
      <c r="B18" s="53" t="s">
        <v>277</v>
      </c>
      <c r="C18" s="53"/>
      <c r="D18" s="105">
        <v>2.81</v>
      </c>
      <c r="H18" s="91" t="s">
        <v>29</v>
      </c>
      <c r="I18" s="53"/>
      <c r="J18" s="53"/>
      <c r="K18" s="53">
        <f ca="1">+K20-K19</f>
        <v>90.973135194091896</v>
      </c>
      <c r="L18" s="53">
        <f ca="1">+L20-L19</f>
        <v>106.26102816643271</v>
      </c>
      <c r="M18" s="53">
        <f ca="1">+M20-M19</f>
        <v>118.34244071568241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0.66618286139139604</v>
      </c>
      <c r="T18" s="114">
        <f ca="1">+$R$22*S18</f>
        <v>2.5559884809557141</v>
      </c>
    </row>
    <row r="19" spans="2:20" x14ac:dyDescent="0.45">
      <c r="B19" s="53" t="s">
        <v>278</v>
      </c>
      <c r="C19" s="53"/>
      <c r="D19" s="106">
        <v>173.11699999999999</v>
      </c>
      <c r="H19" s="91" t="s">
        <v>326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341</v>
      </c>
      <c r="P19" s="115">
        <f>+'P&amp;L'!I72</f>
        <v>0.1425904256851421</v>
      </c>
      <c r="Q19" s="115">
        <f ca="1">+'P&amp;L'!M72</f>
        <v>0.18582937629386614</v>
      </c>
      <c r="R19" s="53">
        <f ca="1">+(Q19-P19)*Q18*P20/$M$31</f>
        <v>2.7443391516844358</v>
      </c>
      <c r="S19" s="113">
        <f ca="1">+R19/$R$22</f>
        <v>0.71527384505816582</v>
      </c>
      <c r="T19" s="114">
        <f ca="1">+$R$22*S19</f>
        <v>2.7443391516844358</v>
      </c>
    </row>
    <row r="20" spans="2:20" x14ac:dyDescent="0.45">
      <c r="B20" s="107" t="s">
        <v>279</v>
      </c>
      <c r="C20" s="107"/>
      <c r="D20" s="108">
        <f>+D18*D19</f>
        <v>486.45876999999996</v>
      </c>
      <c r="H20" s="93" t="s">
        <v>327</v>
      </c>
      <c r="I20" s="93"/>
      <c r="J20" s="93"/>
      <c r="K20" s="93">
        <f ca="1">+'P&amp;L'!K71</f>
        <v>105.94351855409455</v>
      </c>
      <c r="L20" s="93">
        <f ca="1">+'P&amp;L'!L71</f>
        <v>120.23259619199774</v>
      </c>
      <c r="M20" s="93">
        <f ca="1">+'P&amp;L'!M71</f>
        <v>131.35514602056375</v>
      </c>
      <c r="O20" s="53" t="s">
        <v>342</v>
      </c>
      <c r="P20" s="97">
        <f>+D28</f>
        <v>15.543885788453187</v>
      </c>
      <c r="Q20" s="97">
        <f ca="1">+M26</f>
        <v>14.009349409048333</v>
      </c>
      <c r="R20" s="53">
        <f ca="1">+(Q20-P20)*Q19*Q18/$M$31</f>
        <v>-1.1643796259702721</v>
      </c>
      <c r="S20" s="113">
        <f ca="1">+R20/$R$22</f>
        <v>-0.30347936101992129</v>
      </c>
      <c r="T20" s="114">
        <f ca="1">+$R$22*S20</f>
        <v>-1.1643796259702721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223</v>
      </c>
      <c r="P21" s="53"/>
      <c r="Q21" s="53"/>
      <c r="R21" s="53">
        <f ca="1">+R22-SUM(R18:R20)</f>
        <v>-0.29918091299645022</v>
      </c>
      <c r="S21" s="113">
        <f ca="1">+R21/$R$22</f>
        <v>-7.7977345429640382E-2</v>
      </c>
      <c r="T21" s="114">
        <f ca="1">+$R$22*S21</f>
        <v>-0.29918091299645022</v>
      </c>
    </row>
    <row r="22" spans="2:20" x14ac:dyDescent="0.45">
      <c r="B22" s="53" t="s">
        <v>292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1364.5970279113785</v>
      </c>
      <c r="L22" s="53">
        <f t="shared" ca="1" si="1"/>
        <v>1593.9154224964907</v>
      </c>
      <c r="M22" s="53">
        <f t="shared" ca="1" si="1"/>
        <v>1775.1366107352362</v>
      </c>
      <c r="O22" s="107" t="s">
        <v>350</v>
      </c>
      <c r="P22" s="107"/>
      <c r="Q22" s="107"/>
      <c r="R22" s="116">
        <f ca="1">+M33-D18</f>
        <v>3.8367670943324144</v>
      </c>
      <c r="S22" s="53"/>
      <c r="T22" s="53"/>
    </row>
    <row r="23" spans="2:20" x14ac:dyDescent="0.45">
      <c r="B23" s="53" t="s">
        <v>324</v>
      </c>
      <c r="C23" s="53"/>
      <c r="D23" s="92">
        <f>+Quarterly!E82</f>
        <v>260.50299999999999</v>
      </c>
      <c r="H23" s="91" t="s">
        <v>326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287</v>
      </c>
      <c r="C24" s="107"/>
      <c r="D24" s="107">
        <f>+D22+D20+D23</f>
        <v>1384.7167699999998</v>
      </c>
      <c r="H24" s="93" t="s">
        <v>330</v>
      </c>
      <c r="I24" s="93"/>
      <c r="J24" s="93"/>
      <c r="K24" s="93">
        <f ca="1">SUM(K22:K23)</f>
        <v>1439.4489447113785</v>
      </c>
      <c r="L24" s="93">
        <f ca="1">SUM(L22:L23)</f>
        <v>1663.7732626244906</v>
      </c>
      <c r="M24" s="93">
        <f ca="1">SUM(M22:M23)</f>
        <v>1840.2001372581162</v>
      </c>
    </row>
    <row r="25" spans="2:20" x14ac:dyDescent="0.45">
      <c r="B25" s="53" t="s">
        <v>345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331</v>
      </c>
      <c r="I26" s="95"/>
      <c r="J26" s="96"/>
      <c r="K26" s="96">
        <f ca="1">+K24/K20</f>
        <v>13.586946746311797</v>
      </c>
      <c r="L26" s="96">
        <f ca="1">+L24/L20</f>
        <v>13.837955058107823</v>
      </c>
      <c r="M26" s="96">
        <f ca="1">+M24/M20</f>
        <v>14.009349408892069</v>
      </c>
    </row>
    <row r="27" spans="2:20" x14ac:dyDescent="0.45">
      <c r="B27" t="s">
        <v>347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345</v>
      </c>
      <c r="D28" s="110">
        <f>+D27/Summary!I22</f>
        <v>15.543885788453187</v>
      </c>
      <c r="H28" s="53" t="s">
        <v>333</v>
      </c>
      <c r="I28" s="53"/>
      <c r="J28" s="92"/>
      <c r="K28" s="92">
        <f ca="1">+'BS &amp; CFS'!K50</f>
        <v>636.68536841587593</v>
      </c>
      <c r="L28" s="92">
        <f ca="1">+'BS &amp; CFS'!L50</f>
        <v>666.69109982516113</v>
      </c>
      <c r="M28" s="92">
        <f ca="1">+'BS &amp; CFS'!M50</f>
        <v>689.55834528924549</v>
      </c>
    </row>
    <row r="29" spans="2:20" x14ac:dyDescent="0.45">
      <c r="H29" s="93" t="s">
        <v>332</v>
      </c>
      <c r="I29" s="93"/>
      <c r="J29" s="93"/>
      <c r="K29" s="93">
        <f ca="1">+K24-K28</f>
        <v>802.76357629550262</v>
      </c>
      <c r="L29" s="93">
        <f ca="1">+L24-L28</f>
        <v>997.08216279932947</v>
      </c>
      <c r="M29" s="93">
        <f ca="1">+M24-M28</f>
        <v>1150.6417919688706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334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335</v>
      </c>
      <c r="I33" s="99"/>
      <c r="J33" s="100"/>
      <c r="K33" s="100">
        <f ca="1">+K29/K31</f>
        <v>4.637222948568291</v>
      </c>
      <c r="L33" s="100">
        <f ca="1">+L29/L31</f>
        <v>5.7597185815006933</v>
      </c>
      <c r="M33" s="100">
        <f ca="1">+M29/M31</f>
        <v>6.6467670941458508</v>
      </c>
    </row>
    <row r="34" spans="2:17" x14ac:dyDescent="0.45">
      <c r="H34" s="98" t="s">
        <v>336</v>
      </c>
      <c r="I34" s="101"/>
      <c r="J34" s="102"/>
      <c r="K34" s="102">
        <f ca="1">+K33/$D$18-1</f>
        <v>0.65025727707056613</v>
      </c>
      <c r="L34" s="102">
        <f ca="1">+L33/$D$18-1</f>
        <v>1.0497219151248016</v>
      </c>
      <c r="M34" s="102">
        <f ca="1">+M33/$D$18-1</f>
        <v>1.3653975424006588</v>
      </c>
    </row>
    <row r="35" spans="2:17" x14ac:dyDescent="0.45">
      <c r="H35" s="98" t="s">
        <v>338</v>
      </c>
      <c r="I35" s="101"/>
      <c r="J35" s="101"/>
      <c r="K35" s="101">
        <f ca="1">+K33/$D$18</f>
        <v>1.6502572770705661</v>
      </c>
      <c r="L35" s="101">
        <f ca="1">+L33/$D$18</f>
        <v>2.0497219151248016</v>
      </c>
      <c r="M35" s="101">
        <f ca="1">+M33/$D$18</f>
        <v>2.3653975424006588</v>
      </c>
      <c r="Q35" s="15"/>
    </row>
    <row r="36" spans="2:17" x14ac:dyDescent="0.45">
      <c r="H36" s="103" t="s">
        <v>337</v>
      </c>
      <c r="I36" s="103"/>
      <c r="J36" s="104"/>
      <c r="K36" s="104">
        <f ca="1">+K35^(1/(YEARFRAC($D$16,K16)))-1</f>
        <v>0.42517296817203265</v>
      </c>
      <c r="L36" s="104">
        <f ca="1">+L35^(1/(YEARFRAC($D$16,L16)))-1</f>
        <v>0.34624975940858715</v>
      </c>
      <c r="M36" s="104">
        <f ca="1">+M35^(1/(YEARFRAC($D$16,M16)))-1</f>
        <v>0.28683955744077227</v>
      </c>
      <c r="O36" s="6"/>
    </row>
    <row r="38" spans="2:17" x14ac:dyDescent="0.45">
      <c r="B38" s="20"/>
    </row>
  </sheetData>
  <dataValidations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2"/>
  <sheetViews>
    <sheetView showGridLines="0" zoomScale="85" zoomScaleNormal="85" workbookViewId="0">
      <selection activeCell="J5" sqref="J5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361</v>
      </c>
      <c r="V3" s="122" t="s">
        <v>360</v>
      </c>
    </row>
    <row r="4" spans="1:22" x14ac:dyDescent="0.45">
      <c r="A4" t="s">
        <v>36</v>
      </c>
      <c r="B4" s="20" t="s">
        <v>280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281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282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283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284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285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-114.2381450942176</v>
      </c>
      <c r="K17">
        <f t="shared" ca="1" si="3"/>
        <v>-110.45500660203325</v>
      </c>
      <c r="L17">
        <f t="shared" ca="1" si="3"/>
        <v>-120.15134553636068</v>
      </c>
      <c r="M17">
        <f t="shared" ca="1" si="3"/>
        <v>-127.24019508139801</v>
      </c>
      <c r="N17">
        <f t="shared" ca="1" si="3"/>
        <v>-133.63962293125724</v>
      </c>
      <c r="O17">
        <f t="shared" ca="1" si="3"/>
        <v>-139.16544102888599</v>
      </c>
      <c r="P17">
        <f t="shared" ca="1" si="3"/>
        <v>-144.53692561951169</v>
      </c>
      <c r="Q17">
        <f t="shared" ca="1" si="3"/>
        <v>-149.98447663102388</v>
      </c>
      <c r="R17">
        <f t="shared" ca="1" si="3"/>
        <v>-155.91396606779824</v>
      </c>
      <c r="S17">
        <f t="shared" ca="1" si="3"/>
        <v>-162.21340178636132</v>
      </c>
    </row>
    <row r="19" spans="1:19" s="7" customFormat="1" x14ac:dyDescent="0.45">
      <c r="A19"/>
      <c r="B19" s="7" t="s">
        <v>339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106.36112690578247</v>
      </c>
      <c r="K19" s="7">
        <f ca="1">+'P&amp;L'!K68</f>
        <v>137.97439035376584</v>
      </c>
      <c r="L19" s="7">
        <f ca="1">+'P&amp;L'!L68</f>
        <v>156.5836153702264</v>
      </c>
      <c r="M19" s="7">
        <f ca="1">+'P&amp;L'!M68</f>
        <v>171.06894729714844</v>
      </c>
      <c r="N19" s="7">
        <f ca="1">+'P&amp;L'!N68</f>
        <v>182.63953688654234</v>
      </c>
      <c r="O19" s="7">
        <f ca="1">+'P&amp;L'!O68</f>
        <v>192.93093348965067</v>
      </c>
      <c r="P19" s="7">
        <f ca="1">+'P&amp;L'!P68</f>
        <v>203.24904748073237</v>
      </c>
      <c r="Q19" s="7">
        <f ca="1">+'P&amp;L'!Q68</f>
        <v>214.01623570534491</v>
      </c>
      <c r="R19" s="7">
        <f ca="1">+'P&amp;L'!R68</f>
        <v>224.9240238954545</v>
      </c>
      <c r="S19" s="7">
        <f ca="1">+'P&amp;L'!S68</f>
        <v>237.26615889092881</v>
      </c>
    </row>
    <row r="20" spans="1:19" s="1" customFormat="1" x14ac:dyDescent="0.45">
      <c r="A20"/>
      <c r="B20" s="1" t="s">
        <v>286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0.20202012458063601</v>
      </c>
      <c r="K20" s="80">
        <f t="shared" ca="1" si="4"/>
        <v>0.23648511084585183</v>
      </c>
      <c r="L20" s="80">
        <f t="shared" ca="1" si="4"/>
        <v>0.23965336256382069</v>
      </c>
      <c r="M20" s="80">
        <f t="shared" ca="1" si="4"/>
        <v>0.24201286925219254</v>
      </c>
      <c r="N20" s="80">
        <f t="shared" ca="1" si="4"/>
        <v>0.24302776233422568</v>
      </c>
      <c r="O20" s="80">
        <f t="shared" ca="1" si="4"/>
        <v>0.24394106954540437</v>
      </c>
      <c r="P20" s="80">
        <f t="shared" ca="1" si="4"/>
        <v>0.24490113175004397</v>
      </c>
      <c r="Q20" s="80">
        <f t="shared" ca="1" si="4"/>
        <v>0.24593788390049509</v>
      </c>
      <c r="R20" s="80">
        <f t="shared" ca="1" si="4"/>
        <v>0.24663396770485096</v>
      </c>
      <c r="S20" s="80">
        <f t="shared" ca="1" si="4"/>
        <v>0.24781248929662802</v>
      </c>
    </row>
    <row r="22" spans="1:19" x14ac:dyDescent="0.45">
      <c r="B22" s="7" t="s">
        <v>340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81.669301041195311</v>
      </c>
      <c r="K22" s="7">
        <f ca="1">+'P&amp;L'!K71</f>
        <v>105.94351855409386</v>
      </c>
      <c r="L22" s="7">
        <f ca="1">+'P&amp;L'!L71</f>
        <v>120.23259619200701</v>
      </c>
      <c r="M22" s="7">
        <f ca="1">+'P&amp;L'!M71</f>
        <v>131.35514602047371</v>
      </c>
      <c r="N22" s="7">
        <f ca="1">+'P&amp;L'!N71</f>
        <v>140.23961341839251</v>
      </c>
      <c r="O22" s="7">
        <f ca="1">+'P&amp;L'!O71</f>
        <v>148.14185356725929</v>
      </c>
      <c r="P22" s="7">
        <f ca="1">+'P&amp;L'!P71</f>
        <v>156.06460863981022</v>
      </c>
      <c r="Q22" s="7">
        <f ca="1">+'P&amp;L'!Q71</f>
        <v>164.332184981513</v>
      </c>
      <c r="R22" s="7">
        <f ca="1">+'P&amp;L'!R71</f>
        <v>172.70772088741572</v>
      </c>
      <c r="S22" s="7">
        <f ca="1">+'P&amp;L'!S71</f>
        <v>182.18461877069362</v>
      </c>
    </row>
    <row r="24" spans="1:19" x14ac:dyDescent="0.45">
      <c r="A24" t="s">
        <v>36</v>
      </c>
      <c r="B24" s="20" t="s">
        <v>358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355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263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356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346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357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  <row r="32" spans="1:19" x14ac:dyDescent="0.45">
      <c r="A32" t="s">
        <v>36</v>
      </c>
      <c r="B32" t="s">
        <v>363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6" sqref="J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-33.667631151878531</v>
      </c>
      <c r="K22">
        <f ca="1">+IF(Circ=1, 'Debt Calcs'!K22, 0)</f>
        <v>-34.897667717522204</v>
      </c>
      <c r="L22">
        <f ca="1">+IF(Circ=1, 'Debt Calcs'!L22, 0)</f>
        <v>-36.633587110760359</v>
      </c>
      <c r="M22">
        <f ca="1">+IF(Circ=1, 'Debt Calcs'!M22, 0)</f>
        <v>-38.114030463092796</v>
      </c>
      <c r="N22">
        <f ca="1">+IF(Circ=1, 'Debt Calcs'!N22, 0)</f>
        <v>-39.210471072285479</v>
      </c>
      <c r="O22">
        <f ca="1">+IF(Circ=1, 'Debt Calcs'!O22, 0)</f>
        <v>-39.988572186328248</v>
      </c>
      <c r="P22">
        <f ca="1">+IF(Circ=1, 'Debt Calcs'!P22, 0)</f>
        <v>-40.525313074593839</v>
      </c>
      <c r="Q22">
        <f ca="1">+IF(Circ=1, 'Debt Calcs'!Q22, 0)</f>
        <v>-40.847902394961139</v>
      </c>
      <c r="R22">
        <f ca="1">+IF(Circ=1, 'Debt Calcs'!R22, 0)</f>
        <v>-40.943591140240088</v>
      </c>
      <c r="S22">
        <f ca="1">+IF(Circ=1, 'Debt Calcs'!S22, 0)</f>
        <v>-40.828170623670175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24.111805390623203</v>
      </c>
      <c r="K27" s="7">
        <f t="shared" ca="1" si="4"/>
        <v>49.054040774070558</v>
      </c>
      <c r="L27" s="7">
        <f t="shared" ca="1" si="4"/>
        <v>61.988188875728952</v>
      </c>
      <c r="M27" s="7">
        <f t="shared" ca="1" si="4"/>
        <v>73.004389276178074</v>
      </c>
      <c r="N27" s="7">
        <f t="shared" ca="1" si="4"/>
        <v>80.546648743019716</v>
      </c>
      <c r="O27" s="7">
        <f t="shared" ca="1" si="4"/>
        <v>87.59803601847284</v>
      </c>
      <c r="P27" s="7">
        <f t="shared" ca="1" si="4"/>
        <v>94.954131969992829</v>
      </c>
      <c r="Q27" s="7">
        <f t="shared" ca="1" si="4"/>
        <v>102.87688244947094</v>
      </c>
      <c r="R27" s="7">
        <f t="shared" ca="1" si="4"/>
        <v>110.1250434333727</v>
      </c>
      <c r="S27" s="7">
        <f t="shared" ca="1" si="4"/>
        <v>118.54845614207738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4.5797464455154507E-2</v>
      </c>
      <c r="K28" s="6">
        <f t="shared" ca="1" si="5"/>
        <v>8.4077561351416322E-2</v>
      </c>
      <c r="L28" s="6">
        <f t="shared" ca="1" si="5"/>
        <v>9.4873769954697318E-2</v>
      </c>
      <c r="M28" s="6">
        <f t="shared" ca="1" si="5"/>
        <v>0.10328000490961319</v>
      </c>
      <c r="N28" s="6">
        <f t="shared" ca="1" si="5"/>
        <v>0.10717872012398498</v>
      </c>
      <c r="O28" s="6">
        <f t="shared" ca="1" si="5"/>
        <v>0.11075859225845397</v>
      </c>
      <c r="P28" s="6">
        <f t="shared" ca="1" si="5"/>
        <v>0.11441320228572657</v>
      </c>
      <c r="Q28" s="6">
        <f t="shared" ca="1" si="5"/>
        <v>0.11822151103871126</v>
      </c>
      <c r="R28" s="6">
        <f t="shared" ca="1" si="5"/>
        <v>0.12075444825878665</v>
      </c>
      <c r="S28" s="6">
        <f t="shared" ca="1" si="5"/>
        <v>0.12381785989271775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-6.9924235632807363</v>
      </c>
      <c r="K30" s="29">
        <f ca="1">+'FS Calcs'!K107</f>
        <v>-14.225671824480221</v>
      </c>
      <c r="L30" s="29">
        <f ca="1">+'FS Calcs'!L107</f>
        <v>-17.976574773964675</v>
      </c>
      <c r="M30" s="29">
        <f ca="1">+'FS Calcs'!M107</f>
        <v>-21.171272890059576</v>
      </c>
      <c r="N30" s="29">
        <f ca="1">+'FS Calcs'!N107</f>
        <v>-23.35852813573257</v>
      </c>
      <c r="O30" s="29">
        <f ca="1">+'FS Calcs'!O107</f>
        <v>-25.403430443769178</v>
      </c>
      <c r="P30" s="29">
        <f ca="1">+'FS Calcs'!P107</f>
        <v>-27.536698279958042</v>
      </c>
      <c r="Q30" s="29">
        <f ca="1">+'FS Calcs'!Q107</f>
        <v>-29.834295863524513</v>
      </c>
      <c r="R30" s="29">
        <f ca="1">+'FS Calcs'!R107</f>
        <v>-31.936262732750787</v>
      </c>
      <c r="S30" s="29">
        <f ca="1">+'FS Calcs'!S107</f>
        <v>-34.379051742401323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-6.9924235632807363</v>
      </c>
      <c r="K32">
        <f t="shared" ca="1" si="6"/>
        <v>-14.225671824480221</v>
      </c>
      <c r="L32">
        <f t="shared" ca="1" si="6"/>
        <v>-17.976574773964675</v>
      </c>
      <c r="M32">
        <f t="shared" ca="1" si="6"/>
        <v>-21.171272890059576</v>
      </c>
      <c r="N32">
        <f t="shared" ca="1" si="6"/>
        <v>-23.35852813573257</v>
      </c>
      <c r="O32">
        <f t="shared" ca="1" si="6"/>
        <v>-25.403430443769178</v>
      </c>
      <c r="P32">
        <f t="shared" ca="1" si="6"/>
        <v>-27.536698279958042</v>
      </c>
      <c r="Q32">
        <f t="shared" ca="1" si="6"/>
        <v>-29.834295863524513</v>
      </c>
      <c r="R32">
        <f t="shared" ca="1" si="6"/>
        <v>-31.936262732750787</v>
      </c>
      <c r="S32">
        <f t="shared" ca="1" si="6"/>
        <v>-34.379051742401323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17.119381827342465</v>
      </c>
      <c r="K34">
        <f t="shared" ca="1" si="7"/>
        <v>34.828368949590335</v>
      </c>
      <c r="L34">
        <f t="shared" ca="1" si="7"/>
        <v>44.01161410176428</v>
      </c>
      <c r="M34">
        <f t="shared" ca="1" si="7"/>
        <v>51.833116386118498</v>
      </c>
      <c r="N34">
        <f t="shared" ca="1" si="7"/>
        <v>57.188120607287146</v>
      </c>
      <c r="O34">
        <f t="shared" ca="1" si="7"/>
        <v>62.194605574703658</v>
      </c>
      <c r="P34">
        <f t="shared" ca="1" si="7"/>
        <v>67.417433690034784</v>
      </c>
      <c r="Q34">
        <f t="shared" ca="1" si="7"/>
        <v>73.042586585946424</v>
      </c>
      <c r="R34">
        <f t="shared" ca="1" si="7"/>
        <v>78.188780700621905</v>
      </c>
      <c r="S34">
        <f t="shared" ca="1" si="7"/>
        <v>84.169404399676068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-9.7798756926575443</v>
      </c>
      <c r="K36" s="7">
        <f t="shared" ca="1" si="8"/>
        <v>7.1221337039903219</v>
      </c>
      <c r="L36" s="7">
        <f t="shared" ca="1" si="8"/>
        <v>15.474191798796273</v>
      </c>
      <c r="M36" s="7">
        <f t="shared" ca="1" si="8"/>
        <v>22.439571414061454</v>
      </c>
      <c r="N36" s="7">
        <f t="shared" ca="1" si="8"/>
        <v>26.912769286068386</v>
      </c>
      <c r="O36" s="7">
        <f t="shared" ca="1" si="8"/>
        <v>31.010993713848332</v>
      </c>
      <c r="P36" s="7">
        <f t="shared" ca="1" si="8"/>
        <v>35.298313473353794</v>
      </c>
      <c r="Q36" s="7">
        <f t="shared" ca="1" si="8"/>
        <v>39.959892762765016</v>
      </c>
      <c r="R36" s="7">
        <f t="shared" ca="1" si="8"/>
        <v>44.113606062745035</v>
      </c>
      <c r="S36" s="7">
        <f t="shared" ca="1" si="8"/>
        <v>49.071974522662906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-5.6494172550054268E-2</v>
      </c>
      <c r="K38" s="15">
        <f t="shared" ref="K38:S38" ca="1" si="9">+K$36/K41</f>
        <v>4.1141530121887565E-2</v>
      </c>
      <c r="L38" s="15">
        <f t="shared" ca="1" si="9"/>
        <v>8.9387809111945798E-2</v>
      </c>
      <c r="M38" s="15">
        <f t="shared" ca="1" si="9"/>
        <v>0.12962383769018765</v>
      </c>
      <c r="N38" s="15">
        <f t="shared" ca="1" si="9"/>
        <v>0.15546359479685745</v>
      </c>
      <c r="O38" s="15">
        <f t="shared" ca="1" si="9"/>
        <v>0.17913729017374971</v>
      </c>
      <c r="P38" s="15">
        <f t="shared" ca="1" si="9"/>
        <v>0.20390330866748191</v>
      </c>
      <c r="Q38" s="15">
        <f t="shared" ca="1" si="9"/>
        <v>0.23083126491231171</v>
      </c>
      <c r="R38" s="15">
        <f t="shared" ca="1" si="9"/>
        <v>0.25482549584805897</v>
      </c>
      <c r="S38" s="15">
        <f t="shared" ca="1" si="9"/>
        <v>0.28346787660466233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-5.1377305928205046E-2</v>
      </c>
      <c r="K39" s="15">
        <f t="shared" ref="K39:S39" ca="1" si="10">+K$36/K42</f>
        <v>3.7415203799186364E-2</v>
      </c>
      <c r="L39" s="15">
        <f t="shared" ca="1" si="10"/>
        <v>8.1291655540709787E-2</v>
      </c>
      <c r="M39" s="15">
        <f t="shared" ca="1" si="10"/>
        <v>0.11788337210702929</v>
      </c>
      <c r="N39" s="15">
        <f t="shared" ca="1" si="10"/>
        <v>0.14138273577685986</v>
      </c>
      <c r="O39" s="15">
        <f t="shared" ca="1" si="10"/>
        <v>0.16291222519016321</v>
      </c>
      <c r="P39" s="15">
        <f t="shared" ca="1" si="10"/>
        <v>0.18543510235326702</v>
      </c>
      <c r="Q39" s="15">
        <f t="shared" ca="1" si="10"/>
        <v>0.20992410331679404</v>
      </c>
      <c r="R39" s="15">
        <f t="shared" ca="1" si="10"/>
        <v>0.23174509630869344</v>
      </c>
      <c r="S39" s="15">
        <f t="shared" ca="1" si="10"/>
        <v>0.25779324060783015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266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24.111805390623203</v>
      </c>
      <c r="K48">
        <f t="shared" ca="1" si="13"/>
        <v>49.054040774070558</v>
      </c>
      <c r="L48">
        <f t="shared" ca="1" si="13"/>
        <v>61.988188875728952</v>
      </c>
      <c r="M48">
        <f t="shared" ca="1" si="13"/>
        <v>73.004389276178074</v>
      </c>
      <c r="N48">
        <f t="shared" ca="1" si="13"/>
        <v>80.546648743019716</v>
      </c>
      <c r="O48">
        <f t="shared" ca="1" si="13"/>
        <v>87.59803601847284</v>
      </c>
      <c r="P48">
        <f t="shared" ca="1" si="13"/>
        <v>94.954131969992829</v>
      </c>
      <c r="Q48">
        <f t="shared" ca="1" si="13"/>
        <v>102.87688244947094</v>
      </c>
      <c r="R48">
        <f t="shared" ca="1" si="13"/>
        <v>110.1250434333727</v>
      </c>
      <c r="S48">
        <f t="shared" ca="1" si="13"/>
        <v>118.54845614207738</v>
      </c>
    </row>
    <row r="49" spans="2:20" x14ac:dyDescent="0.45">
      <c r="B49" t="s">
        <v>259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6.9924235632807363</v>
      </c>
      <c r="K49">
        <f t="shared" ca="1" si="14"/>
        <v>14.225671824480221</v>
      </c>
      <c r="L49">
        <f t="shared" ca="1" si="14"/>
        <v>17.976574773964675</v>
      </c>
      <c r="M49">
        <f t="shared" ca="1" si="14"/>
        <v>21.171272890059576</v>
      </c>
      <c r="N49">
        <f t="shared" ca="1" si="14"/>
        <v>23.35852813573257</v>
      </c>
      <c r="O49">
        <f t="shared" ca="1" si="14"/>
        <v>25.403430443769178</v>
      </c>
      <c r="P49">
        <f t="shared" ca="1" si="14"/>
        <v>27.536698279958042</v>
      </c>
      <c r="Q49">
        <f t="shared" ca="1" si="14"/>
        <v>29.834295863524513</v>
      </c>
      <c r="R49">
        <f t="shared" ca="1" si="14"/>
        <v>31.936262732750787</v>
      </c>
      <c r="S49">
        <f t="shared" ca="1" si="14"/>
        <v>34.379051742401323</v>
      </c>
    </row>
    <row r="50" spans="2:20" x14ac:dyDescent="0.45">
      <c r="B50" t="s">
        <v>233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33.667631151878531</v>
      </c>
      <c r="K50">
        <f t="shared" ca="1" si="15"/>
        <v>34.897667717522204</v>
      </c>
      <c r="L50">
        <f t="shared" ca="1" si="15"/>
        <v>36.633587110760359</v>
      </c>
      <c r="M50">
        <f t="shared" ca="1" si="15"/>
        <v>38.114030463092796</v>
      </c>
      <c r="N50">
        <f t="shared" ca="1" si="15"/>
        <v>39.210471072285479</v>
      </c>
      <c r="O50">
        <f t="shared" ca="1" si="15"/>
        <v>39.988572186328248</v>
      </c>
      <c r="P50">
        <f t="shared" ca="1" si="15"/>
        <v>40.525313074593839</v>
      </c>
      <c r="Q50">
        <f t="shared" ca="1" si="15"/>
        <v>40.847902394961139</v>
      </c>
      <c r="R50">
        <f t="shared" ca="1" si="15"/>
        <v>40.943591140240088</v>
      </c>
      <c r="S50">
        <f t="shared" ca="1" si="15"/>
        <v>40.828170623670175</v>
      </c>
    </row>
    <row r="51" spans="2:20" x14ac:dyDescent="0.45">
      <c r="B51" t="s">
        <v>260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263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261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264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265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262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126.36112690578247</v>
      </c>
      <c r="K56" s="43">
        <f t="shared" ca="1" si="21"/>
        <v>150.47439035376584</v>
      </c>
      <c r="L56" s="43">
        <f t="shared" ca="1" si="21"/>
        <v>169.0836153702264</v>
      </c>
      <c r="M56" s="43">
        <f t="shared" ca="1" si="21"/>
        <v>183.56894729714844</v>
      </c>
      <c r="N56" s="43">
        <f t="shared" ca="1" si="21"/>
        <v>195.13953688654234</v>
      </c>
      <c r="O56" s="43">
        <f t="shared" ca="1" si="21"/>
        <v>205.43093348965067</v>
      </c>
      <c r="P56" s="43">
        <f t="shared" ca="1" si="21"/>
        <v>215.74904748073237</v>
      </c>
      <c r="Q56" s="43">
        <f t="shared" ca="1" si="21"/>
        <v>226.51623570534491</v>
      </c>
      <c r="R56" s="43">
        <f t="shared" ca="1" si="21"/>
        <v>237.4240238954545</v>
      </c>
      <c r="S56" s="43">
        <f t="shared" ca="1" si="21"/>
        <v>249.76615889092881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0.24000771092119647</v>
      </c>
      <c r="K57" s="78">
        <f t="shared" ca="1" si="22"/>
        <v>0.25790983957988584</v>
      </c>
      <c r="L57" s="78">
        <f t="shared" ca="1" si="22"/>
        <v>0.25878478333836852</v>
      </c>
      <c r="M57" s="78">
        <f t="shared" ca="1" si="22"/>
        <v>0.25969673832047918</v>
      </c>
      <c r="N57" s="78">
        <f t="shared" ca="1" si="22"/>
        <v>0.25966078211167382</v>
      </c>
      <c r="O57" s="78">
        <f t="shared" ca="1" si="22"/>
        <v>0.25974601753463455</v>
      </c>
      <c r="P57" s="78">
        <f t="shared" ca="1" si="22"/>
        <v>0.25996277255387479</v>
      </c>
      <c r="Q57" s="78">
        <f t="shared" ca="1" si="22"/>
        <v>0.2603023247038963</v>
      </c>
      <c r="R57" s="78">
        <f t="shared" ca="1" si="22"/>
        <v>0.26034048310021657</v>
      </c>
      <c r="S57" s="78">
        <f t="shared" ca="1" si="22"/>
        <v>0.26086810637530228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-29.334842835714181</v>
      </c>
      <c r="K59" s="7">
        <f t="shared" ref="K59:S59" ca="1" si="23">+K60*K56*-1</f>
        <v>-34.932757406626372</v>
      </c>
      <c r="L59" s="7">
        <f t="shared" ca="1" si="23"/>
        <v>-39.252904785173769</v>
      </c>
      <c r="M59" s="7">
        <f t="shared" ca="1" si="23"/>
        <v>-42.615686883629124</v>
      </c>
      <c r="N59" s="7">
        <f t="shared" ca="1" si="23"/>
        <v>-45.301809075104202</v>
      </c>
      <c r="O59" s="7">
        <f t="shared" ca="1" si="23"/>
        <v>-47.690965529345753</v>
      </c>
      <c r="P59" s="7">
        <f t="shared" ca="1" si="23"/>
        <v>-50.086324447876528</v>
      </c>
      <c r="Q59" s="7">
        <f t="shared" ca="1" si="23"/>
        <v>-52.585936330786282</v>
      </c>
      <c r="R59" s="7">
        <f t="shared" ca="1" si="23"/>
        <v>-55.118188614993166</v>
      </c>
      <c r="S59" s="7">
        <f t="shared" ca="1" si="23"/>
        <v>-57.983425727189569</v>
      </c>
    </row>
    <row r="60" spans="2:20" x14ac:dyDescent="0.45">
      <c r="B60" s="14" t="s">
        <v>275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300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97.026284070068286</v>
      </c>
      <c r="K62" s="85">
        <f t="shared" ca="1" si="25"/>
        <v>115.54163294713948</v>
      </c>
      <c r="L62" s="85">
        <f t="shared" ca="1" si="25"/>
        <v>129.83071058505263</v>
      </c>
      <c r="M62" s="85">
        <f t="shared" ca="1" si="25"/>
        <v>140.95326041351933</v>
      </c>
      <c r="N62" s="85">
        <f t="shared" ca="1" si="25"/>
        <v>149.83772781143813</v>
      </c>
      <c r="O62" s="85">
        <f t="shared" ca="1" si="25"/>
        <v>157.73996796030491</v>
      </c>
      <c r="P62" s="85">
        <f t="shared" ca="1" si="25"/>
        <v>165.66272303285584</v>
      </c>
      <c r="Q62" s="85">
        <f t="shared" ca="1" si="25"/>
        <v>173.93029937455861</v>
      </c>
      <c r="R62" s="85">
        <f t="shared" ca="1" si="25"/>
        <v>182.30583528046134</v>
      </c>
      <c r="S62" s="85">
        <f t="shared" ca="1" si="25"/>
        <v>191.78273316373924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0.18428971717077328</v>
      </c>
      <c r="K63" s="78">
        <f t="shared" ca="1" si="26"/>
        <v>0.19803585147038291</v>
      </c>
      <c r="L63" s="78">
        <f t="shared" ca="1" si="26"/>
        <v>0.19870767629289476</v>
      </c>
      <c r="M63" s="78">
        <f t="shared" ca="1" si="26"/>
        <v>0.19940792015206329</v>
      </c>
      <c r="N63" s="78">
        <f t="shared" ca="1" si="26"/>
        <v>0.19938031120764288</v>
      </c>
      <c r="O63" s="78">
        <f t="shared" ca="1" si="26"/>
        <v>0.19944575915483623</v>
      </c>
      <c r="P63" s="78">
        <f t="shared" ca="1" si="26"/>
        <v>0.19961219431243105</v>
      </c>
      <c r="Q63" s="78">
        <f t="shared" ca="1" si="26"/>
        <v>0.19987291914269589</v>
      </c>
      <c r="R63" s="78">
        <f t="shared" ca="1" si="26"/>
        <v>0.19990221903493091</v>
      </c>
      <c r="S63" s="78">
        <f t="shared" ca="1" si="26"/>
        <v>0.20030735411898737</v>
      </c>
    </row>
    <row r="64" spans="2:20" x14ac:dyDescent="0.45">
      <c r="B64" s="14"/>
    </row>
    <row r="65" spans="2:19" x14ac:dyDescent="0.45">
      <c r="B65" s="75" t="s">
        <v>268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269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270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267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106.36112690578247</v>
      </c>
      <c r="K68" s="43">
        <f t="shared" ca="1" si="30"/>
        <v>137.97439035376584</v>
      </c>
      <c r="L68" s="43">
        <f t="shared" ca="1" si="30"/>
        <v>156.5836153702264</v>
      </c>
      <c r="M68" s="43">
        <f t="shared" ca="1" si="30"/>
        <v>171.06894729714844</v>
      </c>
      <c r="N68" s="43">
        <f t="shared" ca="1" si="30"/>
        <v>182.63953688654234</v>
      </c>
      <c r="O68" s="43">
        <f t="shared" ca="1" si="30"/>
        <v>192.93093348965067</v>
      </c>
      <c r="P68" s="43">
        <f t="shared" ca="1" si="30"/>
        <v>203.24904748073237</v>
      </c>
      <c r="Q68" s="43">
        <f t="shared" ca="1" si="30"/>
        <v>214.01623570534491</v>
      </c>
      <c r="R68" s="43">
        <f t="shared" ca="1" si="30"/>
        <v>224.9240238954545</v>
      </c>
      <c r="S68" s="43">
        <f t="shared" ca="1" si="30"/>
        <v>237.26615889092881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0.20202012458063601</v>
      </c>
      <c r="K69" s="78">
        <f t="shared" ca="1" si="31"/>
        <v>0.23648511084585183</v>
      </c>
      <c r="L69" s="78">
        <f t="shared" ca="1" si="31"/>
        <v>0.23965336256382069</v>
      </c>
      <c r="M69" s="78">
        <f t="shared" ca="1" si="31"/>
        <v>0.24201286925219254</v>
      </c>
      <c r="N69" s="78">
        <f t="shared" ca="1" si="31"/>
        <v>0.24302776233422568</v>
      </c>
      <c r="O69" s="78">
        <f t="shared" ca="1" si="31"/>
        <v>0.24394106954540437</v>
      </c>
      <c r="P69" s="78">
        <f t="shared" ca="1" si="31"/>
        <v>0.24490113175004397</v>
      </c>
      <c r="Q69" s="78">
        <f t="shared" ca="1" si="31"/>
        <v>0.24593788390049509</v>
      </c>
      <c r="R69" s="78">
        <f t="shared" ca="1" si="31"/>
        <v>0.24663396770485096</v>
      </c>
      <c r="S69" s="78">
        <f t="shared" ca="1" si="31"/>
        <v>0.24781248929662802</v>
      </c>
    </row>
    <row r="70" spans="2:19" s="7" customFormat="1" x14ac:dyDescent="0.45"/>
    <row r="71" spans="2:19" s="7" customFormat="1" x14ac:dyDescent="0.45">
      <c r="B71" s="85" t="s">
        <v>274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81.669301041195311</v>
      </c>
      <c r="K71" s="85">
        <f t="shared" ca="1" si="32"/>
        <v>105.94351855409386</v>
      </c>
      <c r="L71" s="85">
        <f t="shared" ca="1" si="32"/>
        <v>120.23259619200701</v>
      </c>
      <c r="M71" s="85">
        <f t="shared" ca="1" si="32"/>
        <v>131.35514602047371</v>
      </c>
      <c r="N71" s="85">
        <f t="shared" ca="1" si="32"/>
        <v>140.23961341839251</v>
      </c>
      <c r="O71" s="85">
        <f t="shared" ca="1" si="32"/>
        <v>148.14185356725929</v>
      </c>
      <c r="P71" s="85">
        <f t="shared" ca="1" si="32"/>
        <v>156.06460863981022</v>
      </c>
      <c r="Q71" s="85">
        <f t="shared" ca="1" si="32"/>
        <v>164.332184981513</v>
      </c>
      <c r="R71" s="85">
        <f t="shared" ca="1" si="32"/>
        <v>172.70772088741572</v>
      </c>
      <c r="S71" s="85">
        <f t="shared" ca="1" si="32"/>
        <v>182.18461877069362</v>
      </c>
    </row>
    <row r="72" spans="2:19" s="1" customFormat="1" x14ac:dyDescent="0.45">
      <c r="B72" s="1" t="s">
        <v>349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0.15512098123378157</v>
      </c>
      <c r="K72" s="78">
        <f t="shared" ca="1" si="33"/>
        <v>0.18158489169204456</v>
      </c>
      <c r="L72" s="78">
        <f t="shared" ca="1" si="33"/>
        <v>0.1840176310852468</v>
      </c>
      <c r="M72" s="78">
        <f t="shared" ca="1" si="33"/>
        <v>0.18582937629373877</v>
      </c>
      <c r="N72" s="78">
        <f t="shared" ca="1" si="33"/>
        <v>0.18660866108558391</v>
      </c>
      <c r="O72" s="78">
        <f t="shared" ca="1" si="33"/>
        <v>0.18730994325269484</v>
      </c>
      <c r="P72" s="78">
        <f t="shared" ca="1" si="33"/>
        <v>0.18804712620186048</v>
      </c>
      <c r="Q72" s="78">
        <f t="shared" ca="1" si="33"/>
        <v>0.18884319546084175</v>
      </c>
      <c r="R72" s="78">
        <f t="shared" ca="1" si="33"/>
        <v>0.18937768281935008</v>
      </c>
      <c r="S72" s="78">
        <f t="shared" ca="1" si="33"/>
        <v>0.19028260962355412</v>
      </c>
    </row>
    <row r="74" spans="2:19" x14ac:dyDescent="0.45">
      <c r="B74" t="s">
        <v>329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328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325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2"/>
  <sheetViews>
    <sheetView showGridLines="0" tabSelected="1" zoomScale="85" zoomScaleNormal="85" zoomScaleSheetLayoutView="85" workbookViewId="0">
      <pane xSplit="4" ySplit="3" topLeftCell="F38" activePane="bottomRight" state="frozen"/>
      <selection activeCell="B6" sqref="B6"/>
      <selection pane="topRight" activeCell="B6" sqref="B6"/>
      <selection pane="bottomLeft" activeCell="B6" sqref="B6"/>
      <selection pane="bottomRight" activeCell="I63" sqref="I63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210.72024708955504</v>
      </c>
      <c r="L10" s="29">
        <f>+'FS Calcs'!L35</f>
        <v>240.37204654657003</v>
      </c>
      <c r="M10" s="29">
        <f>+'FS Calcs'!M35</f>
        <v>268.89098262670564</v>
      </c>
      <c r="N10" s="29">
        <f>+'FS Calcs'!N35</f>
        <v>295.37913147694724</v>
      </c>
      <c r="O10" s="29">
        <f>+'FS Calcs'!O35</f>
        <v>320.56191802534482</v>
      </c>
      <c r="P10" s="29">
        <f>+'FS Calcs'!P35</f>
        <v>344.58461953348291</v>
      </c>
      <c r="Q10" s="29">
        <f>+'FS Calcs'!Q35</f>
        <v>367.40745741889299</v>
      </c>
      <c r="R10" s="29">
        <f>+'FS Calcs'!R35</f>
        <v>388.96553476807412</v>
      </c>
      <c r="S10" s="29">
        <f>+'FS Calcs'!S35</f>
        <v>408.99204112576365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550.31197696579261</v>
      </c>
      <c r="L11" s="7">
        <f t="shared" ca="1" si="2"/>
        <v>614.38765995145059</v>
      </c>
      <c r="M11" s="7">
        <f t="shared" ca="1" si="2"/>
        <v>669.23167072062074</v>
      </c>
      <c r="N11" s="7">
        <f t="shared" ca="1" si="2"/>
        <v>717.70105418382536</v>
      </c>
      <c r="O11" s="7">
        <f t="shared" ca="1" si="2"/>
        <v>762.26429063648311</v>
      </c>
      <c r="P11" s="7">
        <f t="shared" ca="1" si="2"/>
        <v>805.49856909657819</v>
      </c>
      <c r="Q11" s="7">
        <f t="shared" ca="1" si="2"/>
        <v>848.14837972035286</v>
      </c>
      <c r="R11" s="7">
        <f t="shared" ca="1" si="2"/>
        <v>890.26635324281369</v>
      </c>
      <c r="S11" s="7">
        <f t="shared" ca="1" si="2"/>
        <v>932.67227446662616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1271.3460994436327</v>
      </c>
      <c r="L19" s="7">
        <f t="shared" ca="1" si="5"/>
        <v>1343.063269918041</v>
      </c>
      <c r="M19" s="7">
        <f t="shared" ca="1" si="5"/>
        <v>1406.9458362899672</v>
      </c>
      <c r="N19" s="7">
        <f t="shared" ca="1" si="5"/>
        <v>1464.6900836780633</v>
      </c>
      <c r="O19" s="7">
        <f t="shared" ca="1" si="5"/>
        <v>1519.3934861342848</v>
      </c>
      <c r="P19" s="7">
        <f t="shared" ca="1" si="5"/>
        <v>1574.565289686549</v>
      </c>
      <c r="Q19" s="7">
        <f t="shared" ca="1" si="5"/>
        <v>1631.3528627506673</v>
      </c>
      <c r="R19" s="7">
        <f t="shared" ca="1" si="5"/>
        <v>1688.6929278906746</v>
      </c>
      <c r="S19" s="7">
        <f t="shared" ca="1" si="5"/>
        <v>1747.8482341266463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40.509</v>
      </c>
      <c r="K21" s="29">
        <f ca="1">+'Debt Calcs'!K7</f>
        <v>40.509</v>
      </c>
      <c r="L21" s="29">
        <f ca="1">+'Debt Calcs'!L7</f>
        <v>40.509</v>
      </c>
      <c r="M21" s="29">
        <f ca="1">+'Debt Calcs'!M7</f>
        <v>40.509</v>
      </c>
      <c r="N21" s="29">
        <f ca="1">+'Debt Calcs'!N7</f>
        <v>40.509</v>
      </c>
      <c r="O21" s="29">
        <f ca="1">+'Debt Calcs'!O7</f>
        <v>40.509</v>
      </c>
      <c r="P21" s="29">
        <f ca="1">+'Debt Calcs'!P7</f>
        <v>40.509</v>
      </c>
      <c r="Q21" s="29">
        <f ca="1">+'Debt Calcs'!Q7</f>
        <v>40.509</v>
      </c>
      <c r="R21" s="29">
        <f ca="1">+'Debt Calcs'!R7</f>
        <v>39.854762052328113</v>
      </c>
      <c r="S21" s="29">
        <f ca="1">+'Debt Calcs'!S7</f>
        <v>34.270116753853337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85.268709630556586</v>
      </c>
      <c r="K24" s="29">
        <f ca="1">+'Debt Calcs'!K8</f>
        <v>90</v>
      </c>
      <c r="L24" s="29">
        <f ca="1">+'Debt Calcs'!L8</f>
        <v>90</v>
      </c>
      <c r="M24" s="29">
        <f ca="1">+'Debt Calcs'!M8</f>
        <v>90</v>
      </c>
      <c r="N24" s="29">
        <f ca="1">+'Debt Calcs'!N8</f>
        <v>90</v>
      </c>
      <c r="O24" s="29">
        <f ca="1">+'Debt Calcs'!O8</f>
        <v>90</v>
      </c>
      <c r="P24" s="29">
        <f ca="1">+'Debt Calcs'!P8</f>
        <v>90</v>
      </c>
      <c r="Q24" s="29">
        <f ca="1">+'Debt Calcs'!Q8</f>
        <v>90</v>
      </c>
      <c r="R24" s="29">
        <f ca="1">+'Debt Calcs'!R8</f>
        <v>90</v>
      </c>
      <c r="S24" s="29">
        <f ca="1">+'Debt Calcs'!S8</f>
        <v>90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372.19521029457206</v>
      </c>
      <c r="K27" s="7">
        <f t="shared" ca="1" si="6"/>
        <v>401.06796385084886</v>
      </c>
      <c r="L27" s="7">
        <f t="shared" ca="1" si="6"/>
        <v>434.43392848583602</v>
      </c>
      <c r="M27" s="7">
        <f t="shared" ca="1" si="6"/>
        <v>459.99559547681019</v>
      </c>
      <c r="N27" s="7">
        <f t="shared" ca="1" si="6"/>
        <v>481.36742625458305</v>
      </c>
      <c r="O27" s="7">
        <f t="shared" ca="1" si="6"/>
        <v>500.22743804850285</v>
      </c>
      <c r="P27" s="7">
        <f t="shared" ca="1" si="6"/>
        <v>518.91664520574295</v>
      </c>
      <c r="Q27" s="7">
        <f t="shared" ca="1" si="6"/>
        <v>538.19022251309525</v>
      </c>
      <c r="R27" s="7">
        <f t="shared" ca="1" si="6"/>
        <v>557.50736767444221</v>
      </c>
      <c r="S27" s="7">
        <f t="shared" ca="1" si="6"/>
        <v>573.46249323651853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477.80399999999997</v>
      </c>
      <c r="K29" s="29">
        <f ca="1">+'Debt Calcs'!K13</f>
        <v>504.93736841587594</v>
      </c>
      <c r="L29" s="29">
        <f ca="1">+'Debt Calcs'!L13</f>
        <v>534.94309982516108</v>
      </c>
      <c r="M29" s="29">
        <f ca="1">+'Debt Calcs'!M13</f>
        <v>557.81034528924545</v>
      </c>
      <c r="N29" s="29">
        <f ca="1">+'Debt Calcs'!N13</f>
        <v>574.10169297503239</v>
      </c>
      <c r="O29" s="29">
        <f ca="1">+'Debt Calcs'!O13</f>
        <v>585.59967101796462</v>
      </c>
      <c r="P29" s="29">
        <f ca="1">+'Debt Calcs'!P13</f>
        <v>593.27100915101232</v>
      </c>
      <c r="Q29" s="29">
        <f ca="1">+'Debt Calcs'!Q13</f>
        <v>597.12072500672014</v>
      </c>
      <c r="R29" s="29">
        <f ca="1">+'Debt Calcs'!R13</f>
        <v>597.12070605069073</v>
      </c>
      <c r="S29" s="29">
        <f ca="1">+'Debt Calcs'!S13</f>
        <v>597.12076622397683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917.23721029457192</v>
      </c>
      <c r="K33" s="7">
        <f t="shared" ca="1" si="9"/>
        <v>973.24333226672479</v>
      </c>
      <c r="L33" s="7">
        <f t="shared" ca="1" si="9"/>
        <v>1036.6150283109971</v>
      </c>
      <c r="M33" s="7">
        <f t="shared" ca="1" si="9"/>
        <v>1085.0439407660556</v>
      </c>
      <c r="N33" s="7">
        <f t="shared" ca="1" si="9"/>
        <v>1122.7071192296155</v>
      </c>
      <c r="O33" s="7">
        <f t="shared" ca="1" si="9"/>
        <v>1153.0651090664674</v>
      </c>
      <c r="P33" s="7">
        <f t="shared" ca="1" si="9"/>
        <v>1179.4256543567553</v>
      </c>
      <c r="Q33" s="7">
        <f t="shared" ca="1" si="9"/>
        <v>1202.5489475198153</v>
      </c>
      <c r="R33" s="7">
        <f t="shared" ca="1" si="9"/>
        <v>1221.866073725133</v>
      </c>
      <c r="S33" s="7">
        <f t="shared" ca="1" si="9"/>
        <v>1237.8212594604952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69.648124307342243</v>
      </c>
      <c r="K35" s="29">
        <f ca="1">+'FS Calcs'!K78</f>
        <v>76.770258011338669</v>
      </c>
      <c r="L35" s="29">
        <f ca="1">+'FS Calcs'!L78</f>
        <v>92.244449810040578</v>
      </c>
      <c r="M35" s="29">
        <f ca="1">+'FS Calcs'!M78</f>
        <v>114.68402122511164</v>
      </c>
      <c r="N35" s="29">
        <f ca="1">+'FS Calcs'!N78</f>
        <v>141.5967905027758</v>
      </c>
      <c r="O35" s="29">
        <f ca="1">+'FS Calcs'!O78</f>
        <v>172.60778427792761</v>
      </c>
      <c r="P35" s="29">
        <f ca="1">+'FS Calcs'!P78</f>
        <v>207.90609739757667</v>
      </c>
      <c r="Q35" s="29">
        <f ca="1">+'FS Calcs'!Q78</f>
        <v>247.86599197401011</v>
      </c>
      <c r="R35" s="29">
        <f ca="1">+'FS Calcs'!R78</f>
        <v>291.97958883803699</v>
      </c>
      <c r="S35" s="29">
        <f ca="1">+'FS Calcs'!S78</f>
        <v>341.05159520104223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298.24120182734225</v>
      </c>
      <c r="K37" s="7">
        <f t="shared" ca="1" si="10"/>
        <v>298.1027671769387</v>
      </c>
      <c r="L37" s="7">
        <f t="shared" ca="1" si="10"/>
        <v>306.44824160660858</v>
      </c>
      <c r="M37" s="7">
        <f t="shared" ca="1" si="10"/>
        <v>321.90189552829668</v>
      </c>
      <c r="N37" s="7">
        <f t="shared" ca="1" si="10"/>
        <v>341.98296441243082</v>
      </c>
      <c r="O37" s="7">
        <f t="shared" ca="1" si="10"/>
        <v>366.32837729939422</v>
      </c>
      <c r="P37" s="7">
        <f t="shared" ca="1" si="10"/>
        <v>395.13963403169959</v>
      </c>
      <c r="Q37" s="7">
        <f t="shared" ca="1" si="10"/>
        <v>428.8039222952093</v>
      </c>
      <c r="R37" s="7">
        <f t="shared" ca="1" si="10"/>
        <v>466.82682765828582</v>
      </c>
      <c r="S37" s="7">
        <f t="shared" ca="1" si="10"/>
        <v>510.02708043670043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0</v>
      </c>
      <c r="K39" t="b">
        <f t="shared" ca="1" si="11"/>
        <v>0</v>
      </c>
      <c r="L39" t="b">
        <f t="shared" ca="1" si="11"/>
        <v>0</v>
      </c>
      <c r="M39" t="b">
        <f t="shared" ca="1" si="11"/>
        <v>0</v>
      </c>
      <c r="N39" t="b">
        <f t="shared" ca="1" si="11"/>
        <v>0</v>
      </c>
      <c r="O39" t="b">
        <f t="shared" ca="1" si="11"/>
        <v>0</v>
      </c>
      <c r="P39" t="b">
        <f t="shared" ca="1" si="11"/>
        <v>0</v>
      </c>
      <c r="Q39" t="b">
        <f t="shared" ca="1" si="11"/>
        <v>0</v>
      </c>
      <c r="R39" t="b">
        <f t="shared" ca="1" si="11"/>
        <v>0</v>
      </c>
      <c r="S39" t="b">
        <f t="shared" ca="1" si="11"/>
        <v>0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333.44849679757692</v>
      </c>
      <c r="L42" s="7">
        <f t="shared" si="13"/>
        <v>375.8493193875878</v>
      </c>
      <c r="M42" s="7">
        <f t="shared" si="13"/>
        <v>414.07223467456873</v>
      </c>
      <c r="N42" s="7">
        <f t="shared" si="13"/>
        <v>448.63509571068994</v>
      </c>
      <c r="O42" s="7">
        <f t="shared" si="13"/>
        <v>480.92034531287982</v>
      </c>
      <c r="P42" s="7">
        <f t="shared" si="13"/>
        <v>511.99008860867087</v>
      </c>
      <c r="Q42" s="7">
        <f t="shared" si="13"/>
        <v>542.09999579550083</v>
      </c>
      <c r="R42" s="7">
        <f t="shared" si="13"/>
        <v>571.22917691843725</v>
      </c>
      <c r="S42" s="7">
        <f t="shared" si="13"/>
        <v>599.69586636084057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603.58170963055659</v>
      </c>
      <c r="K47" s="7">
        <f t="shared" ca="1" si="16"/>
        <v>635.4463684158759</v>
      </c>
      <c r="L47" s="7">
        <f t="shared" ca="1" si="16"/>
        <v>665.4520998251611</v>
      </c>
      <c r="M47" s="7">
        <f t="shared" ca="1" si="16"/>
        <v>688.31934528924546</v>
      </c>
      <c r="N47" s="7">
        <f t="shared" ca="1" si="16"/>
        <v>704.61069297503241</v>
      </c>
      <c r="O47" s="7">
        <f t="shared" ca="1" si="16"/>
        <v>716.10867101796464</v>
      </c>
      <c r="P47" s="7">
        <f t="shared" ca="1" si="16"/>
        <v>723.78000915101234</v>
      </c>
      <c r="Q47" s="7">
        <f t="shared" ca="1" si="16"/>
        <v>727.62972500672015</v>
      </c>
      <c r="R47" s="7">
        <f t="shared" ca="1" si="16"/>
        <v>726.97546810301878</v>
      </c>
      <c r="S47" s="7">
        <f t="shared" ca="1" si="16"/>
        <v>721.39088297783019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639.82070963055662</v>
      </c>
      <c r="K48" s="7">
        <f t="shared" ca="1" si="17"/>
        <v>671.68536841587593</v>
      </c>
      <c r="L48" s="7">
        <f t="shared" ca="1" si="17"/>
        <v>701.69109982516113</v>
      </c>
      <c r="M48" s="7">
        <f t="shared" ca="1" si="17"/>
        <v>724.55834528924549</v>
      </c>
      <c r="N48" s="7">
        <f t="shared" ca="1" si="17"/>
        <v>740.84969297503244</v>
      </c>
      <c r="O48" s="7">
        <f t="shared" ca="1" si="17"/>
        <v>752.34767101796467</v>
      </c>
      <c r="P48" s="7">
        <f t="shared" ca="1" si="17"/>
        <v>760.01900915101237</v>
      </c>
      <c r="Q48" s="7">
        <f t="shared" ca="1" si="17"/>
        <v>763.86872500672018</v>
      </c>
      <c r="R48" s="7">
        <f t="shared" ca="1" si="17"/>
        <v>763.21446810301882</v>
      </c>
      <c r="S48" s="7">
        <f t="shared" ca="1" si="17"/>
        <v>757.62988297783022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604.82070963055662</v>
      </c>
      <c r="K50" s="7">
        <f t="shared" ca="1" si="18"/>
        <v>636.68536841587593</v>
      </c>
      <c r="L50" s="7">
        <f t="shared" ca="1" si="18"/>
        <v>666.69109982516113</v>
      </c>
      <c r="M50" s="7">
        <f t="shared" ca="1" si="18"/>
        <v>689.55834528924549</v>
      </c>
      <c r="N50" s="7">
        <f t="shared" ca="1" si="18"/>
        <v>705.84969297503244</v>
      </c>
      <c r="O50" s="7">
        <f t="shared" ca="1" si="18"/>
        <v>717.34767101796467</v>
      </c>
      <c r="P50" s="7">
        <f t="shared" ca="1" si="18"/>
        <v>725.01900915101237</v>
      </c>
      <c r="Q50" s="7">
        <f t="shared" ca="1" si="18"/>
        <v>728.86872500672018</v>
      </c>
      <c r="R50" s="7">
        <f t="shared" ca="1" si="18"/>
        <v>728.21446810301882</v>
      </c>
      <c r="S50" s="7">
        <f t="shared" ca="1" si="18"/>
        <v>722.62988297783022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258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4.7864459936442634</v>
      </c>
      <c r="K52" s="74">
        <f ca="1">+K50/'P&amp;L'!K56</f>
        <v>4.2311875590193289</v>
      </c>
      <c r="L52" s="74">
        <f ca="1">+L50/'P&amp;L'!L56</f>
        <v>3.9429669064351289</v>
      </c>
      <c r="M52" s="74">
        <f ca="1">+M50/'P&amp;L'!M56</f>
        <v>3.7563997366754878</v>
      </c>
      <c r="N52" s="74">
        <f ca="1">+N50/'P&amp;L'!N56</f>
        <v>3.6171536749544577</v>
      </c>
      <c r="O52" s="74">
        <f ca="1">+O50/'P&amp;L'!O56</f>
        <v>3.4919165230588187</v>
      </c>
      <c r="P52" s="74">
        <f ca="1">+P50/'P&amp;L'!P56</f>
        <v>3.3604737435352234</v>
      </c>
      <c r="Q52" s="74">
        <f ca="1">+Q50/'P&amp;L'!Q56</f>
        <v>3.2177328144184818</v>
      </c>
      <c r="R52" s="74">
        <f ca="1">+R50/'P&amp;L'!R56</f>
        <v>3.0671473658426063</v>
      </c>
      <c r="S52" s="74">
        <f ca="1">+S50/'P&amp;L'!S56</f>
        <v>2.8932257309652782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364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17.119381827342529</v>
      </c>
      <c r="K56" s="29">
        <f ca="1">+'P&amp;L'!K34</f>
        <v>34.828368949588594</v>
      </c>
      <c r="L56" s="29">
        <f ca="1">+'P&amp;L'!L34</f>
        <v>44.011614101787657</v>
      </c>
      <c r="M56" s="29">
        <f ca="1">+'P&amp;L'!M34</f>
        <v>51.833116385890648</v>
      </c>
      <c r="N56" s="29">
        <f ca="1">+'P&amp;L'!N34</f>
        <v>57.188120609011946</v>
      </c>
      <c r="O56" s="29">
        <f ca="1">+'P&amp;L'!O34</f>
        <v>62.194605564057106</v>
      </c>
      <c r="P56" s="29">
        <f ca="1">+'P&amp;L'!P34</f>
        <v>67.417433749870128</v>
      </c>
      <c r="Q56" s="29">
        <f ca="1">+'P&amp;L'!Q34</f>
        <v>73.04258630668123</v>
      </c>
      <c r="R56" s="29">
        <f ca="1">+'P&amp;L'!R34</f>
        <v>78.188781621806271</v>
      </c>
      <c r="S56" s="29">
        <f ca="1">+'P&amp;L'!S34</f>
        <v>84.169400692513562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+H41-I41</f>
        <v>-22.843000000000018</v>
      </c>
      <c r="J61">
        <f>+I41-J41</f>
        <v>-5.3572073578999948</v>
      </c>
      <c r="K61">
        <f t="shared" ref="K61:S61" si="23">+J41-K41</f>
        <v>-13.410042350121842</v>
      </c>
      <c r="L61">
        <f t="shared" si="23"/>
        <v>-12.749023132995887</v>
      </c>
      <c r="M61">
        <f t="shared" si="23"/>
        <v>-9.7039792068453607</v>
      </c>
      <c r="N61">
        <f t="shared" si="23"/>
        <v>-8.0747121858796049</v>
      </c>
      <c r="O61">
        <f t="shared" si="23"/>
        <v>-7.1024630537922917</v>
      </c>
      <c r="P61">
        <f t="shared" si="23"/>
        <v>-7.0470417876529723</v>
      </c>
      <c r="Q61">
        <f t="shared" si="23"/>
        <v>-7.2870693014198764</v>
      </c>
      <c r="R61">
        <f t="shared" si="23"/>
        <v>-7.5711037737552829</v>
      </c>
      <c r="S61">
        <f t="shared" si="23"/>
        <v>-8.4401830847137944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217</v>
      </c>
      <c r="I63" s="29">
        <f>+'P&amp;L'!I22*-1</f>
        <v>30.486000000000001</v>
      </c>
      <c r="J63" s="29">
        <f ca="1">+'P&amp;L'!J22*-1</f>
        <v>33.667631151878496</v>
      </c>
      <c r="K63" s="29">
        <f ca="1">+'P&amp;L'!K22*-1</f>
        <v>34.897667717523028</v>
      </c>
      <c r="L63" s="29">
        <f ca="1">+'P&amp;L'!L22*-1</f>
        <v>36.633587110749033</v>
      </c>
      <c r="M63" s="29">
        <f ca="1">+'P&amp;L'!M22*-1</f>
        <v>38.114030463203378</v>
      </c>
      <c r="N63" s="29">
        <f ca="1">+'P&amp;L'!N22*-1</f>
        <v>39.210471071399773</v>
      </c>
      <c r="O63" s="29">
        <f ca="1">+'P&amp;L'!O22*-1</f>
        <v>39.988572191803911</v>
      </c>
      <c r="P63" s="29">
        <f ca="1">+'P&amp;L'!P22*-1</f>
        <v>40.525313044731348</v>
      </c>
      <c r="Q63" s="29">
        <f ca="1">+'P&amp;L'!Q22*-1</f>
        <v>40.847902556416514</v>
      </c>
      <c r="R63" s="29">
        <f ca="1">+'P&amp;L'!R22*-1</f>
        <v>40.94359066757557</v>
      </c>
      <c r="S63" s="29">
        <f ca="1">+'P&amp;L'!S22*-1</f>
        <v>40.828172481605044</v>
      </c>
    </row>
    <row r="64" spans="1:19" x14ac:dyDescent="0.45">
      <c r="B64" t="s">
        <v>207</v>
      </c>
      <c r="I64">
        <f>+I65-SUM(I56:I63)</f>
        <v>-15.540000000000049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2:19" x14ac:dyDescent="0.45">
      <c r="B65" s="43" t="s">
        <v>138</v>
      </c>
      <c r="C65" s="43"/>
      <c r="D65" s="43"/>
      <c r="E65" s="43"/>
      <c r="F65" s="43"/>
      <c r="G65" s="43"/>
      <c r="H65" s="43"/>
      <c r="I65" s="68">
        <f>+I101</f>
        <v>33.100000000000009</v>
      </c>
      <c r="J65" s="67">
        <f t="shared" ref="J65:S65" ca="1" si="24">SUM(J56:J64)</f>
        <v>65.885929421320981</v>
      </c>
      <c r="K65" s="67">
        <f t="shared" ca="1" si="24"/>
        <v>70.08890026512762</v>
      </c>
      <c r="L65" s="67">
        <f t="shared" ca="1" si="24"/>
        <v>78.229643232298216</v>
      </c>
      <c r="M65" s="67">
        <f t="shared" ca="1" si="24"/>
        <v>90.503486229931013</v>
      </c>
      <c r="N65" s="67">
        <f t="shared" ca="1" si="24"/>
        <v>101.35961957979507</v>
      </c>
      <c r="O65" s="67">
        <f t="shared" ca="1" si="24"/>
        <v>109.83882299475151</v>
      </c>
      <c r="P65" s="67">
        <f t="shared" ca="1" si="24"/>
        <v>117.10590765499806</v>
      </c>
      <c r="Q65" s="67">
        <f t="shared" ca="1" si="24"/>
        <v>124.2377366736561</v>
      </c>
      <c r="R65" s="67">
        <f t="shared" ca="1" si="24"/>
        <v>131.9223177555364</v>
      </c>
      <c r="S65" s="67">
        <f t="shared" ca="1" si="24"/>
        <v>140.04136411449514</v>
      </c>
    </row>
    <row r="66" spans="2:19" x14ac:dyDescent="0.45">
      <c r="J66" s="29"/>
    </row>
    <row r="67" spans="2:19" x14ac:dyDescent="0.45">
      <c r="B67" t="s">
        <v>257</v>
      </c>
      <c r="I67" s="29">
        <f>+('FS Calcs'!I52*-1)+'Debt Calcs'!I62</f>
        <v>-2.9949999999999997</v>
      </c>
      <c r="J67" s="29">
        <f>+('FS Calcs'!J52*-1)+'Debt Calcs'!J62</f>
        <v>-5.5843166999999987</v>
      </c>
      <c r="K67" s="29">
        <f>+('FS Calcs'!K52*-1)+'Debt Calcs'!K62</f>
        <v>-6.4385693816999989</v>
      </c>
      <c r="L67" s="29">
        <f>+('FS Calcs'!L52*-1)+'Debt Calcs'!L62</f>
        <v>-7.4876312343225013</v>
      </c>
      <c r="M67" s="29">
        <f>+('FS Calcs'!M52*-1)+'Debt Calcs'!M62</f>
        <v>-8.2898832986697837</v>
      </c>
      <c r="N67" s="29">
        <f>+('FS Calcs'!N52*-1)+'Debt Calcs'!N62</f>
        <v>-8.9597575935562865</v>
      </c>
      <c r="O67" s="29">
        <f>+('FS Calcs'!O52*-1)+'Debt Calcs'!O62</f>
        <v>-9.5503734275978935</v>
      </c>
      <c r="P67" s="29">
        <f>+('FS Calcs'!P52*-1)+'Debt Calcs'!P62</f>
        <v>-10.135842887841974</v>
      </c>
      <c r="Q67" s="29">
        <f>+('FS Calcs'!Q52*-1)+'Debt Calcs'!Q62</f>
        <v>-10.740066427452135</v>
      </c>
      <c r="R67" s="29">
        <f>+('FS Calcs'!R52*-1)+'Debt Calcs'!R62</f>
        <v>-11.366625681038979</v>
      </c>
      <c r="S67" s="29">
        <f>+('FS Calcs'!S52*-1)+'Debt Calcs'!S62</f>
        <v>-12.048634449762814</v>
      </c>
    </row>
    <row r="68" spans="2:19" x14ac:dyDescent="0.45">
      <c r="B68" t="s">
        <v>205</v>
      </c>
      <c r="I68" s="29">
        <f>+'FS Calcs'!I63*-1</f>
        <v>-14.308999999999999</v>
      </c>
      <c r="J68" s="29">
        <f>+'FS Calcs'!J63*-1</f>
        <v>-10.5297556</v>
      </c>
      <c r="K68" s="29">
        <f>+'FS Calcs'!K63*-1</f>
        <v>-11.6687591756</v>
      </c>
      <c r="L68" s="29">
        <f>+'FS Calcs'!L63*-1</f>
        <v>-13.067508312430002</v>
      </c>
      <c r="M68" s="29">
        <f>+'FS Calcs'!M63*-1</f>
        <v>-14.137177731559714</v>
      </c>
      <c r="N68" s="29">
        <f>+'FS Calcs'!N63*-1</f>
        <v>-15.03034345807505</v>
      </c>
      <c r="O68" s="29">
        <f>+'FS Calcs'!O63*-1</f>
        <v>-15.817831236797192</v>
      </c>
      <c r="P68" s="29">
        <f>+'FS Calcs'!P63*-1</f>
        <v>-16.5984571837893</v>
      </c>
      <c r="Q68" s="29">
        <f>+'FS Calcs'!Q63*-1</f>
        <v>-17.404088569936182</v>
      </c>
      <c r="R68" s="29">
        <f>+'FS Calcs'!R63*-1</f>
        <v>-18.239500908051973</v>
      </c>
      <c r="S68" s="29">
        <f>+'FS Calcs'!S63*-1</f>
        <v>-19.148845933017089</v>
      </c>
    </row>
    <row r="69" spans="2:19" x14ac:dyDescent="0.45">
      <c r="B69" t="s">
        <v>206</v>
      </c>
      <c r="I69" s="29">
        <f>+'FS Calcs'!I42*-1</f>
        <v>-1</v>
      </c>
      <c r="J69" s="29">
        <f>+'FS Calcs'!J42*-1</f>
        <v>-10.5297556</v>
      </c>
      <c r="K69" s="29">
        <f>+'FS Calcs'!K42*-1</f>
        <v>-11.6687591756</v>
      </c>
      <c r="L69" s="29">
        <f>+'FS Calcs'!L42*-1</f>
        <v>-13.067508312430002</v>
      </c>
      <c r="M69" s="29">
        <f>+'FS Calcs'!M42*-1</f>
        <v>-14.137177731559714</v>
      </c>
      <c r="N69" s="29">
        <f>+'FS Calcs'!N42*-1</f>
        <v>-15.03034345807505</v>
      </c>
      <c r="O69" s="29">
        <f>+'FS Calcs'!O42*-1</f>
        <v>-15.817831236797192</v>
      </c>
      <c r="P69" s="29">
        <f>+'FS Calcs'!P42*-1</f>
        <v>-16.5984571837893</v>
      </c>
      <c r="Q69" s="29">
        <f>+'FS Calcs'!Q42*-1</f>
        <v>-17.404088569936182</v>
      </c>
      <c r="R69" s="29">
        <f>+'FS Calcs'!R42*-1</f>
        <v>-18.239500908051973</v>
      </c>
      <c r="S69" s="29">
        <f>+'FS Calcs'!S42*-1</f>
        <v>-19.148845933017089</v>
      </c>
    </row>
    <row r="70" spans="2:19" x14ac:dyDescent="0.45">
      <c r="B70" t="s">
        <v>207</v>
      </c>
      <c r="I70">
        <f>+I71-SUM(I67:I69)</f>
        <v>7.4649999999999999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2:19" s="7" customFormat="1" x14ac:dyDescent="0.45">
      <c r="B71" s="43" t="s">
        <v>195</v>
      </c>
      <c r="C71" s="43"/>
      <c r="D71" s="43"/>
      <c r="E71" s="43"/>
      <c r="F71" s="43"/>
      <c r="G71" s="43"/>
      <c r="H71" s="43"/>
      <c r="I71" s="68">
        <f>+I106</f>
        <v>-10.838999999999999</v>
      </c>
      <c r="J71" s="67">
        <f t="shared" ref="J71:S71" si="25">SUM(J67:J70)</f>
        <v>-26.643827899999998</v>
      </c>
      <c r="K71" s="67">
        <f t="shared" si="25"/>
        <v>-29.776087732900002</v>
      </c>
      <c r="L71" s="67">
        <f t="shared" si="25"/>
        <v>-33.622647859182507</v>
      </c>
      <c r="M71" s="67">
        <f t="shared" si="25"/>
        <v>-36.564238761789213</v>
      </c>
      <c r="N71" s="67">
        <f t="shared" si="25"/>
        <v>-39.020444509706387</v>
      </c>
      <c r="O71" s="67">
        <f t="shared" si="25"/>
        <v>-41.186035901192277</v>
      </c>
      <c r="P71" s="67">
        <f t="shared" si="25"/>
        <v>-43.332757255420574</v>
      </c>
      <c r="Q71" s="67">
        <f t="shared" si="25"/>
        <v>-45.548243567324498</v>
      </c>
      <c r="R71" s="67">
        <f t="shared" si="25"/>
        <v>-47.845627497142928</v>
      </c>
      <c r="S71" s="67">
        <f t="shared" si="25"/>
        <v>-50.346326315796986</v>
      </c>
    </row>
    <row r="72" spans="2:19" s="7" customFormat="1" x14ac:dyDescent="0.45">
      <c r="I72" s="54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spans="2:19" s="7" customFormat="1" x14ac:dyDescent="0.45">
      <c r="B73" t="s">
        <v>212</v>
      </c>
      <c r="I73" s="54">
        <f>+I112+I113+I117</f>
        <v>24.298999999999999</v>
      </c>
      <c r="J73" s="29">
        <f ca="1">+'Debt Calcs'!J39+'Debt Calcs'!J45+'Debt Calcs'!J51+'Debt Calcs'!J56</f>
        <v>6.1207096305577799</v>
      </c>
      <c r="K73" s="29">
        <f ca="1">+'Debt Calcs'!K39+'Debt Calcs'!K45+'Debt Calcs'!K51+'Debt Calcs'!K56</f>
        <v>31.864658785288743</v>
      </c>
      <c r="L73" s="29">
        <f ca="1">+'Debt Calcs'!L39+'Debt Calcs'!L45+'Debt Calcs'!L51+'Debt Calcs'!L56</f>
        <v>30.005731409720465</v>
      </c>
      <c r="M73" s="29">
        <f ca="1">+'Debt Calcs'!M39+'Debt Calcs'!M45+'Debt Calcs'!M51+'Debt Calcs'!M56</f>
        <v>22.867245459699458</v>
      </c>
      <c r="N73" s="29">
        <f ca="1">+'Debt Calcs'!N39+'Debt Calcs'!N45+'Debt Calcs'!N51+'Debt Calcs'!N56</f>
        <v>16.291347721803955</v>
      </c>
      <c r="O73" s="29">
        <f ca="1">+'Debt Calcs'!O39+'Debt Calcs'!O45+'Debt Calcs'!O51+'Debt Calcs'!O56</f>
        <v>11.497977811355453</v>
      </c>
      <c r="P73" s="29">
        <f ca="1">+'Debt Calcs'!P39+'Debt Calcs'!P45+'Debt Calcs'!P51+'Debt Calcs'!P56</f>
        <v>7.6713394311417655</v>
      </c>
      <c r="Q73" s="29">
        <f ca="1">+'Debt Calcs'!Q39+'Debt Calcs'!Q45+'Debt Calcs'!Q51+'Debt Calcs'!Q56</f>
        <v>3.8497087913506838</v>
      </c>
      <c r="R73" s="29">
        <f ca="1">+'Debt Calcs'!R39+'Debt Calcs'!R45+'Debt Calcs'!R51+'Debt Calcs'!R56</f>
        <v>-0.65423039644533043</v>
      </c>
      <c r="S73" s="29">
        <f ca="1">+'Debt Calcs'!S39+'Debt Calcs'!S45+'Debt Calcs'!S51+'Debt Calcs'!S56</f>
        <v>-5.5846908957382286</v>
      </c>
    </row>
    <row r="74" spans="2:19" s="7" customFormat="1" x14ac:dyDescent="0.45">
      <c r="B74" t="s">
        <v>214</v>
      </c>
      <c r="I74" s="29">
        <f>+'Debt Calcs'!I63</f>
        <v>-9.4949999999999992</v>
      </c>
      <c r="J74" s="29">
        <f>+'Debt Calcs'!J63</f>
        <v>-2.3130000000000002</v>
      </c>
      <c r="K74" s="29">
        <f>+'Debt Calcs'!K63</f>
        <v>-2.3130000000000002</v>
      </c>
      <c r="L74" s="29">
        <f>+'Debt Calcs'!L63</f>
        <v>-2.3130000000000002</v>
      </c>
      <c r="M74" s="29">
        <f>+'Debt Calcs'!M63</f>
        <v>-2.3130000000000002</v>
      </c>
      <c r="N74" s="29">
        <f>+'Debt Calcs'!N63</f>
        <v>-2.3130000000000002</v>
      </c>
      <c r="O74" s="29">
        <f>+'Debt Calcs'!O63</f>
        <v>-2.3130000000000002</v>
      </c>
      <c r="P74" s="29">
        <f>+'Debt Calcs'!P63</f>
        <v>-2.3130000000000002</v>
      </c>
      <c r="Q74" s="29">
        <f>+'Debt Calcs'!Q63</f>
        <v>-2.3130000000000002</v>
      </c>
      <c r="R74" s="29">
        <f>+'Debt Calcs'!R63</f>
        <v>-2.3130000000000002</v>
      </c>
      <c r="S74" s="29">
        <f>+'Debt Calcs'!S63</f>
        <v>-2.3130000000000002</v>
      </c>
    </row>
    <row r="75" spans="2:19" s="7" customFormat="1" x14ac:dyDescent="0.45">
      <c r="B75" t="s">
        <v>151</v>
      </c>
      <c r="I75" s="29">
        <f>+'P&amp;L'!I44</f>
        <v>0</v>
      </c>
      <c r="J75" s="29">
        <f>+'P&amp;L'!J44</f>
        <v>0</v>
      </c>
      <c r="K75" s="29">
        <f>+'P&amp;L'!K44</f>
        <v>0</v>
      </c>
      <c r="L75" s="29">
        <f>+'P&amp;L'!L44</f>
        <v>0</v>
      </c>
      <c r="M75" s="29">
        <f>+'P&amp;L'!M44</f>
        <v>0</v>
      </c>
      <c r="N75" s="29">
        <f>+'P&amp;L'!N44</f>
        <v>0</v>
      </c>
      <c r="O75" s="29">
        <f>+'P&amp;L'!O44</f>
        <v>0</v>
      </c>
      <c r="P75" s="29">
        <f>+'P&amp;L'!P44</f>
        <v>0</v>
      </c>
      <c r="Q75" s="29">
        <f>+'P&amp;L'!Q44</f>
        <v>0</v>
      </c>
      <c r="R75" s="29">
        <f>+'P&amp;L'!R44</f>
        <v>0</v>
      </c>
      <c r="S75" s="29">
        <f>+'P&amp;L'!S44</f>
        <v>0</v>
      </c>
    </row>
    <row r="76" spans="2:19" s="7" customFormat="1" x14ac:dyDescent="0.45">
      <c r="B76" t="s">
        <v>213</v>
      </c>
      <c r="I76" s="29">
        <f>+'P&amp;L'!I45</f>
        <v>-33.609000000000002</v>
      </c>
      <c r="J76" s="29">
        <f>+'P&amp;L'!J45</f>
        <v>-34.281179999999999</v>
      </c>
      <c r="K76" s="29">
        <f>+'P&amp;L'!K45</f>
        <v>-34.966803599999999</v>
      </c>
      <c r="L76" s="29">
        <f>+'P&amp;L'!L45</f>
        <v>-35.666139672</v>
      </c>
      <c r="M76" s="29">
        <f>+'P&amp;L'!M45</f>
        <v>-36.37946246544</v>
      </c>
      <c r="N76" s="29">
        <f>+'P&amp;L'!N45</f>
        <v>-37.107051714748799</v>
      </c>
      <c r="O76" s="29">
        <f>+'P&amp;L'!O45</f>
        <v>-37.849192749043773</v>
      </c>
      <c r="P76" s="29">
        <f>+'P&amp;L'!P45</f>
        <v>-38.606176604024647</v>
      </c>
      <c r="Q76" s="29">
        <f>+'P&amp;L'!Q45</f>
        <v>-39.378300136105139</v>
      </c>
      <c r="R76" s="29">
        <f>+'P&amp;L'!R45</f>
        <v>-40.165866138827241</v>
      </c>
      <c r="S76" s="29">
        <f>+'P&amp;L'!S45</f>
        <v>-40.969183461603784</v>
      </c>
    </row>
    <row r="77" spans="2:19" s="7" customFormat="1" x14ac:dyDescent="0.45">
      <c r="B77" t="s">
        <v>216</v>
      </c>
      <c r="I77" s="29">
        <f>+'P&amp;L'!I22</f>
        <v>-30.486000000000001</v>
      </c>
      <c r="J77" s="29">
        <f ca="1">+'P&amp;L'!J22</f>
        <v>-33.667631151878496</v>
      </c>
      <c r="K77" s="29">
        <f ca="1">+'P&amp;L'!K22</f>
        <v>-34.897667717523028</v>
      </c>
      <c r="L77" s="29">
        <f ca="1">+'P&amp;L'!L22</f>
        <v>-36.633587110749033</v>
      </c>
      <c r="M77" s="29">
        <f ca="1">+'P&amp;L'!M22</f>
        <v>-38.114030463203378</v>
      </c>
      <c r="N77" s="29">
        <f ca="1">+'P&amp;L'!N22</f>
        <v>-39.210471071399773</v>
      </c>
      <c r="O77" s="29">
        <f ca="1">+'P&amp;L'!O22</f>
        <v>-39.988572191803911</v>
      </c>
      <c r="P77" s="29">
        <f ca="1">+'P&amp;L'!P22</f>
        <v>-40.525313044731348</v>
      </c>
      <c r="Q77" s="29">
        <f ca="1">+'P&amp;L'!Q22</f>
        <v>-40.847902556416514</v>
      </c>
      <c r="R77" s="29">
        <f ca="1">+'P&amp;L'!R22</f>
        <v>-40.94359066757557</v>
      </c>
      <c r="S77" s="29">
        <f ca="1">+'P&amp;L'!S22</f>
        <v>-40.828172481605044</v>
      </c>
    </row>
    <row r="78" spans="2:19" s="7" customFormat="1" x14ac:dyDescent="0.45">
      <c r="B78" t="s">
        <v>207</v>
      </c>
      <c r="I78" s="51">
        <f>+I79-SUM(I73:I77)</f>
        <v>3.1599999999999895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2:19" s="7" customFormat="1" x14ac:dyDescent="0.45">
      <c r="B79" s="43" t="s">
        <v>194</v>
      </c>
      <c r="C79" s="43"/>
      <c r="D79" s="43"/>
      <c r="E79" s="43"/>
      <c r="F79" s="43"/>
      <c r="G79" s="43"/>
      <c r="H79" s="43"/>
      <c r="I79" s="68">
        <f>+I118</f>
        <v>-46.131000000000007</v>
      </c>
      <c r="J79" s="67">
        <f ca="1">+SUM(J73:J78)</f>
        <v>-64.141101521320707</v>
      </c>
      <c r="K79" s="67">
        <f t="shared" ref="K79:S79" ca="1" si="26">+SUM(K73:K78)</f>
        <v>-40.312812532234283</v>
      </c>
      <c r="L79" s="67">
        <f t="shared" ca="1" si="26"/>
        <v>-44.606995373028568</v>
      </c>
      <c r="M79" s="67">
        <f t="shared" ca="1" si="26"/>
        <v>-53.939247468943918</v>
      </c>
      <c r="N79" s="67">
        <f t="shared" ca="1" si="26"/>
        <v>-62.339175064344616</v>
      </c>
      <c r="O79" s="67">
        <f t="shared" ca="1" si="26"/>
        <v>-68.652787129492225</v>
      </c>
      <c r="P79" s="67">
        <f t="shared" ca="1" si="26"/>
        <v>-73.77315021761423</v>
      </c>
      <c r="Q79" s="67">
        <f t="shared" ca="1" si="26"/>
        <v>-78.689493901170977</v>
      </c>
      <c r="R79" s="67">
        <f t="shared" ca="1" si="26"/>
        <v>-84.076687202848149</v>
      </c>
      <c r="S79" s="67">
        <f t="shared" ca="1" si="26"/>
        <v>-89.695046838947064</v>
      </c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 s="7" customFormat="1" x14ac:dyDescent="0.45">
      <c r="I81" s="54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3" spans="1:19" x14ac:dyDescent="0.45">
      <c r="A83" t="s">
        <v>36</v>
      </c>
      <c r="B83" s="20" t="s">
        <v>121</v>
      </c>
    </row>
    <row r="84" spans="1:19" x14ac:dyDescent="0.45">
      <c r="B84" t="s">
        <v>124</v>
      </c>
      <c r="H84" s="4"/>
      <c r="I84" s="4">
        <v>31.762</v>
      </c>
    </row>
    <row r="85" spans="1:19" x14ac:dyDescent="0.45">
      <c r="B85" t="s">
        <v>125</v>
      </c>
      <c r="H85" s="4"/>
      <c r="I85" s="4">
        <v>13.378</v>
      </c>
    </row>
    <row r="86" spans="1:19" x14ac:dyDescent="0.45">
      <c r="B86" t="s">
        <v>126</v>
      </c>
      <c r="H86" s="4"/>
      <c r="I86" s="4">
        <v>10.601000000000001</v>
      </c>
    </row>
    <row r="87" spans="1:19" x14ac:dyDescent="0.45">
      <c r="B87" t="s">
        <v>10</v>
      </c>
      <c r="H87" s="4"/>
      <c r="I87" s="4">
        <v>10.241</v>
      </c>
    </row>
    <row r="88" spans="1:19" x14ac:dyDescent="0.45">
      <c r="B88" t="s">
        <v>127</v>
      </c>
      <c r="H88" s="4"/>
      <c r="I88" s="4">
        <v>12.813000000000001</v>
      </c>
    </row>
    <row r="89" spans="1:19" x14ac:dyDescent="0.45">
      <c r="B89" t="s">
        <v>128</v>
      </c>
      <c r="H89" s="4"/>
      <c r="I89" s="4">
        <v>16.667000000000002</v>
      </c>
    </row>
    <row r="90" spans="1:19" x14ac:dyDescent="0.45">
      <c r="B90" t="s">
        <v>11</v>
      </c>
      <c r="H90" s="4"/>
      <c r="I90" s="4">
        <v>7.4139999999999997</v>
      </c>
    </row>
    <row r="91" spans="1:19" x14ac:dyDescent="0.45">
      <c r="B91" t="s">
        <v>8</v>
      </c>
      <c r="H91" s="4"/>
      <c r="I91" s="4">
        <v>-13.715999999999999</v>
      </c>
    </row>
    <row r="92" spans="1:19" x14ac:dyDescent="0.45">
      <c r="B92" t="s">
        <v>129</v>
      </c>
      <c r="H92" s="4"/>
      <c r="I92" s="4">
        <v>-9.0860000000000003</v>
      </c>
    </row>
    <row r="93" spans="1:19" x14ac:dyDescent="0.45">
      <c r="B93" t="s">
        <v>130</v>
      </c>
      <c r="H93" s="4"/>
      <c r="I93" s="4">
        <v>-3.0409999999999999</v>
      </c>
    </row>
    <row r="94" spans="1:19" x14ac:dyDescent="0.45">
      <c r="B94" t="s">
        <v>131</v>
      </c>
      <c r="H94" s="4"/>
      <c r="I94" s="4">
        <v>29.8</v>
      </c>
    </row>
    <row r="95" spans="1:19" x14ac:dyDescent="0.45">
      <c r="B95" t="s">
        <v>132</v>
      </c>
      <c r="H95" s="4"/>
      <c r="I95" s="4">
        <v>-1.9039999999999999</v>
      </c>
    </row>
    <row r="96" spans="1:19" x14ac:dyDescent="0.45">
      <c r="B96" t="s">
        <v>133</v>
      </c>
      <c r="H96" s="4"/>
      <c r="I96" s="4">
        <v>1.208</v>
      </c>
    </row>
    <row r="97" spans="2:19" x14ac:dyDescent="0.45">
      <c r="B97" t="s">
        <v>134</v>
      </c>
      <c r="H97" s="4"/>
      <c r="I97" s="4">
        <v>0</v>
      </c>
    </row>
    <row r="98" spans="2:19" x14ac:dyDescent="0.45">
      <c r="B98" t="s">
        <v>135</v>
      </c>
      <c r="H98" s="4"/>
      <c r="I98" s="4">
        <v>-0.42</v>
      </c>
    </row>
    <row r="99" spans="2:19" x14ac:dyDescent="0.45">
      <c r="B99" t="s">
        <v>136</v>
      </c>
      <c r="H99" s="4"/>
      <c r="I99" s="4">
        <v>-24.196999999999999</v>
      </c>
    </row>
    <row r="100" spans="2:19" x14ac:dyDescent="0.45">
      <c r="B100" t="s">
        <v>137</v>
      </c>
      <c r="H100" s="4"/>
      <c r="I100" s="4">
        <v>-48.42</v>
      </c>
    </row>
    <row r="101" spans="2:19" s="7" customFormat="1" x14ac:dyDescent="0.45">
      <c r="B101" s="43" t="s">
        <v>138</v>
      </c>
      <c r="C101" s="43"/>
      <c r="D101" s="43"/>
      <c r="E101" s="43"/>
      <c r="F101" s="43"/>
      <c r="G101" s="43"/>
      <c r="H101" s="43"/>
      <c r="I101" s="43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x14ac:dyDescent="0.45">
      <c r="B103" t="s">
        <v>191</v>
      </c>
      <c r="I103" s="4">
        <v>-0.3</v>
      </c>
    </row>
    <row r="104" spans="2:19" x14ac:dyDescent="0.45">
      <c r="B104" t="s">
        <v>192</v>
      </c>
      <c r="I104" s="4">
        <v>-2.9950000000000001</v>
      </c>
    </row>
    <row r="105" spans="2:19" x14ac:dyDescent="0.45">
      <c r="B105" t="s">
        <v>193</v>
      </c>
      <c r="I105" s="4">
        <v>-7.5439999999999996</v>
      </c>
    </row>
    <row r="106" spans="2:19" x14ac:dyDescent="0.45">
      <c r="B106" s="43" t="s">
        <v>195</v>
      </c>
      <c r="C106" s="43"/>
      <c r="D106" s="43"/>
      <c r="E106" s="43"/>
      <c r="F106" s="43"/>
      <c r="G106" s="43"/>
      <c r="H106" s="43"/>
      <c r="I106" s="43">
        <f>SUM(I103:I105)</f>
        <v>-10.838999999999999</v>
      </c>
    </row>
    <row r="108" spans="2:19" x14ac:dyDescent="0.45">
      <c r="B108" t="s">
        <v>181</v>
      </c>
      <c r="H108" s="4"/>
      <c r="I108" s="4">
        <v>0.41599999999999998</v>
      </c>
    </row>
    <row r="109" spans="2:19" x14ac:dyDescent="0.45">
      <c r="B109" t="s">
        <v>182</v>
      </c>
      <c r="H109" s="4"/>
      <c r="I109" s="4">
        <v>-1.46</v>
      </c>
    </row>
    <row r="110" spans="2:19" x14ac:dyDescent="0.45">
      <c r="B110" t="s">
        <v>183</v>
      </c>
      <c r="H110" s="4"/>
      <c r="I110" s="4">
        <v>-0.06</v>
      </c>
    </row>
    <row r="111" spans="2:19" x14ac:dyDescent="0.45">
      <c r="B111" t="s">
        <v>184</v>
      </c>
      <c r="H111" s="4"/>
      <c r="I111" s="4">
        <v>-33.609000000000002</v>
      </c>
    </row>
    <row r="112" spans="2:19" x14ac:dyDescent="0.45">
      <c r="B112" t="s">
        <v>185</v>
      </c>
      <c r="H112" s="4"/>
      <c r="I112" s="4">
        <v>9.0869999999999997</v>
      </c>
    </row>
    <row r="113" spans="2:19" x14ac:dyDescent="0.45">
      <c r="B113" t="s">
        <v>186</v>
      </c>
      <c r="H113" s="4"/>
      <c r="I113" s="4">
        <v>-3.62</v>
      </c>
    </row>
    <row r="114" spans="2:19" x14ac:dyDescent="0.45">
      <c r="B114" t="s">
        <v>187</v>
      </c>
      <c r="H114" s="4"/>
      <c r="I114" s="4">
        <v>-26.256</v>
      </c>
    </row>
    <row r="115" spans="2:19" x14ac:dyDescent="0.45">
      <c r="B115" t="s">
        <v>188</v>
      </c>
      <c r="H115" s="4"/>
      <c r="I115" s="4">
        <v>3.4000000000000002E-2</v>
      </c>
    </row>
    <row r="116" spans="2:19" x14ac:dyDescent="0.45">
      <c r="B116" t="s">
        <v>189</v>
      </c>
      <c r="H116" s="4"/>
      <c r="I116" s="4">
        <v>-9.4949999999999992</v>
      </c>
    </row>
    <row r="117" spans="2:19" x14ac:dyDescent="0.45">
      <c r="B117" t="s">
        <v>190</v>
      </c>
      <c r="H117" s="4"/>
      <c r="I117" s="4">
        <v>18.832000000000001</v>
      </c>
    </row>
    <row r="118" spans="2:19" s="7" customFormat="1" x14ac:dyDescent="0.45">
      <c r="B118" s="43" t="s">
        <v>194</v>
      </c>
      <c r="C118" s="43"/>
      <c r="D118" s="43"/>
      <c r="E118" s="43"/>
      <c r="F118" s="43"/>
      <c r="G118" s="43"/>
      <c r="H118" s="43"/>
      <c r="I118" s="43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x14ac:dyDescent="0.45">
      <c r="B120" t="s">
        <v>196</v>
      </c>
      <c r="H120" s="4"/>
      <c r="I120" s="4">
        <v>0.54500000000000004</v>
      </c>
    </row>
    <row r="122" spans="2:19" x14ac:dyDescent="0.45">
      <c r="B122" t="s">
        <v>197</v>
      </c>
      <c r="I122">
        <f>+I120+I118+I106+I101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J7" sqref="J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321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322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219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I77" sqref="I7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24.111805390623232</v>
      </c>
      <c r="K12" s="34">
        <f ca="1">+'P&amp;L'!K27</f>
        <v>49.054040774069733</v>
      </c>
      <c r="L12" s="34">
        <f ca="1">+'P&amp;L'!L27</f>
        <v>61.988188875740263</v>
      </c>
      <c r="M12" s="34">
        <f ca="1">+'P&amp;L'!M27</f>
        <v>73.004389276067513</v>
      </c>
      <c r="N12" s="34">
        <f ca="1">+'P&amp;L'!N27</f>
        <v>80.546648743905422</v>
      </c>
      <c r="O12" s="34">
        <f ca="1">+'P&amp;L'!O27</f>
        <v>87.59803601299717</v>
      </c>
      <c r="P12" s="34">
        <f ca="1">+'P&amp;L'!P27</f>
        <v>94.954131999855321</v>
      </c>
      <c r="Q12" s="34">
        <f ca="1">+'P&amp;L'!Q27</f>
        <v>102.87688228801557</v>
      </c>
      <c r="R12" s="34">
        <f ca="1">+'P&amp;L'!R27</f>
        <v>110.12504390603721</v>
      </c>
      <c r="S12" s="34">
        <f ca="1">+'P&amp;L'!S27</f>
        <v>118.54845428414251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210.72024708955504</v>
      </c>
      <c r="M30">
        <f t="shared" si="10"/>
        <v>240.37204654657003</v>
      </c>
      <c r="N30">
        <f t="shared" si="10"/>
        <v>268.89098262670564</v>
      </c>
      <c r="O30">
        <f t="shared" si="10"/>
        <v>295.37913147694724</v>
      </c>
      <c r="P30">
        <f t="shared" si="10"/>
        <v>320.56191802534482</v>
      </c>
      <c r="Q30">
        <f t="shared" si="10"/>
        <v>344.58461953348291</v>
      </c>
      <c r="R30">
        <f t="shared" si="10"/>
        <v>367.40745741889299</v>
      </c>
      <c r="S30">
        <f t="shared" si="10"/>
        <v>388.96553476807412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f t="shared" ref="K32:S32" si="12">+J32</f>
        <v>0</v>
      </c>
      <c r="L32" s="25">
        <f t="shared" si="12"/>
        <v>0</v>
      </c>
      <c r="M32" s="25">
        <f t="shared" si="12"/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210.72024708955504</v>
      </c>
      <c r="L35" s="13">
        <f t="shared" si="15"/>
        <v>240.37204654657003</v>
      </c>
      <c r="M35" s="13">
        <f t="shared" si="15"/>
        <v>268.89098262670564</v>
      </c>
      <c r="N35" s="13">
        <f t="shared" si="15"/>
        <v>295.37913147694724</v>
      </c>
      <c r="O35" s="13">
        <f t="shared" si="15"/>
        <v>320.56191802534482</v>
      </c>
      <c r="P35" s="13">
        <f t="shared" si="15"/>
        <v>344.58461953348291</v>
      </c>
      <c r="Q35" s="13">
        <f t="shared" si="15"/>
        <v>367.40745741889299</v>
      </c>
      <c r="R35" s="13">
        <f t="shared" si="15"/>
        <v>388.96553476807412</v>
      </c>
      <c r="S35" s="13">
        <f t="shared" si="15"/>
        <v>408.99204112576365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323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220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69.648124307342243</v>
      </c>
      <c r="L74">
        <f t="shared" ca="1" si="33"/>
        <v>76.770258011338669</v>
      </c>
      <c r="M74">
        <f t="shared" ca="1" si="33"/>
        <v>92.244449810040578</v>
      </c>
      <c r="N74">
        <f t="shared" ca="1" si="33"/>
        <v>114.68402122511164</v>
      </c>
      <c r="O74">
        <f t="shared" ca="1" si="33"/>
        <v>141.5967905027758</v>
      </c>
      <c r="P74">
        <f t="shared" ca="1" si="33"/>
        <v>172.60778427792761</v>
      </c>
      <c r="Q74">
        <f t="shared" ca="1" si="33"/>
        <v>207.90609739757667</v>
      </c>
      <c r="R74">
        <f t="shared" ca="1" si="33"/>
        <v>247.86599197401011</v>
      </c>
      <c r="S74">
        <f t="shared" ca="1" si="33"/>
        <v>291.97958883803699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-9.7798756926574804</v>
      </c>
      <c r="K75" s="29">
        <f ca="1">+'P&amp;L'!K36</f>
        <v>7.122133703988581</v>
      </c>
      <c r="L75" s="29">
        <f ca="1">+'P&amp;L'!L36</f>
        <v>15.47419179881965</v>
      </c>
      <c r="M75" s="29">
        <f ca="1">+'P&amp;L'!M36</f>
        <v>22.439571413833605</v>
      </c>
      <c r="N75" s="29">
        <f ca="1">+'P&amp;L'!N36</f>
        <v>26.912769287793186</v>
      </c>
      <c r="O75" s="29">
        <f ca="1">+'P&amp;L'!O36</f>
        <v>31.01099370320178</v>
      </c>
      <c r="P75" s="29">
        <f ca="1">+'P&amp;L'!P36</f>
        <v>35.298313533189138</v>
      </c>
      <c r="Q75" s="29">
        <f ca="1">+'P&amp;L'!Q36</f>
        <v>39.959892483499821</v>
      </c>
      <c r="R75" s="29">
        <f ca="1">+'P&amp;L'!R36</f>
        <v>44.113606983929401</v>
      </c>
      <c r="S75" s="29">
        <f ca="1">+'P&amp;L'!S36</f>
        <v>49.0719708155004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69.648124307342513</v>
      </c>
      <c r="K78" s="48">
        <f t="shared" ref="K78:S78" ca="1" si="35">SUM(K74:K77)</f>
        <v>76.770258011330824</v>
      </c>
      <c r="L78" s="48">
        <f t="shared" ca="1" si="35"/>
        <v>92.244449810158315</v>
      </c>
      <c r="M78" s="48">
        <f t="shared" ca="1" si="35"/>
        <v>114.68402122387418</v>
      </c>
      <c r="N78" s="48">
        <f t="shared" ca="1" si="35"/>
        <v>141.59679051290482</v>
      </c>
      <c r="O78" s="48">
        <f t="shared" ca="1" si="35"/>
        <v>172.60778420597759</v>
      </c>
      <c r="P78" s="48">
        <f t="shared" ca="1" si="35"/>
        <v>207.90609781111675</v>
      </c>
      <c r="Q78" s="48">
        <f t="shared" ca="1" si="35"/>
        <v>247.8659898810765</v>
      </c>
      <c r="R78" s="48">
        <f t="shared" ca="1" si="35"/>
        <v>291.97959895793952</v>
      </c>
      <c r="S78" s="48">
        <f t="shared" ca="1" si="35"/>
        <v>341.05155965353737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218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-6.9924235632807363</v>
      </c>
      <c r="K107">
        <f t="shared" ca="1" si="50"/>
        <v>-14.225671824480221</v>
      </c>
      <c r="L107">
        <f t="shared" ca="1" si="50"/>
        <v>-17.976574773964675</v>
      </c>
      <c r="M107">
        <f t="shared" ca="1" si="50"/>
        <v>-21.171272890059576</v>
      </c>
      <c r="N107">
        <f t="shared" ca="1" si="50"/>
        <v>-23.35852813573257</v>
      </c>
      <c r="O107">
        <f t="shared" ca="1" si="50"/>
        <v>-25.403430443769178</v>
      </c>
      <c r="P107">
        <f t="shared" ca="1" si="50"/>
        <v>-27.536698279958042</v>
      </c>
      <c r="Q107">
        <f t="shared" ca="1" si="50"/>
        <v>-29.834295863524513</v>
      </c>
      <c r="R107">
        <f t="shared" ca="1" si="50"/>
        <v>-31.936262732750787</v>
      </c>
      <c r="S107">
        <f t="shared" ca="1" si="50"/>
        <v>-34.379051742401323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40.509</v>
      </c>
      <c r="K7">
        <f t="shared" ref="K7:S7" ca="1" si="1">+K40</f>
        <v>40.509</v>
      </c>
      <c r="L7">
        <f t="shared" ca="1" si="1"/>
        <v>40.509</v>
      </c>
      <c r="M7">
        <f t="shared" ca="1" si="1"/>
        <v>40.509</v>
      </c>
      <c r="N7">
        <f t="shared" ca="1" si="1"/>
        <v>40.509</v>
      </c>
      <c r="O7">
        <f t="shared" ca="1" si="1"/>
        <v>40.509</v>
      </c>
      <c r="P7">
        <f t="shared" ca="1" si="1"/>
        <v>40.509</v>
      </c>
      <c r="Q7">
        <f t="shared" ca="1" si="1"/>
        <v>40.509</v>
      </c>
      <c r="R7">
        <f t="shared" ca="1" si="1"/>
        <v>39.854769603554672</v>
      </c>
      <c r="S7">
        <f t="shared" ca="1" si="1"/>
        <v>34.270071156589886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85.26870963055778</v>
      </c>
      <c r="K8">
        <f t="shared" ref="K8:S8" ca="1" si="2">+K46</f>
        <v>90</v>
      </c>
      <c r="L8">
        <f t="shared" ca="1" si="2"/>
        <v>90</v>
      </c>
      <c r="M8">
        <f t="shared" ca="1" si="2"/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477.80399999999997</v>
      </c>
      <c r="K13">
        <f t="shared" ref="K13:S13" ca="1" si="4">+K57</f>
        <v>504.9373684158453</v>
      </c>
      <c r="L13">
        <f t="shared" ca="1" si="4"/>
        <v>534.94309982559639</v>
      </c>
      <c r="M13">
        <f t="shared" ca="1" si="4"/>
        <v>557.81034528486055</v>
      </c>
      <c r="N13">
        <f t="shared" ca="1" si="4"/>
        <v>574.10169301104941</v>
      </c>
      <c r="O13">
        <f t="shared" ca="1" si="4"/>
        <v>585.59967078638783</v>
      </c>
      <c r="P13">
        <f t="shared" ca="1" si="4"/>
        <v>593.27101044910637</v>
      </c>
      <c r="Q13">
        <f t="shared" ca="1" si="4"/>
        <v>597.12071794236306</v>
      </c>
      <c r="R13">
        <f t="shared" ca="1" si="4"/>
        <v>597.12072500672014</v>
      </c>
      <c r="S13">
        <f t="shared" ca="1" si="4"/>
        <v>597.12070605069073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229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236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239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252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251</v>
      </c>
      <c r="J22">
        <f ca="1">+J41+J47+J53+J58+J65+J71</f>
        <v>-33.667631151878531</v>
      </c>
      <c r="K22">
        <f t="shared" ref="K22:S22" ca="1" si="6">+K41+K47+K53+K58+K65+K71</f>
        <v>-34.897667717522204</v>
      </c>
      <c r="L22">
        <f t="shared" ca="1" si="6"/>
        <v>-36.633587110760359</v>
      </c>
      <c r="M22">
        <f t="shared" ca="1" si="6"/>
        <v>-38.114030463092796</v>
      </c>
      <c r="N22">
        <f t="shared" ca="1" si="6"/>
        <v>-39.210471072285479</v>
      </c>
      <c r="O22">
        <f t="shared" ca="1" si="6"/>
        <v>-39.988572186328248</v>
      </c>
      <c r="P22">
        <f t="shared" ca="1" si="6"/>
        <v>-40.525313074593839</v>
      </c>
      <c r="Q22">
        <f t="shared" ca="1" si="6"/>
        <v>-40.847902394961139</v>
      </c>
      <c r="R22">
        <f t="shared" ca="1" si="6"/>
        <v>-40.943591140240088</v>
      </c>
      <c r="S22">
        <f t="shared" ca="1" si="6"/>
        <v>-40.828170623670175</v>
      </c>
    </row>
    <row r="24" spans="1:19" x14ac:dyDescent="0.45">
      <c r="A24" t="s">
        <v>36</v>
      </c>
      <c r="B24" s="20" t="s">
        <v>254</v>
      </c>
    </row>
    <row r="25" spans="1:19" x14ac:dyDescent="0.45">
      <c r="B25" t="s">
        <v>138</v>
      </c>
      <c r="J25" s="29">
        <f ca="1">+'BS &amp; CFS'!J65</f>
        <v>65.885929421320981</v>
      </c>
      <c r="K25" s="29">
        <f ca="1">+'BS &amp; CFS'!K65</f>
        <v>70.08890026512762</v>
      </c>
      <c r="L25" s="29">
        <f ca="1">+'BS &amp; CFS'!L65</f>
        <v>78.229643232298216</v>
      </c>
      <c r="M25" s="29">
        <f ca="1">+'BS &amp; CFS'!M65</f>
        <v>90.503486229931013</v>
      </c>
      <c r="N25" s="29">
        <f ca="1">+'BS &amp; CFS'!N65</f>
        <v>101.35961957979507</v>
      </c>
      <c r="O25" s="29">
        <f ca="1">+'BS &amp; CFS'!O65</f>
        <v>109.83882299475151</v>
      </c>
      <c r="P25" s="29">
        <f ca="1">+'BS &amp; CFS'!P65</f>
        <v>117.10590765499806</v>
      </c>
      <c r="Q25" s="29">
        <f ca="1">+'BS &amp; CFS'!Q65</f>
        <v>124.2377366736561</v>
      </c>
      <c r="R25" s="29">
        <f ca="1">+'BS &amp; CFS'!R65</f>
        <v>131.9223177555364</v>
      </c>
      <c r="S25" s="29">
        <f ca="1">+'BS &amp; CFS'!S65</f>
        <v>140.04136411449514</v>
      </c>
    </row>
    <row r="26" spans="1:19" x14ac:dyDescent="0.45">
      <c r="B26" t="s">
        <v>221</v>
      </c>
      <c r="J26" s="29">
        <f ca="1">+'P&amp;L'!J22</f>
        <v>-33.667631151878496</v>
      </c>
      <c r="K26" s="29">
        <f ca="1">+'P&amp;L'!K22</f>
        <v>-34.897667717523028</v>
      </c>
      <c r="L26" s="29">
        <f ca="1">+'P&amp;L'!L22</f>
        <v>-36.633587110749033</v>
      </c>
      <c r="M26" s="29">
        <f ca="1">+'P&amp;L'!M22</f>
        <v>-38.114030463203378</v>
      </c>
      <c r="N26" s="29">
        <f ca="1">+'P&amp;L'!N22</f>
        <v>-39.210471071399773</v>
      </c>
      <c r="O26" s="29">
        <f ca="1">+'P&amp;L'!O22</f>
        <v>-39.988572191803911</v>
      </c>
      <c r="P26" s="29">
        <f ca="1">+'P&amp;L'!P22</f>
        <v>-40.525313044731348</v>
      </c>
      <c r="Q26" s="29">
        <f ca="1">+'P&amp;L'!Q22</f>
        <v>-40.847902556416514</v>
      </c>
      <c r="R26" s="29">
        <f ca="1">+'P&amp;L'!R22</f>
        <v>-40.94359066757557</v>
      </c>
      <c r="S26" s="29">
        <f ca="1">+'P&amp;L'!S22</f>
        <v>-40.828172481605044</v>
      </c>
    </row>
    <row r="27" spans="1:19" x14ac:dyDescent="0.45">
      <c r="B27" t="s">
        <v>222</v>
      </c>
      <c r="J27" s="29">
        <f>+'BS &amp; CFS'!J67+'BS &amp; CFS'!J68+'BS &amp; CFS'!J69</f>
        <v>-26.643827899999998</v>
      </c>
      <c r="K27" s="29">
        <f>+'BS &amp; CFS'!K67+'BS &amp; CFS'!K68+'BS &amp; CFS'!K69</f>
        <v>-29.776087732900002</v>
      </c>
      <c r="L27" s="29">
        <f>+'BS &amp; CFS'!L67+'BS &amp; CFS'!L68+'BS &amp; CFS'!L69</f>
        <v>-33.622647859182507</v>
      </c>
      <c r="M27" s="29">
        <f>+'BS &amp; CFS'!M67+'BS &amp; CFS'!M68+'BS &amp; CFS'!M69</f>
        <v>-36.564238761789213</v>
      </c>
      <c r="N27" s="29">
        <f>+'BS &amp; CFS'!N67+'BS &amp; CFS'!N68+'BS &amp; CFS'!N69</f>
        <v>-39.020444509706387</v>
      </c>
      <c r="O27" s="29">
        <f>+'BS &amp; CFS'!O67+'BS &amp; CFS'!O68+'BS &amp; CFS'!O69</f>
        <v>-41.186035901192277</v>
      </c>
      <c r="P27" s="29">
        <f>+'BS &amp; CFS'!P67+'BS &amp; CFS'!P68+'BS &amp; CFS'!P69</f>
        <v>-43.332757255420574</v>
      </c>
      <c r="Q27" s="29">
        <f>+'BS &amp; CFS'!Q67+'BS &amp; CFS'!Q68+'BS &amp; CFS'!Q69</f>
        <v>-45.548243567324498</v>
      </c>
      <c r="R27" s="29">
        <f>+'BS &amp; CFS'!R67+'BS &amp; CFS'!R68+'BS &amp; CFS'!R69</f>
        <v>-47.845627497142928</v>
      </c>
      <c r="S27" s="29">
        <f>+'BS &amp; CFS'!S67+'BS &amp; CFS'!S68+'BS &amp; CFS'!S69</f>
        <v>-50.346326315796986</v>
      </c>
    </row>
    <row r="28" spans="1:19" x14ac:dyDescent="0.45">
      <c r="B28" t="s">
        <v>227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253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223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-31.019709630557511</v>
      </c>
      <c r="K30" s="13">
        <f t="shared" ca="1" si="8"/>
        <v>-31.864658785295408</v>
      </c>
      <c r="L30" s="13">
        <f t="shared" ca="1" si="8"/>
        <v>-30.005731409633324</v>
      </c>
      <c r="M30" s="13">
        <f t="shared" ca="1" si="8"/>
        <v>-22.867245460501575</v>
      </c>
      <c r="N30" s="13">
        <f t="shared" ca="1" si="8"/>
        <v>-16.291347716059892</v>
      </c>
      <c r="O30" s="13">
        <f t="shared" ca="1" si="8"/>
        <v>-11.497977847288452</v>
      </c>
      <c r="P30" s="13">
        <f t="shared" ca="1" si="8"/>
        <v>-7.6713392491785068</v>
      </c>
      <c r="Q30" s="13">
        <f t="shared" ca="1" si="8"/>
        <v>-3.8497095861900497</v>
      </c>
      <c r="R30" s="13">
        <f t="shared" ca="1" si="8"/>
        <v>0.6542334519906654</v>
      </c>
      <c r="S30" s="13">
        <f t="shared" ca="1" si="8"/>
        <v>5.5846818554893307</v>
      </c>
    </row>
    <row r="32" spans="1:19" x14ac:dyDescent="0.45">
      <c r="B32" t="s">
        <v>224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225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226</v>
      </c>
      <c r="J34">
        <f ca="1">+J33+J32+J30</f>
        <v>-6.1207096305575099</v>
      </c>
      <c r="K34">
        <f t="shared" ref="K34:S34" ca="1" si="11">+K33+K32+K30</f>
        <v>-31.864658785295408</v>
      </c>
      <c r="L34">
        <f t="shared" ca="1" si="11"/>
        <v>-30.005731409633324</v>
      </c>
      <c r="M34">
        <f t="shared" ca="1" si="11"/>
        <v>-22.867245460501575</v>
      </c>
      <c r="N34">
        <f t="shared" ca="1" si="11"/>
        <v>-16.291347716059892</v>
      </c>
      <c r="O34">
        <f t="shared" ca="1" si="11"/>
        <v>-11.497977847288452</v>
      </c>
      <c r="P34">
        <f t="shared" ca="1" si="11"/>
        <v>-7.6713392491785068</v>
      </c>
      <c r="Q34">
        <f t="shared" ca="1" si="11"/>
        <v>-3.8497095861900497</v>
      </c>
      <c r="R34">
        <f t="shared" ca="1" si="11"/>
        <v>0.6542334519906654</v>
      </c>
      <c r="S34">
        <f t="shared" ca="1" si="11"/>
        <v>5.5846818554893307</v>
      </c>
    </row>
    <row r="36" spans="2:19" x14ac:dyDescent="0.45">
      <c r="B36" t="s">
        <v>232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228</v>
      </c>
      <c r="J38">
        <f>+I40</f>
        <v>9.0869999999999997</v>
      </c>
      <c r="K38">
        <f t="shared" ref="K38:S38" ca="1" si="13">+J40</f>
        <v>40.509</v>
      </c>
      <c r="L38">
        <f t="shared" ca="1" si="13"/>
        <v>40.509</v>
      </c>
      <c r="M38">
        <f t="shared" ca="1" si="13"/>
        <v>40.509</v>
      </c>
      <c r="N38">
        <f t="shared" ca="1" si="13"/>
        <v>40.509</v>
      </c>
      <c r="O38">
        <f t="shared" ca="1" si="13"/>
        <v>40.509</v>
      </c>
      <c r="P38">
        <f t="shared" ca="1" si="13"/>
        <v>40.509</v>
      </c>
      <c r="Q38">
        <f t="shared" ca="1" si="13"/>
        <v>40.509</v>
      </c>
      <c r="R38">
        <f t="shared" ca="1" si="13"/>
        <v>40.509</v>
      </c>
      <c r="S38">
        <f t="shared" ca="1" si="13"/>
        <v>39.854769603554672</v>
      </c>
    </row>
    <row r="39" spans="2:19" x14ac:dyDescent="0.45">
      <c r="B39" t="s">
        <v>234</v>
      </c>
      <c r="J39">
        <f ca="1">+IF(MIN(J36+J34,J38)*-1&gt;=(J42-J38),J42-J38,MIN(J36+J34,J38)*-1)</f>
        <v>31.422000000000001</v>
      </c>
      <c r="K39">
        <f t="shared" ref="K39:S39" ca="1" si="14">+IF(MIN(K36+K34,K38)*-1&gt;=(K42-K38),K42-K38,MIN(K36+K34,K38)*-1)</f>
        <v>0</v>
      </c>
      <c r="L39">
        <f t="shared" ca="1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-0.6542334519906654</v>
      </c>
      <c r="S39">
        <f t="shared" ca="1" si="14"/>
        <v>-5.5846818554893307</v>
      </c>
    </row>
    <row r="40" spans="2:19" x14ac:dyDescent="0.45">
      <c r="B40" s="13" t="s">
        <v>231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40.509</v>
      </c>
      <c r="K40" s="13">
        <f t="shared" ref="K40:S40" ca="1" si="15">SUM(K38:K39)</f>
        <v>40.509</v>
      </c>
      <c r="L40" s="13">
        <f t="shared" ca="1" si="15"/>
        <v>40.509</v>
      </c>
      <c r="M40" s="13">
        <f t="shared" ca="1" si="15"/>
        <v>40.509</v>
      </c>
      <c r="N40" s="13">
        <f t="shared" ca="1" si="15"/>
        <v>40.509</v>
      </c>
      <c r="O40" s="13">
        <f t="shared" ca="1" si="15"/>
        <v>40.509</v>
      </c>
      <c r="P40" s="13">
        <f t="shared" ca="1" si="15"/>
        <v>40.509</v>
      </c>
      <c r="Q40" s="13">
        <f t="shared" ca="1" si="15"/>
        <v>40.509</v>
      </c>
      <c r="R40" s="13">
        <f t="shared" ca="1" si="15"/>
        <v>39.854766548009337</v>
      </c>
      <c r="S40" s="13">
        <f t="shared" ca="1" si="15"/>
        <v>34.270087748065343</v>
      </c>
    </row>
    <row r="41" spans="2:19" x14ac:dyDescent="0.45">
      <c r="B41" s="1" t="s">
        <v>233</v>
      </c>
      <c r="J41" s="1">
        <f t="shared" ref="J41:S41" ca="1" si="16">+AVERAGE(I40:J40)*J17*-1</f>
        <v>-0.91752600000000006</v>
      </c>
      <c r="K41" s="1">
        <f t="shared" ca="1" si="16"/>
        <v>-1.4988329999999999</v>
      </c>
      <c r="L41" s="1">
        <f t="shared" ca="1" si="16"/>
        <v>-1.4988329999999999</v>
      </c>
      <c r="M41" s="1">
        <f t="shared" ca="1" si="16"/>
        <v>-1.4988329999999999</v>
      </c>
      <c r="N41" s="1">
        <f t="shared" ca="1" si="16"/>
        <v>-1.4988329999999999</v>
      </c>
      <c r="O41" s="1">
        <f t="shared" ca="1" si="16"/>
        <v>-1.4988329999999999</v>
      </c>
      <c r="P41" s="1">
        <f t="shared" ca="1" si="16"/>
        <v>-1.4988329999999999</v>
      </c>
      <c r="Q41" s="1">
        <f t="shared" ca="1" si="16"/>
        <v>-1.4988329999999999</v>
      </c>
      <c r="R41" s="1">
        <f t="shared" ca="1" si="16"/>
        <v>-1.4867296811381727</v>
      </c>
      <c r="S41" s="1">
        <f t="shared" ca="1" si="16"/>
        <v>-1.3713098044773817</v>
      </c>
    </row>
    <row r="42" spans="2:19" x14ac:dyDescent="0.45">
      <c r="B42" t="s">
        <v>235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237</v>
      </c>
      <c r="J44">
        <f>+I46</f>
        <v>84.234999999999999</v>
      </c>
      <c r="K44">
        <f t="shared" ref="K44:S44" ca="1" si="17">+J46</f>
        <v>85.26870963055778</v>
      </c>
      <c r="L44">
        <f t="shared" ca="1" si="17"/>
        <v>90</v>
      </c>
      <c r="M44">
        <f t="shared" ca="1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x14ac:dyDescent="0.45">
      <c r="B45" t="s">
        <v>234</v>
      </c>
      <c r="J45">
        <f ca="1">+IF(MIN(J44, J34+J36+J39)*-1&gt;=(J48-J44), J48-J44, MIN(J44, J34+J36+J39)*-1)</f>
        <v>1.0337096305575066</v>
      </c>
      <c r="K45">
        <f t="shared" ref="K45:S45" ca="1" si="18">+IF(MIN(K44, K34+K36+K39)*-1&gt;=(K48-K44), K48-K44, MIN(K44, K34+K36+K39)*-1)</f>
        <v>4.7312903694422204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x14ac:dyDescent="0.45">
      <c r="B46" s="13" t="s">
        <v>238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85.26870963055751</v>
      </c>
      <c r="K46" s="13">
        <f t="shared" ref="K46:S46" ca="1" si="19">SUM(K44:K45)</f>
        <v>90</v>
      </c>
      <c r="L46" s="13">
        <f t="shared" ca="1" si="19"/>
        <v>90</v>
      </c>
      <c r="M46" s="13">
        <f t="shared" ca="1" si="19"/>
        <v>90</v>
      </c>
      <c r="N46" s="13">
        <f t="shared" ca="1" si="19"/>
        <v>90</v>
      </c>
      <c r="O46" s="13">
        <f t="shared" ca="1" si="19"/>
        <v>90</v>
      </c>
      <c r="P46" s="13">
        <f t="shared" ca="1" si="19"/>
        <v>90</v>
      </c>
      <c r="Q46" s="13">
        <f t="shared" ca="1" si="19"/>
        <v>90</v>
      </c>
      <c r="R46" s="13">
        <f t="shared" ca="1" si="19"/>
        <v>90</v>
      </c>
      <c r="S46" s="13">
        <f t="shared" ca="1" si="19"/>
        <v>90</v>
      </c>
    </row>
    <row r="47" spans="2:19" x14ac:dyDescent="0.45">
      <c r="B47" s="1" t="s">
        <v>233</v>
      </c>
      <c r="J47" s="1">
        <f t="shared" ref="J47:S47" ca="1" si="20">+AVERAGE(I46:J46)*J18*-1</f>
        <v>-4.8732316518785286</v>
      </c>
      <c r="K47" s="1">
        <f t="shared" ca="1" si="20"/>
        <v>-5.0389754018785284</v>
      </c>
      <c r="L47" s="1">
        <f t="shared" ca="1" si="20"/>
        <v>-5.1749999999999998</v>
      </c>
      <c r="M47" s="1">
        <f t="shared" ca="1" si="20"/>
        <v>-5.1749999999999998</v>
      </c>
      <c r="N47" s="1">
        <f t="shared" ca="1" si="20"/>
        <v>-5.1749999999999998</v>
      </c>
      <c r="O47" s="1">
        <f t="shared" ca="1" si="20"/>
        <v>-5.1749999999999998</v>
      </c>
      <c r="P47" s="1">
        <f t="shared" ca="1" si="20"/>
        <v>-5.1749999999999998</v>
      </c>
      <c r="Q47" s="1">
        <f t="shared" ca="1" si="20"/>
        <v>-5.1749999999999998</v>
      </c>
      <c r="R47" s="1">
        <f t="shared" ca="1" si="20"/>
        <v>-5.1749999999999998</v>
      </c>
      <c r="S47" s="1">
        <f t="shared" ca="1" si="20"/>
        <v>-5.1749999999999998</v>
      </c>
    </row>
    <row r="48" spans="2:19" x14ac:dyDescent="0.45">
      <c r="B48" t="s">
        <v>235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240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241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242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233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245</v>
      </c>
      <c r="J55">
        <f>+I57</f>
        <v>477.80399999999997</v>
      </c>
      <c r="K55">
        <f t="shared" ref="K55:S55" ca="1" si="25">+J57</f>
        <v>477.80399999999997</v>
      </c>
      <c r="L55">
        <f t="shared" ca="1" si="25"/>
        <v>504.9373684158453</v>
      </c>
      <c r="M55">
        <f t="shared" ca="1" si="25"/>
        <v>534.94309982559639</v>
      </c>
      <c r="N55">
        <f t="shared" ca="1" si="25"/>
        <v>557.81034528486055</v>
      </c>
      <c r="O55">
        <f t="shared" ca="1" si="25"/>
        <v>574.10169301104941</v>
      </c>
      <c r="P55">
        <f t="shared" ca="1" si="25"/>
        <v>585.59967078638783</v>
      </c>
      <c r="Q55">
        <f t="shared" ca="1" si="25"/>
        <v>593.27101044910637</v>
      </c>
      <c r="R55">
        <f t="shared" ca="1" si="25"/>
        <v>597.12071794236306</v>
      </c>
      <c r="S55">
        <f t="shared" ca="1" si="25"/>
        <v>597.12072500672014</v>
      </c>
    </row>
    <row r="56" spans="1:19" x14ac:dyDescent="0.45">
      <c r="B56" t="s">
        <v>246</v>
      </c>
      <c r="J56">
        <f t="shared" ref="J56:S56" ca="1" si="26">+MIN(J55, J34+J39+J45+J36)*-1</f>
        <v>3.5527136788005009E-15</v>
      </c>
      <c r="K56">
        <f t="shared" ca="1" si="26"/>
        <v>27.133368415853187</v>
      </c>
      <c r="L56">
        <f t="shared" ca="1" si="26"/>
        <v>30.005731409633324</v>
      </c>
      <c r="M56">
        <f t="shared" ca="1" si="26"/>
        <v>22.867245460501575</v>
      </c>
      <c r="N56">
        <f t="shared" ca="1" si="26"/>
        <v>16.291347716059892</v>
      </c>
      <c r="O56">
        <f t="shared" ca="1" si="26"/>
        <v>11.497977847288452</v>
      </c>
      <c r="P56">
        <f t="shared" ca="1" si="26"/>
        <v>7.6713392491785068</v>
      </c>
      <c r="Q56">
        <f t="shared" ca="1" si="26"/>
        <v>3.8497095861900497</v>
      </c>
      <c r="R56">
        <f t="shared" ca="1" si="26"/>
        <v>0</v>
      </c>
      <c r="S56">
        <f t="shared" ca="1" si="26"/>
        <v>0</v>
      </c>
    </row>
    <row r="57" spans="1:19" x14ac:dyDescent="0.45">
      <c r="B57" s="13" t="s">
        <v>247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477.80399999999997</v>
      </c>
      <c r="K57" s="13">
        <f t="shared" ref="K57:S57" ca="1" si="27">SUM(K55:K56)</f>
        <v>504.93736841585314</v>
      </c>
      <c r="L57" s="13">
        <f t="shared" ca="1" si="27"/>
        <v>534.94309982547861</v>
      </c>
      <c r="M57" s="13">
        <f t="shared" ca="1" si="27"/>
        <v>557.81034528609791</v>
      </c>
      <c r="N57" s="13">
        <f t="shared" ca="1" si="27"/>
        <v>574.10169300092048</v>
      </c>
      <c r="O57" s="13">
        <f t="shared" ca="1" si="27"/>
        <v>585.59967085833784</v>
      </c>
      <c r="P57" s="13">
        <f t="shared" ca="1" si="27"/>
        <v>593.27101003556629</v>
      </c>
      <c r="Q57" s="13">
        <f t="shared" ca="1" si="27"/>
        <v>597.12072003529647</v>
      </c>
      <c r="R57" s="13">
        <f t="shared" ca="1" si="27"/>
        <v>597.12071794236306</v>
      </c>
      <c r="S57" s="13">
        <f t="shared" ca="1" si="27"/>
        <v>597.12072500672014</v>
      </c>
    </row>
    <row r="58" spans="1:19" s="1" customFormat="1" x14ac:dyDescent="0.45">
      <c r="B58" s="1" t="s">
        <v>233</v>
      </c>
      <c r="I58" s="73"/>
      <c r="J58" s="1">
        <f t="shared" ref="J58:S58" ca="1" si="28">+AVERAGE(I57:J57)*J19*-1</f>
        <v>-26.757023999999998</v>
      </c>
      <c r="K58" s="1">
        <f t="shared" ca="1" si="28"/>
        <v>-27.516758315643887</v>
      </c>
      <c r="L58" s="1">
        <f t="shared" ca="1" si="28"/>
        <v>-29.116653110757291</v>
      </c>
      <c r="M58" s="1">
        <f t="shared" ca="1" si="28"/>
        <v>-30.597096463124146</v>
      </c>
      <c r="N58" s="1">
        <f t="shared" ca="1" si="28"/>
        <v>-31.693537072036513</v>
      </c>
      <c r="O58" s="1">
        <f t="shared" ca="1" si="28"/>
        <v>-32.471638188059238</v>
      </c>
      <c r="P58" s="1">
        <f t="shared" ca="1" si="28"/>
        <v>-33.008379065029317</v>
      </c>
      <c r="Q58" s="1">
        <f t="shared" ca="1" si="28"/>
        <v>-33.330968441984155</v>
      </c>
      <c r="R58" s="1">
        <f t="shared" ca="1" si="28"/>
        <v>-33.438760263374469</v>
      </c>
      <c r="S58" s="1">
        <f t="shared" ca="1" si="28"/>
        <v>-33.438760402574331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255</v>
      </c>
      <c r="I60" s="73"/>
    </row>
    <row r="61" spans="1:19" s="1" customFormat="1" x14ac:dyDescent="0.45">
      <c r="B61" t="s">
        <v>249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250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230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248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233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256</v>
      </c>
    </row>
    <row r="68" spans="1:19" x14ac:dyDescent="0.45">
      <c r="B68" t="s">
        <v>224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243</v>
      </c>
      <c r="J69">
        <f t="shared" ref="J69:S69" ca="1" si="35">+J30+J39+J45+J51+J56</f>
        <v>-24.899000000000001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244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233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289</v>
      </c>
      <c r="F4" s="82" t="s">
        <v>302</v>
      </c>
      <c r="G4" s="82" t="s">
        <v>303</v>
      </c>
      <c r="H4" s="82" t="s">
        <v>304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288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281</v>
      </c>
      <c r="E14" s="4">
        <v>6.5540000000000003</v>
      </c>
      <c r="F14" s="6"/>
    </row>
    <row r="15" spans="1:8" s="7" customFormat="1" x14ac:dyDescent="0.45">
      <c r="B15" s="43" t="s">
        <v>290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291</v>
      </c>
      <c r="E16" s="80">
        <f>+E15/E11</f>
        <v>0.43644790449420462</v>
      </c>
    </row>
    <row r="17" spans="2:9" s="1" customFormat="1" x14ac:dyDescent="0.45">
      <c r="B17" s="1" t="s">
        <v>319</v>
      </c>
      <c r="E17" s="80">
        <f>+E13/SUM(E7:E9)</f>
        <v>0.41829857742597376</v>
      </c>
    </row>
    <row r="18" spans="2:9" s="1" customFormat="1" x14ac:dyDescent="0.45">
      <c r="B18" s="1" t="s">
        <v>320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271</v>
      </c>
      <c r="F4" s="8" t="s">
        <v>272</v>
      </c>
      <c r="G4" s="8" t="s">
        <v>315</v>
      </c>
      <c r="H4" s="8" t="s">
        <v>316</v>
      </c>
      <c r="I4" s="8" t="s">
        <v>317</v>
      </c>
      <c r="J4" s="8" t="s">
        <v>318</v>
      </c>
    </row>
    <row r="5" spans="1:10" x14ac:dyDescent="0.45">
      <c r="F5" s="8"/>
    </row>
    <row r="6" spans="1:10" x14ac:dyDescent="0.45">
      <c r="A6" t="s">
        <v>36</v>
      </c>
      <c r="B6" s="20" t="s">
        <v>293</v>
      </c>
    </row>
    <row r="7" spans="1:10" x14ac:dyDescent="0.45">
      <c r="B7" t="s">
        <v>1</v>
      </c>
      <c r="E7" s="83" t="s">
        <v>298</v>
      </c>
      <c r="F7" s="83" t="s">
        <v>294</v>
      </c>
    </row>
    <row r="8" spans="1:10" x14ac:dyDescent="0.45">
      <c r="B8" t="s">
        <v>295</v>
      </c>
      <c r="E8" s="4">
        <v>490</v>
      </c>
      <c r="F8" s="4">
        <v>550</v>
      </c>
    </row>
    <row r="10" spans="1:10" x14ac:dyDescent="0.45">
      <c r="B10" t="s">
        <v>301</v>
      </c>
      <c r="E10" s="83" t="s">
        <v>297</v>
      </c>
      <c r="F10" s="83" t="s">
        <v>296</v>
      </c>
    </row>
    <row r="11" spans="1:10" x14ac:dyDescent="0.45">
      <c r="B11" t="s">
        <v>295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273</v>
      </c>
    </row>
    <row r="14" spans="1:10" x14ac:dyDescent="0.45">
      <c r="B14" s="14" t="s">
        <v>305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306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307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310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311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312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308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309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305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306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307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310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311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312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313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314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299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301</v>
      </c>
      <c r="E34" s="29">
        <f>+'P&amp;L'!I62</f>
        <v>88.750000000000071</v>
      </c>
      <c r="F34" s="29">
        <f ca="1">+'P&amp;L'!J62</f>
        <v>97.026284070068286</v>
      </c>
      <c r="G34" s="29">
        <f ca="1">+'P&amp;L'!K62</f>
        <v>115.54163294713948</v>
      </c>
      <c r="H34" s="29">
        <f ca="1">+'P&amp;L'!L62</f>
        <v>129.83071058505263</v>
      </c>
      <c r="I34" s="29">
        <f ca="1">+'P&amp;L'!M62</f>
        <v>140.95326041351933</v>
      </c>
      <c r="J34" s="29">
        <f ca="1">+'P&amp;L'!N62</f>
        <v>149.83772781143813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2026-01-02T14:29:02Z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